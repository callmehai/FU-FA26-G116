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2.xml" ContentType="application/vnd.openxmlformats-officedocument.spreadsheetml.comments+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Cover" sheetId="1" r:id="sheet1"/>
    <sheet name="Statistics" sheetId="2" r:id="sheet2"/>
    <sheet name="Customer Feedback Statistics" sheetId="3" r:id="sheet3"/>
    <sheet name="Customers Feedbacks" sheetId="4" r:id="sheet4"/>
  </sheets>
  <calcPr fullCalcOnLoad="1" forceFullCalc="1"/>
</workbook>
</file>

<file path=xl/comments2.xml><?xml version="1.0" encoding="utf-8"?>
<comments xmlns="http://schemas.openxmlformats.org/spreadsheetml/2006/main">
  <authors>
    <author>TrustCabinet Team</author>
  </authors>
  <commentList>
    <comment ref="B10" authorId="0">
      <text>
        <t>Preconditions: Administrator representative; disposable accounts.
Procedure:
1. Create user and role.
2. Assign capabilities.
3. Deactivate/reactivate.
4. Confirm permitted work.
Expected result: Tasks are usable; permissions correct; final administrator protected.
Source: frontend/src/features/access/UsersPage.tsx</t>
      </text>
    </comment>
    <comment ref="B11" authorId="0">
      <text>
        <t>Preconditions: Organizer with MeetingCreator.
Procedure:
1. Create Draft with schedule/location/content.
2. Edit.
3. Find and reopen.
Expected result: Information persists; organizer confirms form supports preparation.
Source: frontend/src/features/meetings/MeetingForm.tsx</t>
      </text>
    </comment>
    <comment ref="B12" authorId="0">
      <text>
        <t>Preconditions: Organizer/approver representatives; ready meetings.
Procedure:
1. Submit.
2. Approve one meeting.
3. Reject another with reason.
4. Check feedback.
Expected result: Parties understand outcomes/reasons; history identifies reviewer.
Source: frontend/src/features/meetings/workflow/MeetingWorkflowBar.tsx</t>
      </text>
    </comment>
    <comment ref="B13" authorId="0">
      <text>
        <t>Preconditions: Approved fixture with roster; participant; SMTP sandbox.
Procedure:
1. Publish.
2. Read notification and ICS email.
3. Open details and Calendar.
Expected result: Meeting/time/location/content agree across channels.
Source: frontend/src/features/calendar/CalendarPage.tsx</t>
      </text>
    </comment>
    <comment ref="B14" authorId="0">
      <text>
        <t>Preconditions: Published meeting; organizer and participant.
Procedure:
1. Reschedule.
2. Find new time through notification and Calendar.
3. Confirm applicable time.
Expected result: Participant recognizes latest time without contradictory information.
Source: frontend/src/features/meetings/MeetingForm.tsx</t>
      </text>
    </comment>
    <comment ref="B15" authorId="0">
      <text>
        <t>Preconditions: Participant and unrelated-user representatives.
Procedure:
1. Open invited meeting.
2. Search/enter URL as outsider.
3. Review with administrator.
Expected result: Participant sees permitted data; outsider cannot view restricted content.
Source: frontend/src/features/meetings/detail/MeetingDetailPage.tsx</t>
      </text>
    </comment>
    <comment ref="B16" authorId="0">
      <text>
        <t>Preconditions: Administrator/user representatives; SMTP sandbox.
Procedure:
1. Request reset.
2. Read email and change password.
3. Sign in again.
Expected result: User can follow instructions; consumed link cannot be reused.
Source: frontend/src/features/auth/LoginPage.tsx</t>
      </text>
    </comment>
    <comment ref="B17" authorId="0">
      <text>
        <t>Preconditions: Chrome/Edge; record versions and screen sizes in evidence.
Procedure:
1. Sign in.
2. Find meeting.
3. Open Calendar.
4. Read notifications.
5. Record suggestions.
Expected result: No UI defect blocks tasks; feedback is recorded separately from acceptance.
Source: frontend/src/features/meetings/MeetingsPage.tsx</t>
      </text>
    </comment>
  </commentList>
</comments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\-mmm\-yy"/>
    <numFmt numFmtId="166" formatCode="dd/mm/yyyy"/>
    <numFmt numFmtId="167" formatCode="m/d/yy\ h:mm:ss"/>
  </numFmts>
  <fonts count="24">
    <font>
      <sz val="11.0"/>
      <color rgb="FF000000"/>
      <name val="Arial"/>
      <scheme val="minor"/>
    </font>
    <font>
      <sz val="10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color theme="1"/>
      <name val="Tahoma"/>
    </font>
    <font>
      <i/>
      <sz val="11.0"/>
      <color theme="1"/>
      <name val="Tahoma"/>
    </font>
    <font>
      <color theme="1"/>
      <name val="Tahoma"/>
    </font>
    <font>
      <i/>
      <color theme="1"/>
      <name val="Tahoma"/>
    </font>
    <font>
      <b/>
      <sz val="10.0"/>
      <color theme="1"/>
      <name val="Tahoma"/>
    </font>
    <font>
      <b/>
      <sz val="10.0"/>
      <color rgb="FFFFFFFF"/>
      <name val="Tahoma"/>
    </font>
    <font>
      <i/>
      <sz val="10.0"/>
      <color theme="1"/>
      <name val="Tahoma"/>
    </font>
    <font>
      <b/>
      <sz val="20.0"/>
      <color theme="1"/>
      <name val="Tahoma"/>
    </font>
    <font>
      <sz val="11.0"/>
      <color theme="1"/>
      <name val="MS PGothic"/>
    </font>
    <font>
      <b/>
      <color rgb="FF993300"/>
      <name val="Tahoma"/>
    </font>
    <font>
      <sz val="12.0"/>
      <color rgb="FFFFFFFF"/>
      <name val="Times New Roman"/>
    </font>
    <font>
      <sz val="13.0"/>
      <color rgb="FFFFFFFF"/>
      <name val="Times New Roman"/>
    </font>
    <font>
      <sz val="12.0"/>
      <color theme="1"/>
      <name val="Times New Roman"/>
    </font>
    <font>
      <sz val="11.0"/>
      <color rgb="FF000000"/>
      <name val="Calibri"/>
    </font>
    <font>
      <sz val="11.0"/>
      <color rgb="FFFFFFFF"/>
      <name val="Calibri"/>
    </font>
    <font>
      <color theme="1"/>
      <name val="Arial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8761D"/>
        <bgColor rgb="FF38761D"/>
      </patternFill>
    </fill>
  </fills>
  <borders count="2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/>
      <right/>
      <top/>
    </border>
    <border>
      <right/>
      <top/>
      <bottom/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1" numFmtId="0" xfId="0" applyAlignment="1" applyFont="1">
      <alignment horizontal="center" vertical="center"/>
    </xf>
    <xf borderId="4" fillId="2" fontId="5" numFmtId="0" xfId="0" applyAlignment="1" applyBorder="1" applyFill="1" applyFont="1">
      <alignment horizontal="left"/>
    </xf>
    <xf borderId="0" fillId="0" fontId="6" numFmtId="0" xfId="0" applyAlignment="1" applyFont="1">
      <alignment horizontal="left"/>
    </xf>
    <xf borderId="4" fillId="2" fontId="1" numFmtId="0" xfId="0" applyBorder="1" applyFont="1"/>
    <xf borderId="5" fillId="2" fontId="7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3" fillId="0" fontId="9" numFmtId="0" xfId="0" applyAlignment="1" applyBorder="1" applyFont="1">
      <alignment vertical="bottom"/>
    </xf>
    <xf borderId="3" fillId="0" fontId="10" numFmtId="164" xfId="0" applyAlignment="1" applyBorder="1" applyFont="1" applyNumberFormat="1">
      <alignment horizontal="left" readingOrder="0" vertical="bottom"/>
    </xf>
    <xf borderId="5" fillId="2" fontId="7" numFmtId="0" xfId="0" applyBorder="1" applyFont="1"/>
    <xf borderId="1" fillId="0" fontId="10" numFmtId="0" xfId="0" applyBorder="1" applyFont="1"/>
    <xf borderId="3" fillId="0" fontId="10" numFmtId="0" xfId="0" applyAlignment="1" applyBorder="1" applyFont="1">
      <alignment horizontal="left" vertical="bottom"/>
    </xf>
    <xf borderId="0" fillId="0" fontId="11" numFmtId="0" xfId="0" applyFont="1"/>
    <xf borderId="0" fillId="0" fontId="5" numFmtId="0" xfId="0" applyAlignment="1" applyFont="1">
      <alignment horizontal="left"/>
    </xf>
    <xf borderId="0" fillId="0" fontId="11" numFmtId="0" xfId="0" applyAlignment="1" applyFont="1">
      <alignment horizontal="left"/>
    </xf>
    <xf borderId="6" fillId="3" fontId="12" numFmtId="165" xfId="0" applyAlignment="1" applyBorder="1" applyFill="1" applyFont="1" applyNumberFormat="1">
      <alignment horizontal="center" vertical="center"/>
    </xf>
    <xf borderId="7" fillId="3" fontId="12" numFmtId="0" xfId="0" applyAlignment="1" applyBorder="1" applyFont="1">
      <alignment horizontal="center" vertical="center"/>
    </xf>
    <xf borderId="8" fillId="3" fontId="12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9" fillId="0" fontId="13" numFmtId="166" xfId="0" applyAlignment="1" applyBorder="1" applyFont="1" applyNumberFormat="1">
      <alignment readingOrder="0" shrinkToFit="0" vertical="top" wrapText="1"/>
    </xf>
    <xf borderId="10" fillId="0" fontId="1" numFmtId="49" xfId="0" applyAlignment="1" applyBorder="1" applyFont="1" applyNumberFormat="1">
      <alignment vertical="top"/>
    </xf>
    <xf borderId="10" fillId="0" fontId="1" numFmtId="0" xfId="0" applyAlignment="1" applyBorder="1" applyFont="1">
      <alignment vertical="top"/>
    </xf>
    <xf borderId="11" fillId="0" fontId="13" numFmtId="0" xfId="0" applyAlignment="1" applyBorder="1" applyFont="1">
      <alignment shrinkToFit="0" vertical="top" wrapText="1"/>
    </xf>
    <xf borderId="0" fillId="0" fontId="1" numFmtId="0" xfId="0" applyAlignment="1" applyFont="1">
      <alignment vertical="top"/>
    </xf>
    <xf borderId="9" fillId="0" fontId="1" numFmtId="165" xfId="0" applyAlignment="1" applyBorder="1" applyFont="1" applyNumberFormat="1">
      <alignment vertical="top"/>
    </xf>
    <xf borderId="11" fillId="0" fontId="1" numFmtId="0" xfId="0" applyAlignment="1" applyBorder="1" applyFont="1">
      <alignment vertical="top"/>
    </xf>
    <xf borderId="12" fillId="0" fontId="1" numFmtId="165" xfId="0" applyAlignment="1" applyBorder="1" applyFont="1" applyNumberFormat="1">
      <alignment vertical="top"/>
    </xf>
    <xf borderId="13" fillId="0" fontId="1" numFmtId="49" xfId="0" applyAlignment="1" applyBorder="1" applyFont="1" applyNumberFormat="1">
      <alignment vertical="top"/>
    </xf>
    <xf borderId="13" fillId="0" fontId="1" numFmtId="0" xfId="0" applyAlignment="1" applyBorder="1" applyFont="1">
      <alignment vertical="top"/>
    </xf>
    <xf borderId="14" fillId="0" fontId="1" numFmtId="0" xfId="0" applyAlignment="1" applyBorder="1" applyFont="1">
      <alignment vertical="top"/>
    </xf>
    <xf borderId="15" fillId="2" fontId="14" numFmtId="0" xfId="0" applyAlignment="1" applyBorder="1" applyFont="1">
      <alignment horizontal="center" readingOrder="0" vertical="bottom"/>
    </xf>
    <xf borderId="16" fillId="0" fontId="4" numFmtId="0" xfId="0" applyBorder="1" applyFont="1"/>
    <xf borderId="16" fillId="2" fontId="14" numFmtId="0" xfId="0" applyAlignment="1" applyBorder="1" applyFont="1">
      <alignment horizontal="center" readingOrder="0" vertical="bottom"/>
    </xf>
    <xf borderId="0" fillId="0" fontId="15" numFmtId="0" xfId="0" applyAlignment="1" applyFont="1">
      <alignment vertical="bottom"/>
    </xf>
    <xf borderId="4" fillId="2" fontId="15" numFmtId="0" xfId="0" applyAlignment="1" applyBorder="1" applyFont="1">
      <alignment vertical="bottom"/>
    </xf>
    <xf borderId="17" fillId="2" fontId="15" numFmtId="0" xfId="0" applyAlignment="1" applyBorder="1" applyFont="1">
      <alignment vertical="bottom"/>
    </xf>
    <xf borderId="4" fillId="2" fontId="15" numFmtId="165" xfId="0" applyAlignment="1" applyBorder="1" applyFont="1" applyNumberFormat="1">
      <alignment vertical="bottom"/>
    </xf>
    <xf borderId="5" fillId="2" fontId="16" numFmtId="0" xfId="0" applyBorder="1" applyFont="1"/>
    <xf borderId="5" fillId="2" fontId="10" numFmtId="0" xfId="0" applyAlignment="1" applyBorder="1" applyFont="1">
      <alignment shrinkToFit="0" vertical="bottom" wrapText="1"/>
    </xf>
    <xf borderId="1" fillId="2" fontId="16" numFmtId="0" xfId="0" applyAlignment="1" applyBorder="1" applyFont="1">
      <alignment vertical="bottom"/>
    </xf>
    <xf borderId="3" fillId="2" fontId="9" numFmtId="0" xfId="0" applyAlignment="1" applyBorder="1" applyFont="1">
      <alignment vertical="bottom"/>
    </xf>
    <xf borderId="3" fillId="2" fontId="10" numFmtId="166" xfId="0" applyAlignment="1" applyBorder="1" applyFont="1" applyNumberFormat="1">
      <alignment horizontal="left" readingOrder="0" vertical="bottom"/>
    </xf>
    <xf borderId="3" fillId="2" fontId="10" numFmtId="166" xfId="0" applyAlignment="1" applyBorder="1" applyFont="1" applyNumberFormat="1">
      <alignment horizontal="left" vertical="top"/>
    </xf>
    <xf borderId="1" fillId="2" fontId="15" numFmtId="0" xfId="0" applyAlignment="1" applyBorder="1" applyFont="1">
      <alignment vertical="top"/>
    </xf>
    <xf borderId="18" fillId="2" fontId="15" numFmtId="0" xfId="0" applyAlignment="1" applyBorder="1" applyFont="1">
      <alignment vertical="bottom"/>
    </xf>
    <xf borderId="19" fillId="2" fontId="15" numFmtId="0" xfId="0" applyAlignment="1" applyBorder="1" applyFont="1">
      <alignment vertical="bottom"/>
    </xf>
    <xf borderId="19" fillId="2" fontId="15" numFmtId="165" xfId="0" applyAlignment="1" applyBorder="1" applyFont="1" applyNumberFormat="1">
      <alignment vertical="bottom"/>
    </xf>
    <xf borderId="20" fillId="4" fontId="17" numFmtId="0" xfId="0" applyAlignment="1" applyBorder="1" applyFill="1" applyFont="1">
      <alignment horizontal="center" shrinkToFit="0" wrapText="1"/>
    </xf>
    <xf borderId="21" fillId="4" fontId="18" numFmtId="0" xfId="0" applyAlignment="1" applyBorder="1" applyFont="1">
      <alignment horizontal="left" readingOrder="0" shrinkToFit="0" wrapText="1"/>
    </xf>
    <xf borderId="22" fillId="0" fontId="4" numFmtId="0" xfId="0" applyBorder="1" applyFont="1"/>
    <xf borderId="23" fillId="4" fontId="18" numFmtId="0" xfId="0" applyAlignment="1" applyBorder="1" applyFont="1">
      <alignment horizontal="center" readingOrder="0" shrinkToFit="0" wrapText="1"/>
    </xf>
    <xf borderId="24" fillId="0" fontId="4" numFmtId="0" xfId="0" applyBorder="1" applyFont="1"/>
    <xf borderId="25" fillId="0" fontId="4" numFmtId="0" xfId="0" applyBorder="1" applyFont="1"/>
    <xf borderId="26" fillId="0" fontId="4" numFmtId="0" xfId="0" applyBorder="1" applyFont="1"/>
    <xf borderId="27" fillId="0" fontId="4" numFmtId="0" xfId="0" applyBorder="1" applyFont="1"/>
    <xf borderId="5" fillId="2" fontId="19" numFmtId="0" xfId="0" applyAlignment="1" applyBorder="1" applyFont="1">
      <alignment horizontal="center" shrinkToFit="0" vertical="top" wrapText="1"/>
    </xf>
    <xf borderId="26" fillId="0" fontId="20" numFmtId="0" xfId="0" applyAlignment="1" applyBorder="1" applyFont="1">
      <alignment readingOrder="0" shrinkToFit="0" vertical="top" wrapText="1"/>
    </xf>
    <xf borderId="5" fillId="0" fontId="20" numFmtId="0" xfId="0" applyAlignment="1" applyBorder="1" applyFont="1">
      <alignment readingOrder="0" shrinkToFit="0" vertical="top" wrapText="1"/>
    </xf>
    <xf borderId="0" fillId="0" fontId="21" numFmtId="0" xfId="0" applyAlignment="1" applyFont="1">
      <alignment horizontal="left" readingOrder="0" shrinkToFit="0" vertical="center" wrapText="1"/>
    </xf>
    <xf borderId="0" fillId="0" fontId="22" numFmtId="0" xfId="0" applyAlignment="1" applyFont="1">
      <alignment shrinkToFit="0" wrapText="1"/>
    </xf>
    <xf borderId="0" fillId="0" fontId="22" numFmtId="0" xfId="0" applyAlignment="1" applyFont="1">
      <alignment shrinkToFit="0" vertical="center" wrapText="1"/>
    </xf>
    <xf borderId="0" fillId="0" fontId="23" numFmtId="167" xfId="0" applyAlignment="1" applyFont="1" applyNumberFormat="1">
      <alignment shrinkToFit="0" vertical="center" wrapText="1"/>
    </xf>
    <xf borderId="0" fillId="0" fontId="23" numFmtId="0" xfId="0" applyAlignment="1" applyFont="1">
      <alignment shrinkToFit="0" vertical="center" wrapText="1"/>
    </xf>
    <xf quotePrefix="1" borderId="0" fillId="0" fontId="23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Customers Feedback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'1.0' encoding='UTF-8' standalone='yes'?>
<Relationships xmlns="http://schemas.openxmlformats.org/package/2006/relationships"><Relationship Id="styles" Type="http://schemas.openxmlformats.org/officeDocument/2006/relationships/styles" Target="styles.xml"/><Relationship Id="theme" Type="http://schemas.openxmlformats.org/officeDocument/2006/relationships/theme" Target="theme/theme1.xml"/><Relationship Id="sheet1" Type="http://schemas.openxmlformats.org/officeDocument/2006/relationships/worksheet" Target="worksheets/sheet1.xml"/><Relationship Id="sheet2" Type="http://schemas.openxmlformats.org/officeDocument/2006/relationships/worksheet" Target="worksheets/sheet2.xml"/><Relationship Id="sheet3" Type="http://schemas.openxmlformats.org/officeDocument/2006/relationships/worksheet" Target="worksheets/sheet3.xml"/><Relationship Id="sheet4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3.jpg"/><Relationship Id="rId3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85725</xdr:rowOff>
    </xdr:from>
    <xdr:ext cx="2009775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1</xdr:row>
      <xdr:rowOff>-171450</xdr:rowOff>
    </xdr:from>
    <xdr:ext cx="11201400" cy="14506575"/>
    <xdr:pic>
      <xdr:nvPicPr>
        <xdr:cNvPr id="0" name="image4.jp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73</xdr:row>
      <xdr:rowOff>76200</xdr:rowOff>
    </xdr:from>
    <xdr:ext cx="11515725" cy="14897100"/>
    <xdr:pic>
      <xdr:nvPicPr>
        <xdr:cNvPr id="0" name="image3.jp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148</xdr:row>
      <xdr:rowOff>142875</xdr:rowOff>
    </xdr:from>
    <xdr:ext cx="11391900" cy="14792325"/>
    <xdr:pic>
      <xdr:nvPicPr>
        <xdr:cNvPr id="0" name="image2.jp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 standalone='yes'?>
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'1.0' encoding='UTF-8' standalone='yes'?>
<Relationships xmlns="http://schemas.openxmlformats.org/package/2006/relationships"><Relationship Id="notes" Type="http://schemas.openxmlformats.org/officeDocument/2006/relationships/comments" Target="../comments2.xml"/><Relationship Id="noteShapes" Type="http://schemas.openxmlformats.org/officeDocument/2006/relationships/vmlDrawing" Target="../drawings/notes2.vml"/></Relationships>
</file>

<file path=xl/worksheets/_rels/sheet3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 topLeftCell="A1"/>
  </sheetViews>
  <sheetFormatPr customHeight="1" defaultColWidth="12.63" defaultRowHeight="15.0"/>
  <cols>
    <col customWidth="1" min="1" max="1" width="28.13"/>
    <col customWidth="1" min="2" max="2" width="14.38"/>
    <col customWidth="1" min="3" max="3" width="20.88"/>
    <col customWidth="1" min="4" max="4" width="28.5"/>
    <col customWidth="1" min="5" max="5" width="38.0"/>
    <col customWidth="1" min="6" max="6" width="48.13"/>
    <col customWidth="1" min="7" max="26" width="9.0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5.75" customHeight="1">
      <c r="A2" s="3"/>
      <c r="B2" s="4" t="str">
        <v>USER ACCEPTANCE TEST REPORT DOCUMENT</v>
      </c>
      <c r="C2" s="5"/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8"/>
      <c r="B3" s="9"/>
      <c r="C3" s="2"/>
      <c r="D3" s="2"/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1" t="str">
        <v>Project Name</v>
      </c>
      <c r="B4" s="12" t="str">
        <v>TrustCabinet</v>
      </c>
      <c r="C4" s="5"/>
      <c r="D4" s="6"/>
      <c r="E4" s="11" t="str">
        <v>Creator</v>
      </c>
      <c r="F4" s="13" t="str">
        <v>TrustCabinet Team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1" t="str">
        <v>Project Code</v>
      </c>
      <c r="B5" s="12" t="str">
        <v>SEP490-G116</v>
      </c>
      <c r="C5" s="5"/>
      <c r="D5" s="6"/>
      <c r="E5" s="11" t="str">
        <v>Issue Date</v>
      </c>
      <c r="F5" s="14" t="str">
        <v>2026-10-23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5" t="str">
        <v>Document Code</v>
      </c>
      <c r="B6" s="16" t="str">
        <f>B5&amp;"_"&amp;B2&amp;"_"&amp;F6</f>
        <v>SEP490-G116_USER ACCEPTANCE TEST REPORT DOCUMENT_1</v>
      </c>
      <c r="C6" s="5"/>
      <c r="D6" s="6"/>
      <c r="E6" s="11" t="str">
        <v>Version</v>
      </c>
      <c r="F6" s="17" t="str">
        <v>1.0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8"/>
      <c r="B7" s="9"/>
      <c r="C7" s="2"/>
      <c r="D7" s="2"/>
      <c r="E7" s="1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0" t="str">
        <v>Record of change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1" t="str">
        <v>Effective Date</v>
      </c>
      <c r="B10" s="22" t="str">
        <v>Version</v>
      </c>
      <c r="C10" s="22" t="str">
        <v>Change Item</v>
      </c>
      <c r="D10" s="22" t="str">
        <v>*A,D,M</v>
      </c>
      <c r="E10" s="22" t="str">
        <v>Change description</v>
      </c>
      <c r="F10" s="23" t="str">
        <v>Reference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26.25" customHeight="1">
      <c r="A11" s="25" t="str">
        <v>2026-10-23</v>
      </c>
      <c r="B11" s="26" t="str">
        <v>1.0</v>
      </c>
      <c r="C11" s="27"/>
      <c r="D11" s="27" t="str">
        <v>A</v>
      </c>
      <c r="E11" s="27" t="str">
        <v>Generate English test documentation from TrustCabinet source using the supplied template.</v>
      </c>
      <c r="F11" s="28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21.75" customHeight="1">
      <c r="A12" s="30"/>
      <c r="B12" s="26"/>
      <c r="C12" s="27"/>
      <c r="D12" s="27"/>
      <c r="E12" s="27"/>
      <c r="F12" s="31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9.5" customHeight="1">
      <c r="A13" s="30"/>
      <c r="B13" s="26"/>
      <c r="C13" s="27"/>
      <c r="D13" s="27"/>
      <c r="E13" s="27"/>
      <c r="F13" s="31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21.75" customHeight="1">
      <c r="A14" s="30"/>
      <c r="B14" s="26"/>
      <c r="C14" s="27"/>
      <c r="D14" s="27"/>
      <c r="E14" s="27"/>
      <c r="F14" s="31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9.5" customHeight="1">
      <c r="A15" s="30"/>
      <c r="B15" s="26"/>
      <c r="C15" s="27"/>
      <c r="D15" s="27"/>
      <c r="E15" s="27"/>
      <c r="F15" s="31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21.75" customHeight="1">
      <c r="A16" s="30"/>
      <c r="B16" s="26"/>
      <c r="C16" s="27"/>
      <c r="D16" s="27"/>
      <c r="E16" s="27"/>
      <c r="F16" s="31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9.5" customHeight="1">
      <c r="A17" s="32"/>
      <c r="B17" s="33"/>
      <c r="C17" s="34"/>
      <c r="D17" s="34"/>
      <c r="E17" s="34"/>
      <c r="F17" s="35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2.7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</sheetData>
  <mergeCells count="4">
    <mergeCell ref="B2:F2"/>
    <mergeCell ref="B4:D4"/>
    <mergeCell ref="B5:D5"/>
    <mergeCell ref="B6:D6"/>
  </mergeCells>
  <printOptions/>
  <pageMargins bottom="0.35138888888888886" footer="0.0" header="0.0" left="0.4701388888888889" right="0.4701388888888889" top="0.5"/>
  <pageSetup paperSize="9" orientation="landscape"/>
  <headerFooter>
    <oddFooter>&amp;L 02ae-BM/PM/HDCV/FSOFT v2/1&amp;CInternal use&amp;R&amp;P/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 topLeftCell="A1"/>
  </sheetViews>
  <sheetFormatPr customHeight="1" defaultColWidth="12.63" defaultRowHeight="15.0"/>
  <cols>
    <col customWidth="1" min="1" max="1" width="16.25"/>
    <col customWidth="1" min="2" max="2" width="38.38"/>
    <col customWidth="1" min="3" max="3" width="35.25"/>
    <col customWidth="1" min="4" max="4" width="35.38"/>
    <col customWidth="1" min="5" max="5" width="18.38"/>
    <col customWidth="1" min="6" max="6" width="13.88"/>
  </cols>
  <sheetData>
    <row r="1">
      <c r="A1" s="36" t="str">
        <v>ACCEPTANCE TESTING STATISTIC</v>
      </c>
      <c r="B1" s="37"/>
      <c r="C1" s="37"/>
      <c r="D1" s="37"/>
      <c r="E1" s="37"/>
      <c r="F1" s="38"/>
      <c r="G1" s="38"/>
      <c r="H1" s="38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40"/>
      <c r="B2" s="40"/>
      <c r="C2" s="41"/>
      <c r="D2" s="41"/>
      <c r="E2" s="42"/>
      <c r="F2" s="40"/>
      <c r="G2" s="40"/>
      <c r="H2" s="40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43" t="str">
        <v>Project Name</v>
      </c>
      <c r="B3" s="44" t="str">
        <v>TrustCabinet</v>
      </c>
      <c r="C3" s="45" t="str">
        <v>Creator</v>
      </c>
      <c r="D3" s="6"/>
      <c r="E3" s="46" t="str">
        <v>TrustCabinet Team</v>
      </c>
      <c r="F3" s="40"/>
      <c r="G3" s="40"/>
      <c r="H3" s="40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43" t="str">
        <v>Project Code</v>
      </c>
      <c r="B4" s="44" t="str">
        <v>SEP490-G116</v>
      </c>
      <c r="C4" s="45" t="str">
        <v>Issue Date</v>
      </c>
      <c r="D4" s="6"/>
      <c r="E4" s="47" t="str">
        <v>2026-10-23</v>
      </c>
      <c r="F4" s="40"/>
      <c r="G4" s="40"/>
      <c r="H4" s="40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43" t="str">
        <v>Document Code</v>
      </c>
      <c r="B5" s="44" t="str">
        <v>SEP490-G116_Test_Report5.4_v1.0</v>
      </c>
      <c r="C5" s="45"/>
      <c r="D5" s="6"/>
      <c r="E5" s="48"/>
      <c r="F5" s="40"/>
      <c r="G5" s="40"/>
      <c r="H5" s="40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55" customHeight="1">
      <c r="A6" s="43" t="str">
        <v>Notes</v>
      </c>
      <c r="B6" s="49" t="str">
        <v>No customer feedback or acceptance decision has been collected. Criteria below require representative-user execution.</v>
      </c>
      <c r="C6" s="5"/>
      <c r="D6" s="5"/>
      <c r="E6" s="6"/>
      <c r="F6" s="50"/>
      <c r="G6" s="40"/>
      <c r="H6" s="40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40"/>
      <c r="B7" s="41"/>
      <c r="C7" s="51"/>
      <c r="D7" s="51"/>
      <c r="E7" s="51"/>
      <c r="F7" s="52"/>
      <c r="G7" s="41"/>
      <c r="H7" s="40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53" t="str">
        <v>ID</v>
      </c>
      <c r="B8" s="54" t="str">
        <v>Criteria</v>
      </c>
      <c r="C8" s="55"/>
      <c r="D8" s="56" t="str">
        <v>Response</v>
      </c>
      <c r="E8" s="56" t="str">
        <v>Status</v>
      </c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</row>
    <row r="9">
      <c r="A9" s="57"/>
      <c r="B9" s="58"/>
      <c r="C9" s="59"/>
      <c r="D9" s="60"/>
      <c r="E9" s="60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</row>
    <row r="10" ht="32" customHeight="1">
      <c r="A10" s="61" t="str">
        <v>UAT-01</v>
      </c>
      <c r="B10" s="62" t="str">
        <v>Administer user access</v>
      </c>
      <c r="C10" s="60"/>
      <c r="D10" s="63" t="str">
        <v>No response collected.</v>
      </c>
      <c r="E10" s="63" t="str">
        <v>NotRun</v>
      </c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</row>
    <row r="11" ht="32" customHeight="1">
      <c r="A11" s="61" t="str">
        <v>UAT-02</v>
      </c>
      <c r="B11" s="62" t="str">
        <v>Prepare a meeting</v>
      </c>
      <c r="C11" s="60"/>
      <c r="D11" s="63" t="str">
        <v>No response collected.</v>
      </c>
      <c r="E11" s="63" t="str">
        <v>NotRun</v>
      </c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</row>
    <row r="12" ht="32" customHeight="1">
      <c r="A12" s="61" t="str">
        <v>UAT-03</v>
      </c>
      <c r="B12" s="62" t="str">
        <v>Review meeting requests</v>
      </c>
      <c r="C12" s="60"/>
      <c r="D12" s="63" t="str">
        <v>No response collected.</v>
      </c>
      <c r="E12" s="63" t="str">
        <v>NotRun</v>
      </c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</row>
    <row r="13" ht="32" customHeight="1">
      <c r="A13" s="61" t="str">
        <v>UAT-04</v>
      </c>
      <c r="B13" s="62" t="str">
        <v>Receive correct invitation</v>
      </c>
      <c r="C13" s="60"/>
      <c r="D13" s="63" t="str">
        <v>No response collected.</v>
      </c>
      <c r="E13" s="63" t="str">
        <v>NotRun</v>
      </c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</row>
    <row r="14" ht="32" customHeight="1">
      <c r="A14" s="61" t="str">
        <v>UAT-05</v>
      </c>
      <c r="B14" s="62" t="str">
        <v>Understand schedule change</v>
      </c>
      <c r="C14" s="60"/>
      <c r="D14" s="63" t="str">
        <v>No response collected.</v>
      </c>
      <c r="E14" s="63" t="str">
        <v>NotRun</v>
      </c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</row>
    <row r="15" ht="32" customHeight="1">
      <c r="A15" s="61" t="str">
        <v>UAT-06</v>
      </c>
      <c r="B15" s="62" t="str">
        <v>Protect meeting information</v>
      </c>
      <c r="C15" s="60"/>
      <c r="D15" s="63" t="str">
        <v>No response collected.</v>
      </c>
      <c r="E15" s="63" t="str">
        <v>NotRun</v>
      </c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</row>
    <row r="16" ht="32" customHeight="1">
      <c r="A16" s="61" t="str">
        <v>UAT-07</v>
      </c>
      <c r="B16" s="62" t="str">
        <v>Reset forgotten password</v>
      </c>
      <c r="C16" s="60"/>
      <c r="D16" s="63" t="str">
        <v>No response collected.</v>
      </c>
      <c r="E16" s="63" t="str">
        <v>NotRun</v>
      </c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</row>
    <row r="17" ht="32" customHeight="1">
      <c r="A17" s="61" t="str">
        <v>UAT-08</v>
      </c>
      <c r="B17" s="62" t="str">
        <v>Use supported browsers</v>
      </c>
      <c r="C17" s="60"/>
      <c r="D17" s="63" t="str">
        <v>No response collected.</v>
      </c>
      <c r="E17" s="63" t="str">
        <v>NotRun</v>
      </c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</row>
    <row r="18" ht="40" customHeight="1">
      <c r="A18" s="61" t="n">
        <v>9</v>
      </c>
      <c r="B18" s="62" t="str">
        <v>Business needs fit</v>
      </c>
      <c r="C18" s="60"/>
      <c r="D18" s="63" t="str">
        <v>Awaiting representative organizer, approver, participant and administrator feedback.</v>
      </c>
      <c r="E18" s="63" t="str">
        <v>Pending</v>
      </c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</row>
    <row r="19" ht="40" customHeight="1">
      <c r="A19" s="61" t="n">
        <v>10</v>
      </c>
      <c r="B19" s="62" t="str">
        <v>Ease of use</v>
      </c>
      <c r="C19" s="60"/>
      <c r="D19" s="63" t="str">
        <v>Awaiting customer feedback.</v>
      </c>
      <c r="E19" s="63" t="str">
        <v>Pending</v>
      </c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</row>
    <row r="20" ht="40" customHeight="1">
      <c r="A20" s="61" t="n">
        <v>11</v>
      </c>
      <c r="B20" s="62" t="str">
        <v>Improvements and new features</v>
      </c>
      <c r="C20" s="60"/>
      <c r="D20" s="63" t="str">
        <v>Awaiting customer feedback; no requests inferred.</v>
      </c>
      <c r="E20" s="63" t="str">
        <v>Pending</v>
      </c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</row>
    <row r="21" ht="40" customHeight="1">
      <c r="A21" s="61" t="n">
        <v>12</v>
      </c>
      <c r="B21" s="62" t="str">
        <v>Overall satisfaction</v>
      </c>
      <c r="C21" s="60"/>
      <c r="D21" s="63" t="str">
        <v>No ratings collected; an average score cannot be calculated.</v>
      </c>
      <c r="E21" s="63" t="str">
        <v>Pending</v>
      </c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</row>
    <row r="22" ht="40" customHeight="1">
      <c r="A22" s="61" t="n">
        <v>13</v>
      </c>
      <c r="B22" s="62" t="str">
        <v>Acceptance decision</v>
      </c>
      <c r="C22" s="60"/>
      <c r="D22" s="63" t="str">
        <v>Pending stakeholder review and sign-off.</v>
      </c>
      <c r="E22" s="63" t="str">
        <v>Pending</v>
      </c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</row>
  </sheetData>
  <mergeCells count="22">
    <mergeCell ref="D8:D9"/>
    <mergeCell ref="E8:E9"/>
    <mergeCell ref="C3:D3"/>
    <mergeCell ref="C4:D4"/>
    <mergeCell ref="C5:D5"/>
    <mergeCell ref="B6:E6"/>
    <mergeCell ref="A8:A9"/>
    <mergeCell ref="B8:C9"/>
    <mergeCell ref="A1:E1"/>
    <mergeCell ref="B17:C17"/>
    <mergeCell ref="B18:C18"/>
    <mergeCell ref="B19:C19"/>
    <mergeCell ref="B20:C20"/>
    <mergeCell ref="B21:C21"/>
    <mergeCell ref="B22:C22"/>
    <mergeCell ref="B10:C10"/>
    <mergeCell ref="B11:C11"/>
    <mergeCell ref="B12:C12"/>
    <mergeCell ref="B13:C13"/>
    <mergeCell ref="B14:C14"/>
    <mergeCell ref="B15:C15"/>
    <mergeCell ref="B16:C16"/>
  </mergeCells>
  <legacyDrawing r:id="noteShapes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 topLeftCell="A1"/>
  </sheetViews>
  <sheetFormatPr customHeight="1" defaultColWidth="12.63" defaultRowHeight="15.0"/>
  <sheetData>
    <row r="1">
      <c r="A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 topLeftCell="A1">
      <pane ySplit="1.0" topLeftCell="A2" activePane="bottomLeft" state="frozen"/>
      <selection activeCell="A1" sqref="A1" pane="bottomLeft"/>
    </sheetView>
  </sheetViews>
  <sheetFormatPr customHeight="1" defaultColWidth="12.63" defaultRowHeight="15.0"/>
  <cols>
    <col customWidth="1" min="1" max="9" width="17.5"/>
    <col customWidth="1" min="10" max="10" width="35.75"/>
    <col customWidth="1" min="11" max="11" width="32.75"/>
    <col customWidth="1" min="12" max="12" width="30.13"/>
    <col customWidth="1" min="13" max="15" width="17.5"/>
    <col customWidth="1" min="16" max="16" width="37.0"/>
    <col customWidth="1" min="17" max="26" width="7.63"/>
  </cols>
  <sheetData>
    <row r="1" ht="110" customHeight="1">
      <c r="A1" s="64" t="str">
        <v>ID</v>
      </c>
      <c r="B1" s="64" t="str">
        <v>Start time</v>
      </c>
      <c r="C1" s="64" t="str">
        <v>Completion time</v>
      </c>
      <c r="D1" s="64" t="str">
        <v>Email</v>
      </c>
      <c r="E1" s="64" t="str">
        <v>Name</v>
      </c>
      <c r="F1" s="64" t="str">
        <v>Last modified time</v>
      </c>
      <c r="G1" s="64" t="str">
        <v>Name and business role</v>
      </c>
      <c r="H1" s="64" t="str">
        <v>Do the demonstrated features meet your meeting-management needs?</v>
      </c>
      <c r="I1" s="64" t="str">
        <v>How easy is the system to understand and use?</v>
      </c>
      <c r="J1" s="64" t="str">
        <v>Which demonstrated features do you value most?</v>
      </c>
      <c r="K1" s="64" t="str">
        <v>Which areas need improvement?</v>
      </c>
      <c r="L1" s="64" t="str">
        <v>What features should be added next?</v>
      </c>
      <c r="M1" s="64" t="str">
        <v>Which business rules or workflow steps are unclear?</v>
      </c>
      <c r="N1" s="64" t="str">
        <v>UI/UX suggestions</v>
      </c>
      <c r="O1" s="64" t="str">
        <v>Overall satisfaction (1-5)</v>
      </c>
      <c r="P1" s="64" t="str">
        <v>General comments for the development team</v>
      </c>
      <c r="Q1" s="65"/>
      <c r="R1" s="65"/>
      <c r="S1" s="65"/>
      <c r="T1" s="65"/>
      <c r="U1" s="65"/>
      <c r="V1" s="65"/>
      <c r="W1" s="65"/>
      <c r="X1" s="65"/>
      <c r="Y1" s="65"/>
      <c r="Z1" s="65"/>
    </row>
    <row r="2">
      <c r="A2" s="66"/>
      <c r="B2" s="67"/>
      <c r="C2" s="67"/>
      <c r="D2" s="68"/>
      <c r="E2" s="68"/>
      <c r="F2" s="67"/>
      <c r="G2" s="68"/>
      <c r="H2" s="68"/>
      <c r="I2" s="68"/>
      <c r="J2" s="68"/>
      <c r="K2" s="68"/>
      <c r="L2" s="68"/>
      <c r="M2" s="68"/>
      <c r="N2" s="68"/>
      <c r="O2" s="66"/>
      <c r="P2" s="68"/>
      <c r="Q2" s="65"/>
      <c r="R2" s="65"/>
      <c r="S2" s="65"/>
      <c r="T2" s="65"/>
      <c r="U2" s="65"/>
      <c r="V2" s="65"/>
      <c r="W2" s="65"/>
      <c r="X2" s="65"/>
      <c r="Y2" s="65"/>
      <c r="Z2" s="65"/>
    </row>
    <row r="3">
      <c r="A3" s="66"/>
      <c r="B3" s="67"/>
      <c r="C3" s="67"/>
      <c r="D3" s="68"/>
      <c r="E3" s="68"/>
      <c r="F3" s="67"/>
      <c r="G3" s="68"/>
      <c r="H3" s="68"/>
      <c r="I3" s="68"/>
      <c r="J3" s="68"/>
      <c r="K3" s="68"/>
      <c r="L3" s="68"/>
      <c r="M3" s="68"/>
      <c r="N3" s="68"/>
      <c r="O3" s="66"/>
      <c r="P3" s="69"/>
      <c r="Q3" s="65"/>
      <c r="R3" s="65"/>
      <c r="S3" s="65"/>
      <c r="T3" s="65"/>
      <c r="U3" s="65"/>
      <c r="V3" s="65"/>
      <c r="W3" s="65"/>
      <c r="X3" s="65"/>
      <c r="Y3" s="65"/>
      <c r="Z3" s="65"/>
    </row>
    <row r="4">
      <c r="A4" s="66"/>
      <c r="B4" s="67"/>
      <c r="C4" s="67"/>
      <c r="D4" s="68"/>
      <c r="E4" s="68"/>
      <c r="F4" s="67"/>
      <c r="G4" s="68"/>
      <c r="H4" s="68"/>
      <c r="I4" s="68"/>
      <c r="J4" s="68"/>
      <c r="K4" s="68"/>
      <c r="L4" s="68"/>
      <c r="M4" s="68"/>
      <c r="N4" s="68"/>
      <c r="O4" s="66"/>
      <c r="P4" s="68"/>
      <c r="Q4" s="65"/>
      <c r="R4" s="65"/>
      <c r="S4" s="65"/>
      <c r="T4" s="65"/>
      <c r="U4" s="65"/>
      <c r="V4" s="65"/>
      <c r="W4" s="65"/>
      <c r="X4" s="65"/>
      <c r="Y4" s="65"/>
      <c r="Z4" s="65"/>
    </row>
    <row r="5">
      <c r="A5" s="66"/>
      <c r="B5" s="67"/>
      <c r="C5" s="67"/>
      <c r="D5" s="68"/>
      <c r="E5" s="68"/>
      <c r="F5" s="67"/>
      <c r="G5" s="68"/>
      <c r="H5" s="68"/>
      <c r="I5" s="68"/>
      <c r="J5" s="68"/>
      <c r="K5" s="68"/>
      <c r="L5" s="68"/>
      <c r="M5" s="68"/>
      <c r="N5" s="68"/>
      <c r="O5" s="66"/>
      <c r="P5" s="68"/>
      <c r="Q5" s="65"/>
      <c r="R5" s="65"/>
      <c r="S5" s="65"/>
      <c r="T5" s="65"/>
      <c r="U5" s="65"/>
      <c r="V5" s="65"/>
      <c r="W5" s="65"/>
      <c r="X5" s="65"/>
      <c r="Y5" s="65"/>
      <c r="Z5" s="65"/>
    </row>
    <row r="6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</sheetData>
  <printOptions/>
  <pageMargins bottom="0.75" footer="0.0" header="0.0" left="0.7" right="0.7" top="0.75"/>
  <pageSetup paperSize="9" orientation="portrait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2020-03-17T17:34:29Z</dcterms:created>
  <dc:creator>TrustCabinet SEP490-G116</dc:creator>
</cp:coreProperties>
</file>