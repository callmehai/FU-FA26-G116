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Cover" sheetId="1" r:id="sheet1"/>
    <sheet name="Test Cases" sheetId="2" r:id="sheet2"/>
    <sheet name="Test Statistics" sheetId="3" r:id="sheet3"/>
    <sheet name="WorkFlow1" sheetId="4" r:id="sheet4"/>
    <sheet name="WorkFlow10" sheetId="5" r:id="sheet5"/>
    <sheet name="WorkFlow2" sheetId="6" r:id="sheet6"/>
    <sheet name="WorkFlow3" sheetId="7" r:id="sheet7"/>
    <sheet name="WorkFlow4" sheetId="8" r:id="sheet8"/>
    <sheet name="WorkFlow5" sheetId="9" r:id="sheet9"/>
    <sheet name="WorkFlow6" sheetId="10" r:id="sheet10"/>
    <sheet name="WorkFlow7" sheetId="11" r:id="sheet11"/>
    <sheet name="WorkFlow8" sheetId="12" r:id="sheet12"/>
    <sheet name="WorkFlow9" sheetId="13" r:id="sheet13"/>
  </sheets>
  <calcPr fullCalcOnLoad="1" forceFullCalc="1"/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\-mmm\-yy"/>
    <numFmt numFmtId="166" formatCode="dd/mm/yyyy"/>
  </numFmts>
  <fonts count="25">
    <font>
      <sz val="11.0"/>
      <color rgb="FF000000"/>
      <name val="MS PGothic"/>
      <scheme val="minor"/>
    </font>
    <font>
      <sz val="10.0"/>
      <color theme="1"/>
      <name val="Tahoma"/>
    </font>
    <font>
      <b/>
      <sz val="26.0"/>
      <color rgb="FFFF0000"/>
      <name val="Tahoma"/>
    </font>
    <font>
      <b/>
      <sz val="20.0"/>
      <color rgb="FF000000"/>
      <name val="Tahoma"/>
    </font>
    <font/>
    <font>
      <b/>
      <sz val="10.0"/>
      <color rgb="FF993300"/>
      <name val="Tahoma"/>
    </font>
    <font>
      <i/>
      <sz val="10.0"/>
      <color rgb="FF008000"/>
      <name val="Tahoma"/>
    </font>
    <font>
      <b/>
      <sz val="10.0"/>
      <color theme="1"/>
      <name val="Tahoma"/>
    </font>
    <font>
      <i/>
      <sz val="11.0"/>
      <color theme="1"/>
      <name val="Tahoma"/>
    </font>
    <font>
      <i/>
      <sz val="10.0"/>
      <color theme="1"/>
      <name val="Tahoma"/>
    </font>
    <font>
      <b/>
      <sz val="10.0"/>
      <color rgb="FFFFFFFF"/>
      <name val="Tahoma"/>
    </font>
    <font>
      <sz val="12.0"/>
      <color theme="1"/>
      <name val="Times New Roman"/>
    </font>
    <font>
      <b/>
      <sz val="10.0"/>
      <color rgb="FF000000"/>
      <name val="Tahoma"/>
    </font>
    <font>
      <b/>
      <sz val="10.0"/>
      <color rgb="FFFF0000"/>
      <name val="Tahoma"/>
    </font>
    <font>
      <u/>
      <sz val="11.0"/>
      <color rgb="FF0000FF"/>
      <name val="MS PGothic"/>
    </font>
    <font>
      <i/>
      <sz val="10.0"/>
      <color rgb="FF000000"/>
      <name val="Tahoma"/>
    </font>
    <font>
      <sz val="10.0"/>
      <color rgb="FFFFFFFF"/>
      <name val="Tahoma"/>
    </font>
    <font>
      <b/>
      <sz val="10.0"/>
      <color rgb="FF0000FF"/>
      <name val="Tahoma"/>
    </font>
    <font>
      <sz val="10.0"/>
      <color rgb="FF000000"/>
      <name val="Tahoma"/>
    </font>
    <font>
      <sz val="11.0"/>
      <color theme="1"/>
      <name val="MS PGothic"/>
    </font>
    <font>
      <b/>
      <sz val="11.0"/>
      <color theme="1"/>
      <name val="Calibri"/>
    </font>
    <font>
      <b/>
      <sz val="11.0"/>
      <color rgb="FFFFFFFF"/>
      <name val="Calibri"/>
    </font>
    <font>
      <color theme="1"/>
      <name val="Calibri"/>
    </font>
    <font>
      <sz val="11.0"/>
      <color rgb="FF000000"/>
      <name val="Calibri"/>
    </font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B7E1CD"/>
        <bgColor rgb="FFB7E1CD"/>
      </patternFill>
    </fill>
    <fill>
      <patternFill patternType="solid">
        <fgColor rgb="FF333399"/>
        <bgColor rgb="FF333399"/>
      </patternFill>
    </fill>
    <fill>
      <patternFill patternType="solid">
        <fgColor rgb="FF76923C"/>
        <bgColor rgb="FF76923C"/>
      </patternFill>
    </fill>
    <fill>
      <patternFill patternType="solid">
        <fgColor rgb="FFCCFFFF"/>
        <bgColor rgb="FFCCFFFF"/>
      </patternFill>
    </fill>
  </fills>
  <borders count="2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right/>
      <top style="thin">
        <color rgb="FF000000"/>
      </top>
      <bottom style="thin">
        <color rgb="FF000000"/>
      </bottom>
    </border>
    <border>
      <right/>
      <top/>
      <bottom/>
    </border>
    <border>
      <left/>
      <right/>
      <bottom/>
    </border>
    <border>
      <left style="hair">
        <color rgb="FF000000"/>
      </left>
      <right/>
      <top style="thin">
        <color rgb="FF000000"/>
      </top>
      <bottom style="hair">
        <color rgb="FF000000"/>
      </bottom>
    </border>
    <border>
      <left/>
      <top/>
      <bottom/>
    </border>
    <border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Font="1"/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0" fillId="0" fontId="1" numFmtId="0" xfId="0" applyAlignment="1" applyFont="1">
      <alignment horizontal="center" vertical="center"/>
    </xf>
    <xf borderId="4" fillId="2" fontId="5" numFmtId="0" xfId="0" applyAlignment="1" applyBorder="1" applyFill="1" applyFont="1">
      <alignment horizontal="left"/>
    </xf>
    <xf borderId="0" fillId="0" fontId="6" numFmtId="0" xfId="0" applyAlignment="1" applyFont="1">
      <alignment horizontal="left"/>
    </xf>
    <xf borderId="4" fillId="2" fontId="1" numFmtId="0" xfId="0" applyBorder="1" applyFont="1"/>
    <xf borderId="5" fillId="2" fontId="7" numFmtId="0" xfId="0" applyAlignment="1" applyBorder="1" applyFont="1">
      <alignment horizontal="left"/>
    </xf>
    <xf borderId="1" fillId="0" fontId="8" numFmtId="0" xfId="0" applyAlignment="1" applyBorder="1" applyFont="1">
      <alignment vertical="bottom"/>
    </xf>
    <xf borderId="3" fillId="0" fontId="1" numFmtId="0" xfId="0" applyAlignment="1" applyBorder="1" applyFont="1">
      <alignment readingOrder="0"/>
    </xf>
    <xf borderId="3" fillId="0" fontId="9" numFmtId="164" xfId="0" applyAlignment="1" applyBorder="1" applyFont="1" applyNumberFormat="1">
      <alignment horizontal="left" readingOrder="0"/>
    </xf>
    <xf borderId="5" fillId="2" fontId="7" numFmtId="0" xfId="0" applyAlignment="1" applyBorder="1" applyFont="1">
      <alignment vertical="center"/>
    </xf>
    <xf borderId="1" fillId="0" fontId="9" numFmtId="0" xfId="0" applyAlignment="1" applyBorder="1" applyFont="1">
      <alignment horizontal="left" vertical="center"/>
    </xf>
    <xf borderId="3" fillId="0" fontId="9" numFmtId="0" xfId="0" applyAlignment="1" applyBorder="1" applyFont="1">
      <alignment horizontal="left" readingOrder="0"/>
    </xf>
    <xf borderId="0" fillId="0" fontId="7" numFmtId="0" xfId="0" applyFont="1"/>
    <xf borderId="0" fillId="0" fontId="5" numFmtId="0" xfId="0" applyAlignment="1" applyFont="1">
      <alignment horizontal="left"/>
    </xf>
    <xf borderId="0" fillId="0" fontId="7" numFmtId="0" xfId="0" applyAlignment="1" applyFont="1">
      <alignment horizontal="left"/>
    </xf>
    <xf borderId="6" fillId="3" fontId="10" numFmtId="165" xfId="0" applyAlignment="1" applyBorder="1" applyFill="1" applyFont="1" applyNumberFormat="1">
      <alignment horizontal="center" vertical="center"/>
    </xf>
    <xf borderId="7" fillId="3" fontId="10" numFmtId="0" xfId="0" applyAlignment="1" applyBorder="1" applyFont="1">
      <alignment horizontal="center" vertical="center"/>
    </xf>
    <xf borderId="8" fillId="3" fontId="10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9" fillId="0" fontId="11" numFmtId="165" xfId="0" applyAlignment="1" applyBorder="1" applyFont="1" applyNumberFormat="1">
      <alignment horizontal="right" vertical="bottom"/>
    </xf>
    <xf borderId="10" fillId="0" fontId="11" numFmtId="49" xfId="0" applyAlignment="1" applyBorder="1" applyFont="1" applyNumberFormat="1">
      <alignment horizontal="center" vertical="bottom"/>
    </xf>
    <xf borderId="10" fillId="0" fontId="1" numFmtId="0" xfId="0" applyAlignment="1" applyBorder="1" applyFont="1">
      <alignment vertical="top"/>
    </xf>
    <xf borderId="10" fillId="0" fontId="1" numFmtId="0" xfId="0" applyAlignment="1" applyBorder="1" applyFont="1">
      <alignment horizontal="center" readingOrder="0" vertical="center"/>
    </xf>
    <xf borderId="10" fillId="4" fontId="11" numFmtId="0" xfId="0" applyAlignment="1" applyBorder="1" applyFill="1" applyFont="1">
      <alignment readingOrder="0" shrinkToFit="0" vertical="bottom" wrapText="1"/>
    </xf>
    <xf borderId="11" fillId="0" fontId="9" numFmtId="0" xfId="0" applyAlignment="1" applyBorder="1" applyFont="1">
      <alignment shrinkToFit="0" vertical="top" wrapText="1"/>
    </xf>
    <xf borderId="0" fillId="0" fontId="1" numFmtId="0" xfId="0" applyAlignment="1" applyFont="1">
      <alignment vertical="top"/>
    </xf>
    <xf borderId="9" fillId="0" fontId="11" numFmtId="0" xfId="0" applyAlignment="1" applyBorder="1" applyFont="1">
      <alignment horizontal="right" readingOrder="0" vertical="bottom"/>
    </xf>
    <xf borderId="11" fillId="0" fontId="1" numFmtId="0" xfId="0" applyAlignment="1" applyBorder="1" applyFont="1">
      <alignment vertical="top"/>
    </xf>
    <xf borderId="4" fillId="2" fontId="1" numFmtId="1" xfId="0" applyBorder="1" applyFont="1" applyNumberFormat="1"/>
    <xf borderId="4" fillId="2" fontId="1" numFmtId="0" xfId="0" applyAlignment="1" applyBorder="1" applyFont="1">
      <alignment horizontal="left"/>
    </xf>
    <xf borderId="4" fillId="2" fontId="3" numFmtId="0" xfId="0" applyAlignment="1" applyBorder="1" applyFont="1">
      <alignment horizontal="left"/>
    </xf>
    <xf borderId="4" fillId="2" fontId="12" numFmtId="0" xfId="0" applyAlignment="1" applyBorder="1" applyFont="1">
      <alignment horizontal="left"/>
    </xf>
    <xf borderId="4" fillId="2" fontId="13" numFmtId="0" xfId="0" applyAlignment="1" applyBorder="1" applyFont="1">
      <alignment horizontal="left"/>
    </xf>
    <xf borderId="1" fillId="2" fontId="5" numFmtId="1" xfId="0" applyBorder="1" applyFont="1" applyNumberFormat="1"/>
    <xf borderId="12" fillId="0" fontId="4" numFmtId="0" xfId="0" applyBorder="1" applyFont="1"/>
    <xf borderId="1" fillId="0" fontId="8" numFmtId="0" xfId="0" applyAlignment="1" applyBorder="1" applyFont="1">
      <alignment readingOrder="0" vertical="bottom"/>
    </xf>
    <xf borderId="4" fillId="2" fontId="1" numFmtId="0" xfId="0" applyAlignment="1" applyBorder="1" applyFont="1">
      <alignment shrinkToFit="0" wrapText="1"/>
    </xf>
    <xf borderId="1" fillId="2" fontId="5" numFmtId="1" xfId="0" applyAlignment="1" applyBorder="1" applyFont="1" applyNumberFormat="1">
      <alignment shrinkToFit="0" vertical="center" wrapText="1"/>
    </xf>
    <xf borderId="1" fillId="2" fontId="11" numFmtId="0" xfId="0" applyAlignment="1" applyBorder="1" applyFont="1">
      <alignment readingOrder="0" shrinkToFit="0" vertical="top" wrapText="1"/>
    </xf>
    <xf borderId="13" fillId="2" fontId="1" numFmtId="0" xfId="0" applyAlignment="1" applyBorder="1" applyFont="1">
      <alignment shrinkToFit="0" wrapText="1"/>
    </xf>
    <xf borderId="4" fillId="2" fontId="5" numFmtId="1" xfId="0" applyBorder="1" applyFont="1" applyNumberFormat="1"/>
    <xf borderId="14" fillId="2" fontId="1" numFmtId="0" xfId="0" applyBorder="1" applyFont="1"/>
    <xf borderId="4" fillId="2" fontId="1" numFmtId="0" xfId="0" applyAlignment="1" applyBorder="1" applyFont="1">
      <alignment vertical="center"/>
    </xf>
    <xf borderId="4" fillId="2" fontId="1" numFmtId="1" xfId="0" applyAlignment="1" applyBorder="1" applyFont="1" applyNumberFormat="1">
      <alignment vertical="center"/>
    </xf>
    <xf borderId="4" fillId="2" fontId="1" numFmtId="0" xfId="0" applyAlignment="1" applyBorder="1" applyFont="1">
      <alignment horizontal="left" vertical="center"/>
    </xf>
    <xf borderId="4" fillId="2" fontId="7" numFmtId="0" xfId="0" applyAlignment="1" applyBorder="1" applyFont="1">
      <alignment horizontal="center"/>
    </xf>
    <xf borderId="6" fillId="5" fontId="10" numFmtId="1" xfId="0" applyAlignment="1" applyBorder="1" applyFill="1" applyFont="1" applyNumberFormat="1">
      <alignment horizontal="center" shrinkToFit="0" vertical="center" wrapText="1"/>
    </xf>
    <xf borderId="7" fillId="5" fontId="10" numFmtId="0" xfId="0" applyAlignment="1" applyBorder="1" applyFont="1">
      <alignment horizontal="center" shrinkToFit="0" vertical="center" wrapText="1"/>
    </xf>
    <xf borderId="15" fillId="5" fontId="10" numFmtId="0" xfId="0" applyAlignment="1" applyBorder="1" applyFont="1">
      <alignment horizontal="center" shrinkToFit="0" vertical="center" wrapText="1"/>
    </xf>
    <xf borderId="8" fillId="5" fontId="10" numFmtId="0" xfId="0" applyAlignment="1" applyBorder="1" applyFont="1">
      <alignment horizontal="center" shrinkToFit="0" vertical="center" wrapText="1"/>
    </xf>
    <xf borderId="9" fillId="2" fontId="1" numFmtId="1" xfId="0" applyAlignment="1" applyBorder="1" applyFont="1" applyNumberFormat="1">
      <alignment shrinkToFit="0" vertical="center" wrapText="1"/>
    </xf>
    <xf borderId="10" fillId="2" fontId="1" numFmtId="49" xfId="0" applyAlignment="1" applyBorder="1" applyFont="1" applyNumberFormat="1">
      <alignment horizontal="left" readingOrder="0" shrinkToFit="0" vertical="center" wrapText="1"/>
    </xf>
    <xf borderId="10" fillId="2" fontId="14" numFmtId="0" xfId="0" applyAlignment="1" applyBorder="1" applyFont="1">
      <alignment horizontal="left" readingOrder="0" shrinkToFit="0" vertical="center" wrapText="1"/>
    </xf>
    <xf borderId="11" fillId="2" fontId="1" numFmtId="49" xfId="0" applyAlignment="1" applyBorder="1" applyFont="1" applyNumberFormat="1">
      <alignment horizontal="left" readingOrder="0" shrinkToFit="0" vertical="center" wrapText="1"/>
    </xf>
    <xf borderId="13" fillId="2" fontId="1" numFmtId="0" xfId="0" applyBorder="1" applyFont="1"/>
    <xf borderId="14" fillId="2" fontId="1" numFmtId="1" xfId="0" applyBorder="1" applyFont="1" applyNumberFormat="1"/>
    <xf borderId="14" fillId="2" fontId="1" numFmtId="0" xfId="0" applyAlignment="1" applyBorder="1" applyFont="1">
      <alignment horizontal="left"/>
    </xf>
    <xf borderId="16" fillId="2" fontId="3" numFmtId="0" xfId="0" applyAlignment="1" applyBorder="1" applyFont="1">
      <alignment horizontal="center"/>
    </xf>
    <xf borderId="17" fillId="0" fontId="4" numFmtId="0" xfId="0" applyBorder="1" applyFont="1"/>
    <xf borderId="13" fillId="0" fontId="4" numFmtId="0" xfId="0" applyBorder="1" applyFont="1"/>
    <xf borderId="4" fillId="2" fontId="7" numFmtId="0" xfId="0" applyBorder="1" applyFont="1"/>
    <xf borderId="4" fillId="2" fontId="1" numFmtId="165" xfId="0" applyBorder="1" applyFont="1" applyNumberFormat="1"/>
    <xf borderId="5" fillId="2" fontId="5" numFmtId="0" xfId="0" applyAlignment="1" applyBorder="1" applyFont="1">
      <alignment horizontal="left" vertical="center"/>
    </xf>
    <xf borderId="1" fillId="2" fontId="15" numFmtId="0" xfId="0" applyAlignment="1" applyBorder="1" applyFont="1">
      <alignment horizontal="left" readingOrder="0"/>
    </xf>
    <xf borderId="1" fillId="2" fontId="5" numFmtId="0" xfId="0" applyAlignment="1" applyBorder="1" applyFont="1">
      <alignment horizontal="left"/>
    </xf>
    <xf borderId="18" fillId="2" fontId="5" numFmtId="0" xfId="0" applyAlignment="1" applyBorder="1" applyFont="1">
      <alignment horizontal="left"/>
    </xf>
    <xf borderId="18" fillId="2" fontId="1" numFmtId="0" xfId="0" applyAlignment="1" applyBorder="1" applyFont="1">
      <alignment readingOrder="0" vertical="top"/>
    </xf>
    <xf borderId="18" fillId="2" fontId="1" numFmtId="0" xfId="0" applyAlignment="1" applyBorder="1" applyFont="1">
      <alignment horizontal="left" vertical="top"/>
    </xf>
    <xf borderId="5" fillId="2" fontId="5" numFmtId="0" xfId="0" applyAlignment="1" applyBorder="1" applyFont="1">
      <alignment vertical="center"/>
    </xf>
    <xf borderId="1" fillId="2" fontId="15" numFmtId="0" xfId="0" applyAlignment="1" applyBorder="1" applyFont="1">
      <alignment horizontal="left"/>
    </xf>
    <xf borderId="18" fillId="2" fontId="15" numFmtId="166" xfId="0" applyAlignment="1" applyBorder="1" applyFont="1" applyNumberFormat="1">
      <alignment horizontal="left" readingOrder="0" vertical="top"/>
    </xf>
    <xf borderId="1" fillId="2" fontId="6" numFmtId="0" xfId="0" applyAlignment="1" applyBorder="1" applyFont="1">
      <alignment vertical="top"/>
    </xf>
    <xf borderId="4" fillId="2" fontId="5" numFmtId="0" xfId="0" applyBorder="1" applyFont="1"/>
    <xf borderId="4" fillId="2" fontId="6" numFmtId="0" xfId="0" applyBorder="1" applyFont="1"/>
    <xf borderId="19" fillId="2" fontId="1" numFmtId="0" xfId="0" applyBorder="1" applyFont="1"/>
    <xf borderId="20" fillId="3" fontId="10" numFmtId="0" xfId="0" applyAlignment="1" applyBorder="1" applyFont="1">
      <alignment horizontal="center"/>
    </xf>
    <xf borderId="7" fillId="3" fontId="10" numFmtId="0" xfId="0" applyAlignment="1" applyBorder="1" applyFont="1">
      <alignment horizontal="center"/>
    </xf>
    <xf borderId="7" fillId="3" fontId="10" numFmtId="0" xfId="0" applyAlignment="1" applyBorder="1" applyFont="1">
      <alignment horizontal="center" shrinkToFit="0" wrapText="1"/>
    </xf>
    <xf borderId="15" fillId="3" fontId="10" numFmtId="0" xfId="0" applyAlignment="1" applyBorder="1" applyFont="1">
      <alignment horizontal="center"/>
    </xf>
    <xf borderId="21" fillId="3" fontId="10" numFmtId="0" xfId="0" applyAlignment="1" applyBorder="1" applyFont="1">
      <alignment horizontal="center" shrinkToFit="0" wrapText="1"/>
    </xf>
    <xf borderId="22" fillId="2" fontId="1" numFmtId="0" xfId="0" applyAlignment="1" applyBorder="1" applyFont="1">
      <alignment horizontal="center" readingOrder="0"/>
    </xf>
    <xf borderId="10" fillId="2" fontId="1" numFmtId="0" xfId="0" applyAlignment="1" applyBorder="1" applyFont="1">
      <alignment horizontal="center" readingOrder="0"/>
    </xf>
    <xf borderId="23" fillId="3" fontId="16" numFmtId="0" xfId="0" applyAlignment="1" applyBorder="1" applyFont="1">
      <alignment horizontal="center"/>
    </xf>
    <xf borderId="24" fillId="3" fontId="10" numFmtId="0" xfId="0" applyBorder="1" applyFont="1"/>
    <xf borderId="24" fillId="3" fontId="16" numFmtId="0" xfId="0" applyAlignment="1" applyBorder="1" applyFont="1">
      <alignment horizontal="center"/>
    </xf>
    <xf borderId="25" fillId="3" fontId="16" numFmtId="0" xfId="0" applyAlignment="1" applyBorder="1" applyFont="1">
      <alignment horizontal="center"/>
    </xf>
    <xf borderId="4" fillId="2" fontId="1" numFmtId="0" xfId="0" applyAlignment="1" applyBorder="1" applyFont="1">
      <alignment horizontal="center"/>
    </xf>
    <xf borderId="4" fillId="2" fontId="1" numFmtId="10" xfId="0" applyAlignment="1" applyBorder="1" applyFont="1" applyNumberFormat="1">
      <alignment horizontal="center"/>
    </xf>
    <xf borderId="4" fillId="2" fontId="1" numFmtId="9" xfId="0" applyAlignment="1" applyBorder="1" applyFont="1" applyNumberFormat="1">
      <alignment horizontal="center"/>
    </xf>
    <xf borderId="4" fillId="2" fontId="17" numFmtId="2" xfId="0" applyAlignment="1" applyBorder="1" applyFont="1" applyNumberFormat="1">
      <alignment horizontal="right" shrinkToFit="0" wrapText="1"/>
    </xf>
    <xf borderId="4" fillId="2" fontId="18" numFmtId="0" xfId="0" applyAlignment="1" applyBorder="1" applyFont="1">
      <alignment horizontal="center" shrinkToFit="0" wrapText="1"/>
    </xf>
    <xf borderId="0" fillId="0" fontId="19" numFmtId="0" xfId="0" applyAlignment="1" applyFont="1">
      <alignment vertical="bottom"/>
    </xf>
    <xf borderId="4" fillId="2" fontId="19" numFmtId="0" xfId="0" applyAlignment="1" applyBorder="1" applyFont="1">
      <alignment vertical="bottom"/>
    </xf>
    <xf borderId="0" fillId="2" fontId="19" numFmtId="0" xfId="0" applyAlignment="1" applyFont="1">
      <alignment vertical="bottom"/>
    </xf>
    <xf borderId="5" fillId="0" fontId="20" numFmtId="0" xfId="0" applyAlignment="1" applyBorder="1" applyFont="1">
      <alignment shrinkToFit="0" vertical="bottom" wrapText="1"/>
    </xf>
    <xf borderId="1" fillId="0" fontId="20" numFmtId="0" xfId="0" applyAlignment="1" applyBorder="1" applyFont="1">
      <alignment horizontal="left" readingOrder="0"/>
    </xf>
    <xf borderId="26" fillId="0" fontId="4" numFmtId="0" xfId="0" applyBorder="1" applyFont="1"/>
    <xf borderId="1" fillId="0" fontId="20" numFmtId="0" xfId="0" applyAlignment="1" applyBorder="1" applyFont="1">
      <alignment horizontal="left" readingOrder="0" shrinkToFit="0" wrapText="1"/>
    </xf>
    <xf borderId="1" fillId="0" fontId="20" numFmtId="0" xfId="0" applyAlignment="1" applyBorder="1" applyFont="1">
      <alignment horizontal="left" shrinkToFit="0" vertical="bottom" wrapText="1"/>
    </xf>
    <xf borderId="5" fillId="0" fontId="20" numFmtId="0" xfId="0" applyAlignment="1" applyBorder="1" applyFont="1">
      <alignment horizontal="center" shrinkToFit="0" vertical="bottom" wrapText="1"/>
    </xf>
    <xf borderId="5" fillId="6" fontId="21" numFmtId="0" xfId="0" applyAlignment="1" applyBorder="1" applyFill="1" applyFont="1">
      <alignment horizontal="center" readingOrder="0" shrinkToFit="0" wrapText="1"/>
    </xf>
    <xf borderId="1" fillId="7" fontId="20" numFmtId="0" xfId="0" applyAlignment="1" applyBorder="1" applyFill="1" applyFont="1">
      <alignment horizontal="left" readingOrder="0" shrinkToFit="0" wrapText="1"/>
    </xf>
    <xf borderId="5" fillId="0" fontId="22" numFmtId="0" xfId="0" applyAlignment="1" applyBorder="1" applyFont="1">
      <alignment horizontal="left" readingOrder="0" shrinkToFit="0" vertical="top" wrapText="1"/>
    </xf>
    <xf borderId="5" fillId="0" fontId="22" numFmtId="164" xfId="0" applyAlignment="1" applyBorder="1" applyFont="1" applyNumberFormat="1">
      <alignment horizontal="left" readingOrder="0" shrinkToFit="0" vertical="top" wrapText="1"/>
    </xf>
    <xf borderId="5" fillId="0" fontId="22" numFmtId="0" xfId="0" applyAlignment="1" applyBorder="1" applyFont="1">
      <alignment horizontal="left" shrinkToFit="0" vertical="top" wrapText="1"/>
    </xf>
    <xf borderId="13" fillId="2" fontId="19" numFmtId="0" xfId="0" applyAlignment="1" applyBorder="1" applyFont="1">
      <alignment vertical="bottom"/>
    </xf>
    <xf borderId="5" fillId="0" fontId="22" numFmtId="0" xfId="0" applyAlignment="1" applyBorder="1" applyFont="1">
      <alignment horizontal="left" shrinkToFit="0" vertical="top" wrapText="1"/>
    </xf>
    <xf borderId="0" fillId="0" fontId="23" numFmtId="0" xfId="0" applyAlignment="1" applyFont="1">
      <alignment shrinkToFit="0" vertical="bottom" wrapText="1"/>
    </xf>
    <xf borderId="5" fillId="0" fontId="24" numFmtId="164" xfId="0" applyAlignment="1" applyBorder="1" applyFont="1" applyNumberFormat="1">
      <alignment readingOrder="0" shrinkToFit="0" vertical="top" wrapText="1"/>
    </xf>
    <xf borderId="5" fillId="0" fontId="24" numFmtId="0" xfId="0" applyAlignment="1" applyBorder="1" applyFont="1">
      <alignment shrinkToFit="0" vertical="top" wrapText="1"/>
    </xf>
    <xf borderId="5" fillId="0" fontId="24" numFmtId="164" xfId="0" applyAlignment="1" applyBorder="1" applyFont="1" applyNumberForma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'1.0' encoding='UTF-8' standalone='yes'?>
<Relationships xmlns="http://schemas.openxmlformats.org/package/2006/relationships"><Relationship Id="styles" Type="http://schemas.openxmlformats.org/officeDocument/2006/relationships/styles" Target="styles.xml"/><Relationship Id="theme" Type="http://schemas.openxmlformats.org/officeDocument/2006/relationships/theme" Target="theme/theme1.xml"/><Relationship Id="sheet1" Type="http://schemas.openxmlformats.org/officeDocument/2006/relationships/worksheet" Target="worksheets/sheet1.xml"/><Relationship Id="sheet2" Type="http://schemas.openxmlformats.org/officeDocument/2006/relationships/worksheet" Target="worksheets/sheet2.xml"/><Relationship Id="sheet3" Type="http://schemas.openxmlformats.org/officeDocument/2006/relationships/worksheet" Target="worksheets/sheet3.xml"/><Relationship Id="sheet4" Type="http://schemas.openxmlformats.org/officeDocument/2006/relationships/worksheet" Target="worksheets/sheet4.xml"/><Relationship Id="sheet5" Type="http://schemas.openxmlformats.org/officeDocument/2006/relationships/worksheet" Target="worksheets/sheet5.xml"/><Relationship Id="sheet6" Type="http://schemas.openxmlformats.org/officeDocument/2006/relationships/worksheet" Target="worksheets/sheet6.xml"/><Relationship Id="sheet7" Type="http://schemas.openxmlformats.org/officeDocument/2006/relationships/worksheet" Target="worksheets/sheet7.xml"/><Relationship Id="sheet8" Type="http://schemas.openxmlformats.org/officeDocument/2006/relationships/worksheet" Target="worksheets/sheet8.xml"/><Relationship Id="sheet9" Type="http://schemas.openxmlformats.org/officeDocument/2006/relationships/worksheet" Target="worksheets/sheet9.xml"/><Relationship Id="sheet10" Type="http://schemas.openxmlformats.org/officeDocument/2006/relationships/worksheet" Target="worksheets/sheet10.xml"/><Relationship Id="sheet11" Type="http://schemas.openxmlformats.org/officeDocument/2006/relationships/worksheet" Target="worksheets/sheet11.xml"/><Relationship Id="sheet12" Type="http://schemas.openxmlformats.org/officeDocument/2006/relationships/worksheet" Target="worksheets/sheet12.xml"/><Relationship Id="sheet13" Type="http://schemas.openxmlformats.org/officeDocument/2006/relationships/worksheet" Target="worksheets/sheet1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85725</xdr:rowOff>
    </xdr:from>
    <xdr:ext cx="2009775" cy="666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 standalone='yes'?>
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 topLeftCell="A1"/>
  </sheetViews>
  <sheetFormatPr customHeight="1" defaultColWidth="12.63" defaultRowHeight="15.0"/>
  <cols>
    <col customWidth="1" min="1" max="1" width="28.13"/>
    <col customWidth="1" min="2" max="2" width="10.0"/>
    <col customWidth="1" min="3" max="3" width="14.38"/>
    <col customWidth="1" min="4" max="4" width="13.63"/>
    <col customWidth="1" min="5" max="5" width="44.75"/>
    <col customWidth="1" min="6" max="6" width="48.13"/>
    <col customWidth="1" min="7" max="26" width="9.0"/>
  </cols>
  <sheetData>
    <row r="1" ht="12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75.75" customHeight="1">
      <c r="A2" s="3"/>
      <c r="B2" s="4" t="str">
        <v>SYSTEM TEST REPORT DOCUMENT</v>
      </c>
      <c r="C2" s="5"/>
      <c r="D2" s="5"/>
      <c r="E2" s="5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75" customHeight="1">
      <c r="A3" s="8"/>
      <c r="B3" s="9"/>
      <c r="C3" s="2"/>
      <c r="D3" s="2"/>
      <c r="E3" s="10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11" t="str">
        <v>Project Name</v>
      </c>
      <c r="B4" s="12" t="str">
        <v>TrustCabinet</v>
      </c>
      <c r="C4" s="5"/>
      <c r="D4" s="6"/>
      <c r="E4" s="11" t="str">
        <v>Creator</v>
      </c>
      <c r="F4" s="13" t="str">
        <v>TrustCabinet Team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11" t="str">
        <v>Project Code</v>
      </c>
      <c r="B5" s="12" t="str">
        <v>SEP490-G116</v>
      </c>
      <c r="C5" s="5"/>
      <c r="D5" s="6"/>
      <c r="E5" s="11" t="str">
        <v>Issue Date</v>
      </c>
      <c r="F5" s="14" t="str">
        <v>2026-10-30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15" t="str">
        <v>Document Code</v>
      </c>
      <c r="B6" s="16" t="str">
        <f>B5&amp;"_"&amp;B2&amp;"_v"&amp;F6</f>
        <v>SEP490-G116_SYSTEM TEST REPORT DOCUMENT_v1.1</v>
      </c>
      <c r="C6" s="5"/>
      <c r="D6" s="6"/>
      <c r="E6" s="11" t="str">
        <v>Version</v>
      </c>
      <c r="F6" s="17" t="str">
        <v>1.1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18"/>
      <c r="B7" s="9"/>
      <c r="C7" s="2"/>
      <c r="D7" s="2"/>
      <c r="E7" s="19"/>
      <c r="F7" s="9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20" t="str">
        <v>Record of change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21" t="str">
        <v>Effective Date</v>
      </c>
      <c r="B10" s="22" t="str">
        <v>Version</v>
      </c>
      <c r="C10" s="22" t="str">
        <v>Change Item</v>
      </c>
      <c r="D10" s="22" t="str">
        <v>*A,D,M</v>
      </c>
      <c r="E10" s="22" t="str">
        <v>Change description</v>
      </c>
      <c r="F10" s="23" t="str">
        <v>Reference</v>
      </c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26.25" customHeight="1">
      <c r="A11" s="25" t="str">
        <v>2026-10-23</v>
      </c>
      <c r="B11" s="26" t="str">
        <v>1.0</v>
      </c>
      <c r="C11" s="27" t="str">
        <v>Report 5</v>
      </c>
      <c r="D11" s="28" t="str">
        <v>A</v>
      </c>
      <c r="E11" s="29" t="str">
        <v>Generate test documents from source</v>
      </c>
      <c r="F11" s="30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ht="21.75" customHeight="1">
      <c r="A12" s="32" t="str">
        <v>2026-10-30</v>
      </c>
      <c r="B12" s="26" t="str">
        <v>1.1</v>
      </c>
      <c r="C12" s="27" t="str">
        <v>Test cases</v>
      </c>
      <c r="D12" s="28" t="str">
        <v>M</v>
      </c>
      <c r="E12" s="29" t="str">
        <v>Regenerate: 1129 xUnit methods</v>
      </c>
      <c r="F12" s="33" t="str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ht="19.5" customHeight="1">
      <c r="A13" s="32"/>
      <c r="B13" s="26"/>
      <c r="C13" s="27"/>
      <c r="D13" s="28"/>
      <c r="E13" s="29"/>
      <c r="F13" s="33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ht="21.75" customHeight="1">
      <c r="A14" s="32"/>
      <c r="B14" s="26"/>
      <c r="C14" s="27"/>
      <c r="D14" s="28"/>
      <c r="E14" s="29"/>
      <c r="F14" s="33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ht="19.5" customHeight="1">
      <c r="A15" s="32"/>
      <c r="B15" s="26"/>
      <c r="C15" s="27"/>
      <c r="D15" s="28"/>
      <c r="E15" s="29"/>
      <c r="F15" s="33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ht="12.75" customHeight="1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</sheetData>
  <mergeCells count="4">
    <mergeCell ref="B2:F2"/>
    <mergeCell ref="B4:D4"/>
    <mergeCell ref="B5:D5"/>
    <mergeCell ref="B6:D6"/>
  </mergeCells>
  <printOptions/>
  <pageMargins bottom="0.35138888888888886" footer="0.0" header="0.0" left="0.4701388888888889" right="0.4701388888888889" top="0.5"/>
  <pageSetup paperSize="9" orientation="landscape"/>
  <headerFooter>
    <oddFooter>&amp;L 02ae-BM/PM/HDCV/FSOFT v2/1&amp;CInternal use&amp;R&amp;P/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 topLeftCell="A1"/>
  </sheetViews>
  <sheetFormatPr customHeight="1" defaultColWidth="12.63" defaultRowHeight="15.0"/>
  <cols>
    <col customWidth="1" min="1" max="1" width="1.38"/>
    <col customWidth="1" min="2" max="2" width="6.38"/>
    <col customWidth="1" min="3" max="3" width="26.5"/>
    <col customWidth="1" min="4" max="4" width="27.88"/>
    <col customWidth="1" min="5" max="5" width="28.13"/>
    <col customWidth="1" min="6" max="6" width="30.63"/>
    <col customWidth="1" min="7" max="26" width="9.0"/>
  </cols>
  <sheetData>
    <row r="1" ht="12.75" customHeight="1">
      <c r="A1" s="10"/>
      <c r="B1" s="34"/>
      <c r="C1" s="35"/>
      <c r="D1" s="36" t="str">
        <v>TEST CASE LIST</v>
      </c>
      <c r="E1" s="37"/>
      <c r="F1" s="35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3.5" customHeight="1">
      <c r="A2" s="10"/>
      <c r="B2" s="34"/>
      <c r="C2" s="35"/>
      <c r="D2" s="38"/>
      <c r="E2" s="38"/>
      <c r="F2" s="35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2.75" customHeight="1">
      <c r="A3" s="10"/>
      <c r="B3" s="39" t="str">
        <v>Project Name</v>
      </c>
      <c r="C3" s="40"/>
      <c r="D3" s="12" t="str">
        <v>TrustCabinet</v>
      </c>
      <c r="E3" s="5"/>
      <c r="F3" s="6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75" customHeight="1">
      <c r="A4" s="10"/>
      <c r="B4" s="39" t="str">
        <v>Project Code</v>
      </c>
      <c r="C4" s="40"/>
      <c r="D4" s="41" t="str">
        <v>SEP490-G116</v>
      </c>
      <c r="E4" s="5"/>
      <c r="F4" s="6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65" customHeight="1">
      <c r="A5" s="42"/>
      <c r="B5" s="43" t="str">
        <v>Test Environment Setup Description</v>
      </c>
      <c r="C5" s="6"/>
      <c r="D5" s="44" t="str">
        <v>.NET 10 / xUnit; PostgreSQL / Redis; Chrome / Edge for manual UI workflows.</v>
      </c>
      <c r="E5" s="5"/>
      <c r="F5" s="6"/>
      <c r="G5" s="45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ht="12.75" customHeight="1">
      <c r="A6" s="10"/>
      <c r="B6" s="46"/>
      <c r="C6" s="10"/>
      <c r="D6" s="47"/>
      <c r="E6" s="47"/>
      <c r="F6" s="47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2.75" customHeight="1">
      <c r="A7" s="48"/>
      <c r="B7" s="49"/>
      <c r="C7" s="50"/>
      <c r="D7" s="50"/>
      <c r="E7" s="50"/>
      <c r="F7" s="50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</row>
    <row r="8" ht="21.0" customHeight="1">
      <c r="A8" s="51"/>
      <c r="B8" s="52" t="str">
        <v>No</v>
      </c>
      <c r="C8" s="53" t="str">
        <v>Function Name</v>
      </c>
      <c r="D8" s="53" t="str">
        <v>Sheet Name</v>
      </c>
      <c r="E8" s="54" t="str">
        <v>Description</v>
      </c>
      <c r="F8" s="55" t="str">
        <v>Pre-Condition</v>
      </c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 ht="80.5" customHeight="1">
      <c r="A9" s="10"/>
      <c r="B9" s="56" t="n">
        <v>1</v>
      </c>
      <c r="C9" s="57" t="str">
        <v>Provision access, create a meeting and revoke permission</v>
      </c>
      <c r="D9" s="58" t="str">
        <v>WorkFlow1</v>
      </c>
      <c r="E9" s="57" t="str">
        <v>1 definitions / scenarios</v>
      </c>
      <c r="F9" s="59" t="str">
        <v>1. AdminUsers.
2. MeetingCreator role.
3. New user.
4. Staging PostgreSQL/Redis.</v>
      </c>
      <c r="G9" s="6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24.0" customHeight="1">
      <c r="A10" s="10"/>
      <c r="B10" s="56" t="n">
        <v>2</v>
      </c>
      <c r="C10" s="57" t="str">
        <v>Record an in-person meeting with the room mic through to the exported transcript</v>
      </c>
      <c r="D10" s="58" t="str">
        <v>WorkFlow10</v>
      </c>
      <c r="E10" s="57" t="str">
        <v>1 definitions / scenarios</v>
      </c>
      <c r="F10" s="59" t="str">
        <v>1. InProgress in-person meeting.
2. Secretary laptop with microphone.
3. Chair and member browsers.
4. Speech worker and file storage on staging.</v>
      </c>
      <c r="G10" s="6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66.0" customHeight="1">
      <c r="A11" s="10"/>
      <c r="B11" s="56" t="n">
        <v>3</v>
      </c>
      <c r="C11" s="57" t="str">
        <v>Draft, submission, rejection, revision and approval</v>
      </c>
      <c r="D11" s="58" t="str">
        <v>WorkFlow2</v>
      </c>
      <c r="E11" s="57" t="str">
        <v>1 definitions / scenarios</v>
      </c>
      <c r="F11" s="59" t="str">
        <v>1. Separate active organizer/approver.
2. Ready meeting.
3. Notification worker.</v>
      </c>
      <c r="G11" s="6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95.0" customHeight="1">
      <c r="A12" s="10"/>
      <c r="B12" s="56" t="n">
        <v>4</v>
      </c>
      <c r="C12" s="57" t="str">
        <v>Publication, notifications, email and Calendar</v>
      </c>
      <c r="D12" s="58" t="str">
        <v>WorkFlow3</v>
      </c>
      <c r="E12" s="57" t="str">
        <v>1 definitions / scenarios</v>
      </c>
      <c r="F12" s="59" t="str">
        <v>1. Approved fixture with active Chair/Secretary and participants.
2. Seeded roster.
3. SMTP sandbox.
4. Workers enabled.</v>
      </c>
      <c r="G12" s="6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80.5" customHeight="1">
      <c r="A13" s="10"/>
      <c r="B13" s="56" t="n">
        <v>5</v>
      </c>
      <c r="C13" s="57" t="str">
        <v>Synchronize published meeting reschedule</v>
      </c>
      <c r="D13" s="58" t="str">
        <v>WorkFlow4</v>
      </c>
      <c r="E13" s="57" t="str">
        <v>1 definitions / scenarios</v>
      </c>
      <c r="F13" s="59" t="str">
        <v>1. Published meeting.
2. Participants.
3. Original invitation recorded.
4. SMTP sandbox.</v>
      </c>
      <c r="G13" s="6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66.0" customHeight="1">
      <c r="A14" s="10"/>
      <c r="B14" s="56" t="n">
        <v>6</v>
      </c>
      <c r="C14" s="57" t="str">
        <v>Deactivate, revoke sessions and restore access</v>
      </c>
      <c r="D14" s="58" t="str">
        <v>WorkFlow5</v>
      </c>
      <c r="E14" s="57" t="str">
        <v>1 definitions / scenarios</v>
      </c>
      <c r="F14" s="59" t="str">
        <v>1. Independent admin.
2. Target signed in on two tabs.
3. Not final admin.</v>
      </c>
      <c r="G14" s="6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66.0" customHeight="1">
      <c r="A15" s="10"/>
      <c r="B15" s="56" t="n">
        <v>7</v>
      </c>
      <c r="C15" s="57" t="str">
        <v>Reset password across email and authentication</v>
      </c>
      <c r="D15" s="58" t="str">
        <v>WorkFlow6</v>
      </c>
      <c r="E15" s="57" t="str">
        <v>1 definitions / scenarios</v>
      </c>
      <c r="F15" s="59" t="str">
        <v>1. Administrator/test user.
2. SMTP sandbox.
3. Issued reset link.</v>
      </c>
      <c r="G15" s="6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80.5" customHeight="1">
      <c r="A16" s="10"/>
      <c r="B16" s="56" t="n">
        <v>8</v>
      </c>
      <c r="C16" s="57" t="str">
        <v>Isolate meeting data across roles</v>
      </c>
      <c r="D16" s="58" t="str">
        <v>WorkFlow7</v>
      </c>
      <c r="E16" s="57" t="str">
        <v>1 definitions / scenarios</v>
      </c>
      <c r="F16" s="59" t="str">
        <v>1. Organizer, assigned approver, participant, outsider.
2. Draft/WaitingApproval/Published fixtures.</v>
      </c>
      <c r="G16" s="6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66.0" customHeight="1">
      <c r="A17" s="10"/>
      <c r="B17" s="56" t="n">
        <v>9</v>
      </c>
      <c r="C17" s="57" t="str">
        <v>Recover queued email after SMTP outage</v>
      </c>
      <c r="D17" s="58" t="str">
        <v>WorkFlow8</v>
      </c>
      <c r="E17" s="57" t="str">
        <v>1 definitions / scenarios</v>
      </c>
      <c r="F17" s="59" t="str">
        <v>1. Isolated staging.
2. Controllable SMTP sandbox.
3. Valid Approved fixture.</v>
      </c>
      <c r="G17" s="6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51.5" customHeight="1">
      <c r="A18" s="10"/>
      <c r="B18" s="56" t="n">
        <v>10</v>
      </c>
      <c r="C18" s="57" t="str">
        <v>Operate agenda through complete meeting UI</v>
      </c>
      <c r="D18" s="58" t="str">
        <v>WorkFlow9</v>
      </c>
      <c r="E18" s="57" t="str">
        <v>1 definitions / scenarios</v>
      </c>
      <c r="F18" s="59" t="str">
        <v>1. Blocked: agenda UI and meeting-start workflow unavailable in this checkout.</v>
      </c>
      <c r="G18" s="6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</sheetData>
  <mergeCells count="6">
    <mergeCell ref="B3:C3"/>
    <mergeCell ref="D3:F3"/>
    <mergeCell ref="B4:C4"/>
    <mergeCell ref="D4:F4"/>
    <mergeCell ref="B5:C5"/>
    <mergeCell ref="D5:F5"/>
  </mergeCells>
  <hyperlinks>
    <hyperlink ref="D9" location="'WorkFlow1'!A1" display="WorkFlow1"/>
    <hyperlink ref="D10" location="'WorkFlow10'!A1" display="WorkFlow10"/>
    <hyperlink ref="D11" location="'WorkFlow2'!A1" display="WorkFlow2"/>
    <hyperlink ref="D12" location="'WorkFlow3'!A1" display="WorkFlow3"/>
    <hyperlink ref="D13" location="'WorkFlow4'!A1" display="WorkFlow4"/>
    <hyperlink ref="D14" location="'WorkFlow5'!A1" display="WorkFlow5"/>
    <hyperlink ref="D15" location="'WorkFlow6'!A1" display="WorkFlow6"/>
    <hyperlink ref="D16" location="'WorkFlow7'!A1" display="WorkFlow7"/>
    <hyperlink ref="D17" location="'WorkFlow8'!A1" display="WorkFlow8"/>
    <hyperlink ref="D18" location="'WorkFlow9'!A1" display="WorkFlow9"/>
  </hyperlinks>
  <printOptions/>
  <pageMargins bottom="1.1506944444444445" footer="0.0" header="0.0" left="0.7479166666666667" right="0.7479166666666667" top="0.9840277777777778"/>
  <pageSetup paperSize="9" orientation="landscape"/>
  <headerFooter>
    <oddFooter>&amp;L 02ae-BM/PM/HDCV/FSOFT v2/0&amp;CInternal use&amp;R&amp;P/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 topLeftCell="A1"/>
  </sheetViews>
  <sheetFormatPr customHeight="1" defaultColWidth="12.63" defaultRowHeight="15.0"/>
  <cols>
    <col customWidth="1" min="1" max="1" width="4.5"/>
    <col customWidth="1" min="2" max="2" width="18.38"/>
    <col customWidth="1" min="3" max="3" width="24.13"/>
    <col customWidth="1" min="4" max="6" width="11.63"/>
    <col customWidth="1" min="7" max="7" width="9.0"/>
    <col customWidth="1" min="8" max="8" width="35.5"/>
    <col customWidth="1" min="9" max="26" width="9.0"/>
  </cols>
  <sheetData>
    <row r="1" ht="25.5" customHeight="1">
      <c r="A1" s="10"/>
      <c r="B1" s="63" t="str">
        <v>TEST STATISTICS</v>
      </c>
      <c r="C1" s="64"/>
      <c r="D1" s="64"/>
      <c r="E1" s="64"/>
      <c r="F1" s="64"/>
      <c r="G1" s="64"/>
      <c r="H1" s="65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4.25" customHeight="1">
      <c r="A2" s="66"/>
      <c r="B2" s="66"/>
      <c r="C2" s="10"/>
      <c r="D2" s="10"/>
      <c r="E2" s="10"/>
      <c r="F2" s="10"/>
      <c r="G2" s="10"/>
      <c r="H2" s="67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2.0" customHeight="1">
      <c r="A3" s="10"/>
      <c r="B3" s="68" t="str">
        <v>Project Name</v>
      </c>
      <c r="C3" s="69" t="str">
        <v>TrustCabinet</v>
      </c>
      <c r="D3" s="6"/>
      <c r="E3" s="70" t="str">
        <v>Creator</v>
      </c>
      <c r="F3" s="6"/>
      <c r="G3" s="71"/>
      <c r="H3" s="72" t="str">
        <v>TrustCabinet Team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0" customHeight="1">
      <c r="A4" s="10"/>
      <c r="B4" s="68" t="str">
        <v>Project Code</v>
      </c>
      <c r="C4" s="69" t="str">
        <v>SEP490-G116</v>
      </c>
      <c r="D4" s="6"/>
      <c r="E4" s="70" t="str">
        <v>Reviewer/Approver</v>
      </c>
      <c r="F4" s="6"/>
      <c r="G4" s="71"/>
      <c r="H4" s="73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2.0" customHeight="1">
      <c r="A5" s="10"/>
      <c r="B5" s="74" t="str">
        <v>Document Code</v>
      </c>
      <c r="C5" s="75" t="str">
        <v>SEP490-G116_Test_Report_v1</v>
      </c>
      <c r="D5" s="6"/>
      <c r="E5" s="70" t="str">
        <v>Issue Date</v>
      </c>
      <c r="F5" s="6"/>
      <c r="G5" s="71"/>
      <c r="H5" s="76" t="str">
        <v>2026-10-30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21.75" customHeight="1">
      <c r="A6" s="66"/>
      <c r="B6" s="74" t="str">
        <v>Notes</v>
      </c>
      <c r="C6" s="77" t="str"/>
      <c r="D6" s="5"/>
      <c r="E6" s="5"/>
      <c r="F6" s="5"/>
      <c r="G6" s="5"/>
      <c r="H6" s="6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4.25" customHeight="1">
      <c r="A7" s="66"/>
      <c r="B7" s="78"/>
      <c r="C7" s="79"/>
      <c r="D7" s="10"/>
      <c r="E7" s="10"/>
      <c r="F7" s="10"/>
      <c r="G7" s="10"/>
      <c r="H7" s="67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2.75" customHeight="1">
      <c r="A8" s="10"/>
      <c r="B8" s="78"/>
      <c r="C8" s="79"/>
      <c r="D8" s="10"/>
      <c r="E8" s="10"/>
      <c r="F8" s="10"/>
      <c r="G8" s="10"/>
      <c r="H8" s="67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2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2.75" customHeight="1">
      <c r="A10" s="80"/>
      <c r="B10" s="81" t="str">
        <v>No</v>
      </c>
      <c r="C10" s="82" t="str">
        <v>Module code</v>
      </c>
      <c r="D10" s="83" t="str">
        <v>Passed</v>
      </c>
      <c r="E10" s="82" t="str">
        <v>Failed</v>
      </c>
      <c r="F10" s="82" t="str">
        <v>Pending</v>
      </c>
      <c r="G10" s="84" t="str">
        <v>N/A</v>
      </c>
      <c r="H10" s="85" t="str">
        <v>Number of  test cases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45" customHeight="1">
      <c r="A11" s="80"/>
      <c r="B11" s="86" t="n">
        <v>1</v>
      </c>
      <c r="C11" s="58" t="str">
        <v>WorkFlow1</v>
      </c>
      <c r="D11" s="87" t="n">
        <f>'WorkFlow1'!B6</f>
        <v>0</v>
      </c>
      <c r="E11" s="87" t="n">
        <f>'WorkFlow1'!C6</f>
        <v>0</v>
      </c>
      <c r="F11" s="87" t="n">
        <f>'WorkFlow1'!D6</f>
        <v>1</v>
      </c>
      <c r="G11" s="87" t="n">
        <f>'WorkFlow1'!E6</f>
        <v>0</v>
      </c>
      <c r="H11" s="87" t="n">
        <f>'WorkFlow1'!B4</f>
        <v>1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45" customHeight="1">
      <c r="A12" s="80"/>
      <c r="B12" s="86" t="n">
        <v>2</v>
      </c>
      <c r="C12" s="58" t="str">
        <v>WorkFlow10</v>
      </c>
      <c r="D12" s="87" t="n">
        <f>'WorkFlow10'!B6</f>
        <v>0</v>
      </c>
      <c r="E12" s="87" t="n">
        <f>'WorkFlow10'!C6</f>
        <v>0</v>
      </c>
      <c r="F12" s="87" t="n">
        <f>'WorkFlow10'!D6</f>
        <v>1</v>
      </c>
      <c r="G12" s="87" t="n">
        <f>'WorkFlow10'!E6</f>
        <v>0</v>
      </c>
      <c r="H12" s="87" t="n">
        <f>'WorkFlow10'!B4</f>
        <v>1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45" customHeight="1">
      <c r="A13" s="80"/>
      <c r="B13" s="86" t="n">
        <v>3</v>
      </c>
      <c r="C13" s="58" t="str">
        <v>WorkFlow2</v>
      </c>
      <c r="D13" s="87" t="n">
        <f>'WorkFlow2'!B6</f>
        <v>0</v>
      </c>
      <c r="E13" s="87" t="n">
        <f>'WorkFlow2'!C6</f>
        <v>0</v>
      </c>
      <c r="F13" s="87" t="n">
        <f>'WorkFlow2'!D6</f>
        <v>1</v>
      </c>
      <c r="G13" s="87" t="n">
        <f>'WorkFlow2'!E6</f>
        <v>0</v>
      </c>
      <c r="H13" s="87" t="n">
        <f>'WorkFlow2'!B4</f>
        <v>1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45" customHeight="1">
      <c r="A14" s="80"/>
      <c r="B14" s="86" t="n">
        <v>4</v>
      </c>
      <c r="C14" s="58" t="str">
        <v>WorkFlow3</v>
      </c>
      <c r="D14" s="87" t="n">
        <f>'WorkFlow3'!B6</f>
        <v>0</v>
      </c>
      <c r="E14" s="87" t="n">
        <f>'WorkFlow3'!C6</f>
        <v>0</v>
      </c>
      <c r="F14" s="87" t="n">
        <f>'WorkFlow3'!D6</f>
        <v>1</v>
      </c>
      <c r="G14" s="87" t="n">
        <f>'WorkFlow3'!E6</f>
        <v>0</v>
      </c>
      <c r="H14" s="87" t="n">
        <f>'WorkFlow3'!B4</f>
        <v>1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45" customHeight="1">
      <c r="A15" s="80"/>
      <c r="B15" s="86" t="n">
        <v>5</v>
      </c>
      <c r="C15" s="58" t="str">
        <v>WorkFlow4</v>
      </c>
      <c r="D15" s="87" t="n">
        <f>'WorkFlow4'!B6</f>
        <v>0</v>
      </c>
      <c r="E15" s="87" t="n">
        <f>'WorkFlow4'!C6</f>
        <v>0</v>
      </c>
      <c r="F15" s="87" t="n">
        <f>'WorkFlow4'!D6</f>
        <v>1</v>
      </c>
      <c r="G15" s="87" t="n">
        <f>'WorkFlow4'!E6</f>
        <v>0</v>
      </c>
      <c r="H15" s="87" t="n">
        <f>'WorkFlow4'!B4</f>
        <v>1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45" customHeight="1">
      <c r="A16" s="80"/>
      <c r="B16" s="86" t="n">
        <v>6</v>
      </c>
      <c r="C16" s="58" t="str">
        <v>WorkFlow5</v>
      </c>
      <c r="D16" s="87" t="n">
        <f>'WorkFlow5'!B6</f>
        <v>0</v>
      </c>
      <c r="E16" s="87" t="n">
        <f>'WorkFlow5'!C6</f>
        <v>0</v>
      </c>
      <c r="F16" s="87" t="n">
        <f>'WorkFlow5'!D6</f>
        <v>1</v>
      </c>
      <c r="G16" s="87" t="n">
        <f>'WorkFlow5'!E6</f>
        <v>0</v>
      </c>
      <c r="H16" s="87" t="n">
        <f>'WorkFlow5'!B4</f>
        <v>1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45" customHeight="1">
      <c r="A17" s="80"/>
      <c r="B17" s="86" t="n">
        <v>7</v>
      </c>
      <c r="C17" s="58" t="str">
        <v>WorkFlow6</v>
      </c>
      <c r="D17" s="87" t="n">
        <f>'WorkFlow6'!B6</f>
        <v>0</v>
      </c>
      <c r="E17" s="87" t="n">
        <f>'WorkFlow6'!C6</f>
        <v>0</v>
      </c>
      <c r="F17" s="87" t="n">
        <f>'WorkFlow6'!D6</f>
        <v>1</v>
      </c>
      <c r="G17" s="87" t="n">
        <f>'WorkFlow6'!E6</f>
        <v>0</v>
      </c>
      <c r="H17" s="87" t="n">
        <f>'WorkFlow6'!B4</f>
        <v>1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45" customHeight="1">
      <c r="A18" s="80"/>
      <c r="B18" s="86" t="n">
        <v>8</v>
      </c>
      <c r="C18" s="58" t="str">
        <v>WorkFlow7</v>
      </c>
      <c r="D18" s="87" t="n">
        <f>'WorkFlow7'!B6</f>
        <v>0</v>
      </c>
      <c r="E18" s="87" t="n">
        <f>'WorkFlow7'!C6</f>
        <v>0</v>
      </c>
      <c r="F18" s="87" t="n">
        <f>'WorkFlow7'!D6</f>
        <v>1</v>
      </c>
      <c r="G18" s="87" t="n">
        <f>'WorkFlow7'!E6</f>
        <v>0</v>
      </c>
      <c r="H18" s="87" t="n">
        <f>'WorkFlow7'!B4</f>
        <v>1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45" customHeight="1">
      <c r="A19" s="80"/>
      <c r="B19" s="86" t="n">
        <v>9</v>
      </c>
      <c r="C19" s="58" t="str">
        <v>WorkFlow8</v>
      </c>
      <c r="D19" s="87" t="n">
        <f>'WorkFlow8'!B6</f>
        <v>0</v>
      </c>
      <c r="E19" s="87" t="n">
        <f>'WorkFlow8'!C6</f>
        <v>0</v>
      </c>
      <c r="F19" s="87" t="n">
        <f>'WorkFlow8'!D6</f>
        <v>1</v>
      </c>
      <c r="G19" s="87" t="n">
        <f>'WorkFlow8'!E6</f>
        <v>0</v>
      </c>
      <c r="H19" s="87" t="n">
        <f>'WorkFlow8'!B4</f>
        <v>1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45" customHeight="1">
      <c r="A20" s="80"/>
      <c r="B20" s="86" t="n">
        <v>10</v>
      </c>
      <c r="C20" s="58" t="str">
        <v>WorkFlow9</v>
      </c>
      <c r="D20" s="87" t="n">
        <f>'WorkFlow9'!B6</f>
        <v>0</v>
      </c>
      <c r="E20" s="87" t="n">
        <f>'WorkFlow9'!C6</f>
        <v>0</v>
      </c>
      <c r="F20" s="87" t="n">
        <f>'WorkFlow9'!D6</f>
        <v>1</v>
      </c>
      <c r="G20" s="87" t="n">
        <f>'WorkFlow9'!E6</f>
        <v>0</v>
      </c>
      <c r="H20" s="87" t="n">
        <f>'WorkFlow9'!B4</f>
        <v>1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25" customHeight="1">
      <c r="A21" s="80"/>
      <c r="B21" s="88"/>
      <c r="C21" s="89" t="str">
        <v>Sub total</v>
      </c>
      <c r="D21" s="90" t="n">
        <f>SUM(D11:D20)</f>
        <v>0</v>
      </c>
      <c r="E21" s="90" t="n">
        <f>SUM(E11:E20)</f>
        <v>0</v>
      </c>
      <c r="F21" s="90" t="n">
        <f>SUM(F11:F20)</f>
        <v>10</v>
      </c>
      <c r="G21" s="90" t="n">
        <f>SUM(G11:G20)</f>
        <v>0</v>
      </c>
      <c r="H21" s="91" t="n">
        <f>SUM(H11:H20)</f>
        <v>10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/>
      <c r="B22"/>
      <c r="C22"/>
      <c r="D22"/>
      <c r="E22"/>
      <c r="F22"/>
      <c r="G22"/>
      <c r="H22"/>
    </row>
    <row r="23" ht="25" customHeight="1">
      <c r="A23" s="10"/>
      <c r="B23" s="10"/>
      <c r="C23" s="8" t="str">
        <v>Test coverage</v>
      </c>
      <c r="D23" s="10"/>
      <c r="E23" s="95" t="n">
        <f>IFERROR((D21+E21)*100/(H21-G21),0)</f>
        <v>0.0</v>
      </c>
      <c r="F23" s="10" t="str">
        <v>%</v>
      </c>
      <c r="G23" s="10"/>
      <c r="H23" s="96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25" customHeight="1">
      <c r="A24" s="10"/>
      <c r="B24" s="10"/>
      <c r="C24" s="8" t="str">
        <v>Test successful coverage</v>
      </c>
      <c r="D24" s="10"/>
      <c r="E24" s="95" t="n">
        <f>IFERROR(D21*100/(H21-G21),0)</f>
        <v>0.0</v>
      </c>
      <c r="F24" s="10" t="str">
        <v>%</v>
      </c>
      <c r="G24" s="10"/>
      <c r="H24" s="9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</sheetData>
  <mergeCells count="8">
    <mergeCell ref="B1:H1"/>
    <mergeCell ref="C3:D3"/>
    <mergeCell ref="E3:F3"/>
    <mergeCell ref="C4:D4"/>
    <mergeCell ref="E4:F4"/>
    <mergeCell ref="C5:D5"/>
    <mergeCell ref="E5:F5"/>
    <mergeCell ref="C6:H6"/>
  </mergeCells>
  <hyperlinks>
    <hyperlink ref="C11" location="'WorkFlow1'!A1" display="WorkFlow1"/>
    <hyperlink ref="C12" location="'WorkFlow10'!A1" display="WorkFlow10"/>
    <hyperlink ref="C13" location="'WorkFlow2'!A1" display="WorkFlow2"/>
    <hyperlink ref="C14" location="'WorkFlow3'!A1" display="WorkFlow3"/>
    <hyperlink ref="C15" location="'WorkFlow4'!A1" display="WorkFlow4"/>
    <hyperlink ref="C16" location="'WorkFlow5'!A1" display="WorkFlow5"/>
    <hyperlink ref="C17" location="'WorkFlow6'!A1" display="WorkFlow6"/>
    <hyperlink ref="C18" location="'WorkFlow7'!A1" display="WorkFlow7"/>
    <hyperlink ref="C19" location="'WorkFlow8'!A1" display="WorkFlow8"/>
    <hyperlink ref="C20" location="'WorkFlow9'!A1" display="WorkFlow9"/>
  </hyperlinks>
  <printOptions/>
  <pageMargins bottom="0.9840277777777777" footer="0.0" header="0.0" left="0.7479166666666667" right="0.7479166666666667" top="0.9840277777777778"/>
  <pageSetup orientation="landscape"/>
  <headerFooter>
    <oddFooter>&amp;L 02ae-BM/PM/HDCV/FSOFT v2/0&amp;CInternal use&amp;R&amp;P/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 topLeftCell="A1"/>
  </sheetViews>
  <sheetFormatPr customHeight="1" defaultColWidth="12.63" defaultRowHeight="15.0"/>
  <cols>
    <col customWidth="1" min="2" max="2" width="39.5"/>
    <col customWidth="1" min="3" max="3" width="35.63"/>
    <col customWidth="1" min="4" max="4" width="27.88"/>
    <col customWidth="1" min="5" max="5" width="36.5"/>
  </cols>
  <sheetData>
    <row r="1">
      <c r="A1" s="97"/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8"/>
      <c r="Q1" s="98"/>
      <c r="R1" s="98"/>
      <c r="S1" s="98"/>
      <c r="T1" s="98"/>
      <c r="U1" s="98"/>
      <c r="V1" s="98"/>
      <c r="W1" s="98"/>
      <c r="X1" s="98"/>
      <c r="Y1" s="99"/>
    </row>
    <row r="2">
      <c r="A2" s="100" t="str">
        <v>Feature</v>
      </c>
      <c r="B2" s="101" t="str">
        <v>Provision access, create a meeting and revoke permission</v>
      </c>
      <c r="C2" s="5"/>
      <c r="D2" s="5"/>
      <c r="E2" s="102"/>
      <c r="F2" s="97"/>
      <c r="G2" s="97"/>
      <c r="H2" s="97"/>
      <c r="I2" s="97"/>
      <c r="J2" s="97"/>
      <c r="K2" s="97"/>
      <c r="L2" s="97"/>
      <c r="M2" s="97"/>
      <c r="N2" s="97"/>
      <c r="O2" s="99"/>
      <c r="P2" t="str">
        <v>Passed</v>
      </c>
    </row>
    <row r="3" ht="42" customHeight="1">
      <c r="A3" s="100" t="str">
        <v>Test requirement</v>
      </c>
      <c r="B3" s="103" t="str">
        <v>System-level test flow: Provision access, create a meeting and revoke permission</v>
      </c>
      <c r="C3" s="5"/>
      <c r="D3" s="5"/>
      <c r="E3" s="102"/>
      <c r="F3" s="97"/>
      <c r="G3" s="97"/>
      <c r="H3" s="97"/>
      <c r="I3" s="97"/>
      <c r="J3" s="97"/>
      <c r="K3" s="97"/>
      <c r="L3" s="97"/>
      <c r="M3" s="97"/>
      <c r="N3" s="97"/>
      <c r="O3" s="99"/>
      <c r="P3" t="str">
        <v>Failed</v>
      </c>
    </row>
    <row r="4">
      <c r="A4" s="100" t="str">
        <v>Number of TCs</v>
      </c>
      <c r="B4" s="104" t="n">
        <v>1</v>
      </c>
      <c r="C4" s="5"/>
      <c r="D4" s="5"/>
      <c r="E4" s="102"/>
      <c r="F4" s="97"/>
      <c r="G4" s="97"/>
      <c r="H4" s="97"/>
      <c r="I4" s="97"/>
      <c r="J4" s="97"/>
      <c r="K4" s="97"/>
      <c r="L4" s="97"/>
      <c r="M4" s="97"/>
      <c r="N4" s="97"/>
      <c r="O4" s="99"/>
      <c r="P4" t="str">
        <v>Pending</v>
      </c>
    </row>
    <row r="5">
      <c r="A5" s="105" t="str">
        <v>Testing Round</v>
      </c>
      <c r="B5" s="105" t="str">
        <v>Passed</v>
      </c>
      <c r="C5" s="105" t="str">
        <v>Failed</v>
      </c>
      <c r="D5" s="105" t="str">
        <v>Pending</v>
      </c>
      <c r="E5" s="105" t="str">
        <v>N/A</v>
      </c>
      <c r="F5" s="97"/>
      <c r="G5" s="97"/>
      <c r="H5" s="97"/>
      <c r="I5" s="97"/>
      <c r="J5" s="97"/>
      <c r="K5" s="97"/>
      <c r="L5" s="97"/>
      <c r="M5" s="97"/>
      <c r="N5" s="97"/>
      <c r="O5" s="99"/>
      <c r="P5" t="str">
        <v>Skipped</v>
      </c>
    </row>
    <row r="6">
      <c r="A6" s="100" t="str">
        <v>Round 1</v>
      </c>
      <c r="B6" s="105" t="n">
        <f>COUNTIF(F12:F12,"Passed")</f>
        <v>0</v>
      </c>
      <c r="C6" s="105" t="n">
        <f>COUNTIF(F12:F12,"Failed")</f>
        <v>0</v>
      </c>
      <c r="D6" s="105" t="n">
        <f>B4-B6-C6-E6</f>
        <v>1</v>
      </c>
      <c r="E6" s="105" t="n">
        <f>COUNTIF(F12:F12,"Skipped")</f>
        <v>0</v>
      </c>
      <c r="F6" s="97"/>
      <c r="G6" s="97"/>
      <c r="H6" s="97"/>
      <c r="I6" s="97"/>
      <c r="J6" s="97"/>
      <c r="K6" s="97"/>
      <c r="L6" s="97"/>
      <c r="M6" s="97"/>
      <c r="N6" s="97"/>
      <c r="O6" s="99"/>
      <c r="P6"/>
    </row>
    <row r="7">
      <c r="A7" s="100" t="str">
        <v>Round 2</v>
      </c>
      <c r="B7" s="105" t="n">
        <f>COUNTIF(I12:I12,"Passed")</f>
        <v>0</v>
      </c>
      <c r="C7" s="105" t="n">
        <f>COUNTIF(I12:I12,"Failed")</f>
        <v>0</v>
      </c>
      <c r="D7" s="105" t="n">
        <f>B4-B7-C7-E7</f>
        <v>1</v>
      </c>
      <c r="E7" s="105" t="n">
        <f>COUNTIF(I12:I12,"Skipped")</f>
        <v>0</v>
      </c>
      <c r="F7" s="97"/>
      <c r="G7" s="97"/>
      <c r="H7" s="97"/>
      <c r="I7" s="97"/>
      <c r="J7" s="97"/>
      <c r="K7" s="97"/>
      <c r="L7" s="97"/>
      <c r="M7" s="97"/>
      <c r="N7" s="97"/>
      <c r="O7" s="99"/>
      <c r="P7"/>
    </row>
    <row r="8">
      <c r="A8" s="100" t="str">
        <v>Round 3</v>
      </c>
      <c r="B8" s="105" t="n">
        <f>COUNTIF(L12:L12,"Passed")</f>
        <v>0</v>
      </c>
      <c r="C8" s="105" t="n">
        <f>COUNTIF(L12:L12,"Failed")</f>
        <v>0</v>
      </c>
      <c r="D8" s="105" t="n">
        <f>B4-B8-C8-E8</f>
        <v>1</v>
      </c>
      <c r="E8" s="105" t="n">
        <f>COUNTIF(L12:L12,"Skipped")</f>
        <v>0</v>
      </c>
      <c r="F8" s="97"/>
      <c r="G8" s="97"/>
      <c r="H8" s="97"/>
      <c r="I8" s="97"/>
      <c r="J8" s="97"/>
      <c r="K8" s="97"/>
      <c r="L8" s="97"/>
      <c r="M8" s="97"/>
      <c r="N8" s="97"/>
      <c r="O8" s="99"/>
      <c r="P8"/>
    </row>
    <row r="9">
      <c r="A9" s="97"/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9"/>
      <c r="P9"/>
    </row>
    <row r="10">
      <c r="A10" s="106" t="str">
        <v>Test Case ID</v>
      </c>
      <c r="B10" s="106" t="str">
        <v>Test Case Description</v>
      </c>
      <c r="C10" s="106" t="str">
        <v>Test Case Procedure</v>
      </c>
      <c r="D10" s="106" t="str">
        <v>Expected Results</v>
      </c>
      <c r="E10" s="106" t="str">
        <v>Pre-conditions</v>
      </c>
      <c r="F10" s="106" t="str">
        <v>Round 1</v>
      </c>
      <c r="G10" s="106" t="str">
        <v>Test date</v>
      </c>
      <c r="H10" s="106" t="str">
        <v>Tester</v>
      </c>
      <c r="I10" s="106" t="str">
        <v>Round 2</v>
      </c>
      <c r="J10" s="106" t="str">
        <v>Test date</v>
      </c>
      <c r="K10" s="106" t="str">
        <v>Tester</v>
      </c>
      <c r="L10" s="106" t="str">
        <v>Round 3</v>
      </c>
      <c r="M10" s="106" t="str">
        <v>Test date</v>
      </c>
      <c r="N10" s="106" t="str">
        <v>Tester</v>
      </c>
      <c r="O10" s="106" t="str">
        <v>Note</v>
      </c>
      <c r="P10"/>
    </row>
    <row r="11" ht="24" customHeight="1">
      <c r="A11" s="108" t="str">
        <v>Provision access, create a meeting and revoke permission</v>
      </c>
      <c r="B11" s="108"/>
      <c r="C11" s="108"/>
      <c r="D11" s="108"/>
      <c r="E11" s="108"/>
      <c r="F11" s="108"/>
      <c r="G11" s="109"/>
      <c r="H11" s="108"/>
      <c r="I11" s="108"/>
      <c r="J11" s="109"/>
      <c r="K11" s="108"/>
      <c r="L11" s="108"/>
      <c r="M11" s="109"/>
      <c r="N11" s="108"/>
      <c r="O11" s="110"/>
      <c r="P11"/>
    </row>
    <row r="12" ht="95.0" customHeight="1">
      <c r="A12" s="108" t="str">
        <v>SYS-01</v>
      </c>
      <c r="B12" s="108" t="str">
        <v>Provision access, create a meeting and revoke permission</v>
      </c>
      <c r="C12" s="108" t="str">
        <v>1. Create user and assign role.
2. Sign in as user.
3. Create Draft.
4. Remove creation capability.
5. Reload and retry creation.</v>
      </c>
      <c r="D12" s="108" t="str">
        <v>1. Creation succeeds while authorized and fails after revocation.
2. Original Draft remains intact.</v>
      </c>
      <c r="E12" s="108" t="str">
        <v>1. AdminUsers.
2. MeetingCreator role.
3. New user.
4. Staging PostgreSQL/Redis.</v>
      </c>
      <c r="F12" s="108" t="str">
        <v>Pending</v>
      </c>
      <c r="G12" s="109" t="str"/>
      <c r="H12" s="108" t="str"/>
      <c r="I12" s="108" t="str"/>
      <c r="J12" s="109" t="str"/>
      <c r="K12" s="108" t="str"/>
      <c r="L12" s="108" t="str"/>
      <c r="M12" s="109" t="str"/>
      <c r="N12" s="108" t="str"/>
      <c r="O12" s="110" t="str"/>
      <c r="P12"/>
    </row>
  </sheetData>
  <mergeCells count="4">
    <mergeCell ref="B2:E2"/>
    <mergeCell ref="B3:E3"/>
    <mergeCell ref="B4:E4"/>
    <mergeCell ref="A11:O11"/>
  </mergeCell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 topLeftCell="A1"/>
  </sheetViews>
  <sheetFormatPr customHeight="1" defaultColWidth="12.63" defaultRowHeight="15.0"/>
  <cols>
    <col customWidth="1" min="2" max="2" width="39.5"/>
    <col customWidth="1" min="3" max="3" width="35.63"/>
    <col customWidth="1" min="4" max="4" width="27.88"/>
    <col customWidth="1" min="5" max="5" width="36.5"/>
  </cols>
  <sheetData>
    <row r="1">
      <c r="A1" s="97"/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8"/>
      <c r="Q1" s="98"/>
      <c r="R1" s="98"/>
      <c r="S1" s="98"/>
      <c r="T1" s="98"/>
      <c r="U1" s="98"/>
      <c r="V1" s="98"/>
      <c r="W1" s="98"/>
      <c r="X1" s="98"/>
      <c r="Y1" s="99"/>
    </row>
    <row r="2">
      <c r="A2" s="100" t="str">
        <v>Feature</v>
      </c>
      <c r="B2" s="101" t="str">
        <v>Record an in-person meeting with the room mic through to the exported transcript</v>
      </c>
      <c r="C2" s="5"/>
      <c r="D2" s="5"/>
      <c r="E2" s="102"/>
      <c r="F2" s="97"/>
      <c r="G2" s="97"/>
      <c r="H2" s="97"/>
      <c r="I2" s="97"/>
      <c r="J2" s="97"/>
      <c r="K2" s="97"/>
      <c r="L2" s="97"/>
      <c r="M2" s="97"/>
      <c r="N2" s="97"/>
      <c r="O2" s="99"/>
      <c r="P2" t="str">
        <v>Passed</v>
      </c>
    </row>
    <row r="3" ht="42" customHeight="1">
      <c r="A3" s="100" t="str">
        <v>Test requirement</v>
      </c>
      <c r="B3" s="103" t="str">
        <v>System-level test flow: Record an in-person meeting with the room mic through to the exported transcript</v>
      </c>
      <c r="C3" s="5"/>
      <c r="D3" s="5"/>
      <c r="E3" s="102"/>
      <c r="F3" s="97"/>
      <c r="G3" s="97"/>
      <c r="H3" s="97"/>
      <c r="I3" s="97"/>
      <c r="J3" s="97"/>
      <c r="K3" s="97"/>
      <c r="L3" s="97"/>
      <c r="M3" s="97"/>
      <c r="N3" s="97"/>
      <c r="O3" s="99"/>
      <c r="P3" t="str">
        <v>Failed</v>
      </c>
    </row>
    <row r="4">
      <c r="A4" s="100" t="str">
        <v>Number of TCs</v>
      </c>
      <c r="B4" s="104" t="n">
        <v>1</v>
      </c>
      <c r="C4" s="5"/>
      <c r="D4" s="5"/>
      <c r="E4" s="102"/>
      <c r="F4" s="97"/>
      <c r="G4" s="97"/>
      <c r="H4" s="97"/>
      <c r="I4" s="97"/>
      <c r="J4" s="97"/>
      <c r="K4" s="97"/>
      <c r="L4" s="97"/>
      <c r="M4" s="97"/>
      <c r="N4" s="97"/>
      <c r="O4" s="99"/>
      <c r="P4" t="str">
        <v>Pending</v>
      </c>
    </row>
    <row r="5">
      <c r="A5" s="105" t="str">
        <v>Testing Round</v>
      </c>
      <c r="B5" s="105" t="str">
        <v>Passed</v>
      </c>
      <c r="C5" s="105" t="str">
        <v>Failed</v>
      </c>
      <c r="D5" s="105" t="str">
        <v>Pending</v>
      </c>
      <c r="E5" s="105" t="str">
        <v>N/A</v>
      </c>
      <c r="F5" s="97"/>
      <c r="G5" s="97"/>
      <c r="H5" s="97"/>
      <c r="I5" s="97"/>
      <c r="J5" s="97"/>
      <c r="K5" s="97"/>
      <c r="L5" s="97"/>
      <c r="M5" s="97"/>
      <c r="N5" s="97"/>
      <c r="O5" s="99"/>
      <c r="P5" t="str">
        <v>Skipped</v>
      </c>
    </row>
    <row r="6">
      <c r="A6" s="100" t="str">
        <v>Round 1</v>
      </c>
      <c r="B6" s="105" t="n">
        <f>COUNTIF(F12:F12,"Passed")</f>
        <v>0</v>
      </c>
      <c r="C6" s="105" t="n">
        <f>COUNTIF(F12:F12,"Failed")</f>
        <v>0</v>
      </c>
      <c r="D6" s="105" t="n">
        <f>B4-B6-C6-E6</f>
        <v>1</v>
      </c>
      <c r="E6" s="105" t="n">
        <f>COUNTIF(F12:F12,"Skipped")</f>
        <v>0</v>
      </c>
      <c r="F6" s="97"/>
      <c r="G6" s="97"/>
      <c r="H6" s="97"/>
      <c r="I6" s="97"/>
      <c r="J6" s="97"/>
      <c r="K6" s="97"/>
      <c r="L6" s="97"/>
      <c r="M6" s="97"/>
      <c r="N6" s="97"/>
      <c r="O6" s="99"/>
      <c r="P6"/>
    </row>
    <row r="7">
      <c r="A7" s="100" t="str">
        <v>Round 2</v>
      </c>
      <c r="B7" s="105" t="n">
        <f>COUNTIF(I12:I12,"Passed")</f>
        <v>0</v>
      </c>
      <c r="C7" s="105" t="n">
        <f>COUNTIF(I12:I12,"Failed")</f>
        <v>0</v>
      </c>
      <c r="D7" s="105" t="n">
        <f>B4-B7-C7-E7</f>
        <v>1</v>
      </c>
      <c r="E7" s="105" t="n">
        <f>COUNTIF(I12:I12,"Skipped")</f>
        <v>0</v>
      </c>
      <c r="F7" s="97"/>
      <c r="G7" s="97"/>
      <c r="H7" s="97"/>
      <c r="I7" s="97"/>
      <c r="J7" s="97"/>
      <c r="K7" s="97"/>
      <c r="L7" s="97"/>
      <c r="M7" s="97"/>
      <c r="N7" s="97"/>
      <c r="O7" s="99"/>
      <c r="P7"/>
    </row>
    <row r="8">
      <c r="A8" s="100" t="str">
        <v>Round 3</v>
      </c>
      <c r="B8" s="105" t="n">
        <f>COUNTIF(L12:L12,"Passed")</f>
        <v>0</v>
      </c>
      <c r="C8" s="105" t="n">
        <f>COUNTIF(L12:L12,"Failed")</f>
        <v>0</v>
      </c>
      <c r="D8" s="105" t="n">
        <f>B4-B8-C8-E8</f>
        <v>1</v>
      </c>
      <c r="E8" s="105" t="n">
        <f>COUNTIF(L12:L12,"Skipped")</f>
        <v>0</v>
      </c>
      <c r="F8" s="97"/>
      <c r="G8" s="97"/>
      <c r="H8" s="97"/>
      <c r="I8" s="97"/>
      <c r="J8" s="97"/>
      <c r="K8" s="97"/>
      <c r="L8" s="97"/>
      <c r="M8" s="97"/>
      <c r="N8" s="97"/>
      <c r="O8" s="99"/>
      <c r="P8"/>
    </row>
    <row r="9">
      <c r="A9" s="97"/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9"/>
      <c r="P9"/>
    </row>
    <row r="10">
      <c r="A10" s="106" t="str">
        <v>Test Case ID</v>
      </c>
      <c r="B10" s="106" t="str">
        <v>Test Case Description</v>
      </c>
      <c r="C10" s="106" t="str">
        <v>Test Case Procedure</v>
      </c>
      <c r="D10" s="106" t="str">
        <v>Expected Results</v>
      </c>
      <c r="E10" s="106" t="str">
        <v>Pre-conditions</v>
      </c>
      <c r="F10" s="106" t="str">
        <v>Round 1</v>
      </c>
      <c r="G10" s="106" t="str">
        <v>Test date</v>
      </c>
      <c r="H10" s="106" t="str">
        <v>Tester</v>
      </c>
      <c r="I10" s="106" t="str">
        <v>Round 2</v>
      </c>
      <c r="J10" s="106" t="str">
        <v>Test date</v>
      </c>
      <c r="K10" s="106" t="str">
        <v>Tester</v>
      </c>
      <c r="L10" s="106" t="str">
        <v>Round 3</v>
      </c>
      <c r="M10" s="106" t="str">
        <v>Test date</v>
      </c>
      <c r="N10" s="106" t="str">
        <v>Tester</v>
      </c>
      <c r="O10" s="106" t="str">
        <v>Note</v>
      </c>
      <c r="P10"/>
    </row>
    <row r="11" ht="24" customHeight="1">
      <c r="A11" s="108" t="str">
        <v>Record an in-person meeting with the room mic through to the exported transcript</v>
      </c>
      <c r="B11" s="108"/>
      <c r="C11" s="108"/>
      <c r="D11" s="108"/>
      <c r="E11" s="108"/>
      <c r="F11" s="108"/>
      <c r="G11" s="109"/>
      <c r="H11" s="108"/>
      <c r="I11" s="108"/>
      <c r="J11" s="109"/>
      <c r="K11" s="108"/>
      <c r="L11" s="108"/>
      <c r="M11" s="109"/>
      <c r="N11" s="108"/>
      <c r="O11" s="110"/>
      <c r="P11"/>
    </row>
    <row r="12" ht="196.5" customHeight="1">
      <c r="A12" s="108" t="str">
        <v>SYS-10</v>
      </c>
      <c r="B12" s="108" t="str">
        <v>Record an in-person meeting with the room mic through to the exported transcript</v>
      </c>
      <c r="C12" s="108" t="str">
        <v>1. Secretary switches the room mic on with consent and records two takes.
2. Member watches the Bản ghi tab while recording.
3. Wait for the transcript; name the speakers and correct one line.
4. Delete one take.
5. Chair downloads the audio and the transcript (.txt).
6. Repeat the download on a Mật meeting.</v>
      </c>
      <c r="D12" s="108" t="str">
        <v>1. Takes form one room recording transcribed as a whole.
2. Deleting a take removes its sound and lines and keeps edits and names.
3. Only Chair/Secretary download.
4. A Mật meeting allows no download.
5. Audit records each step.</v>
      </c>
      <c r="E12" s="108" t="str">
        <v>1. InProgress in-person meeting.
2. Secretary laptop with microphone.
3. Chair and member browsers.
4. Speech worker and file storage on staging.</v>
      </c>
      <c r="F12" s="108" t="str">
        <v>Pending</v>
      </c>
      <c r="G12" s="109" t="str"/>
      <c r="H12" s="108" t="str"/>
      <c r="I12" s="108" t="str"/>
      <c r="J12" s="109" t="str"/>
      <c r="K12" s="108" t="str"/>
      <c r="L12" s="108" t="str"/>
      <c r="M12" s="109" t="str"/>
      <c r="N12" s="108" t="str"/>
      <c r="O12" s="110" t="str"/>
      <c r="P12"/>
    </row>
  </sheetData>
  <mergeCells count="4">
    <mergeCell ref="B2:E2"/>
    <mergeCell ref="B3:E3"/>
    <mergeCell ref="B4:E4"/>
    <mergeCell ref="A11:O11"/>
  </mergeCell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 topLeftCell="A1"/>
  </sheetViews>
  <sheetFormatPr customHeight="1" defaultColWidth="12.63" defaultRowHeight="15.0"/>
  <cols>
    <col customWidth="1" min="2" max="2" width="39.5"/>
    <col customWidth="1" min="3" max="3" width="35.63"/>
    <col customWidth="1" min="4" max="4" width="27.88"/>
    <col customWidth="1" min="5" max="5" width="36.5"/>
  </cols>
  <sheetData>
    <row r="1">
      <c r="A1" s="97"/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8"/>
      <c r="Q1" s="98"/>
      <c r="R1" s="98"/>
      <c r="S1" s="98"/>
      <c r="T1" s="98"/>
      <c r="U1" s="98"/>
      <c r="V1" s="98"/>
      <c r="W1" s="98"/>
      <c r="X1" s="98"/>
      <c r="Y1" s="99"/>
    </row>
    <row r="2">
      <c r="A2" s="100" t="str">
        <v>Feature</v>
      </c>
      <c r="B2" s="101" t="str">
        <v>Draft, submission, rejection, revision and approval</v>
      </c>
      <c r="C2" s="5"/>
      <c r="D2" s="5"/>
      <c r="E2" s="102"/>
      <c r="F2" s="97"/>
      <c r="G2" s="97"/>
      <c r="H2" s="97"/>
      <c r="I2" s="97"/>
      <c r="J2" s="97"/>
      <c r="K2" s="97"/>
      <c r="L2" s="97"/>
      <c r="M2" s="97"/>
      <c r="N2" s="97"/>
      <c r="O2" s="99"/>
      <c r="P2" t="str">
        <v>Passed</v>
      </c>
    </row>
    <row r="3" ht="42" customHeight="1">
      <c r="A3" s="100" t="str">
        <v>Test requirement</v>
      </c>
      <c r="B3" s="103" t="str">
        <v>System-level test flow: Draft, submission, rejection, revision and approval</v>
      </c>
      <c r="C3" s="5"/>
      <c r="D3" s="5"/>
      <c r="E3" s="102"/>
      <c r="F3" s="97"/>
      <c r="G3" s="97"/>
      <c r="H3" s="97"/>
      <c r="I3" s="97"/>
      <c r="J3" s="97"/>
      <c r="K3" s="97"/>
      <c r="L3" s="97"/>
      <c r="M3" s="97"/>
      <c r="N3" s="97"/>
      <c r="O3" s="99"/>
      <c r="P3" t="str">
        <v>Failed</v>
      </c>
    </row>
    <row r="4">
      <c r="A4" s="100" t="str">
        <v>Number of TCs</v>
      </c>
      <c r="B4" s="104" t="n">
        <v>1</v>
      </c>
      <c r="C4" s="5"/>
      <c r="D4" s="5"/>
      <c r="E4" s="102"/>
      <c r="F4" s="97"/>
      <c r="G4" s="97"/>
      <c r="H4" s="97"/>
      <c r="I4" s="97"/>
      <c r="J4" s="97"/>
      <c r="K4" s="97"/>
      <c r="L4" s="97"/>
      <c r="M4" s="97"/>
      <c r="N4" s="97"/>
      <c r="O4" s="99"/>
      <c r="P4" t="str">
        <v>Pending</v>
      </c>
    </row>
    <row r="5">
      <c r="A5" s="105" t="str">
        <v>Testing Round</v>
      </c>
      <c r="B5" s="105" t="str">
        <v>Passed</v>
      </c>
      <c r="C5" s="105" t="str">
        <v>Failed</v>
      </c>
      <c r="D5" s="105" t="str">
        <v>Pending</v>
      </c>
      <c r="E5" s="105" t="str">
        <v>N/A</v>
      </c>
      <c r="F5" s="97"/>
      <c r="G5" s="97"/>
      <c r="H5" s="97"/>
      <c r="I5" s="97"/>
      <c r="J5" s="97"/>
      <c r="K5" s="97"/>
      <c r="L5" s="97"/>
      <c r="M5" s="97"/>
      <c r="N5" s="97"/>
      <c r="O5" s="99"/>
      <c r="P5" t="str">
        <v>Skipped</v>
      </c>
    </row>
    <row r="6">
      <c r="A6" s="100" t="str">
        <v>Round 1</v>
      </c>
      <c r="B6" s="105" t="n">
        <f>COUNTIF(F12:F12,"Passed")</f>
        <v>0</v>
      </c>
      <c r="C6" s="105" t="n">
        <f>COUNTIF(F12:F12,"Failed")</f>
        <v>0</v>
      </c>
      <c r="D6" s="105" t="n">
        <f>B4-B6-C6-E6</f>
        <v>1</v>
      </c>
      <c r="E6" s="105" t="n">
        <f>COUNTIF(F12:F12,"Skipped")</f>
        <v>0</v>
      </c>
      <c r="F6" s="97"/>
      <c r="G6" s="97"/>
      <c r="H6" s="97"/>
      <c r="I6" s="97"/>
      <c r="J6" s="97"/>
      <c r="K6" s="97"/>
      <c r="L6" s="97"/>
      <c r="M6" s="97"/>
      <c r="N6" s="97"/>
      <c r="O6" s="99"/>
      <c r="P6"/>
    </row>
    <row r="7">
      <c r="A7" s="100" t="str">
        <v>Round 2</v>
      </c>
      <c r="B7" s="105" t="n">
        <f>COUNTIF(I12:I12,"Passed")</f>
        <v>0</v>
      </c>
      <c r="C7" s="105" t="n">
        <f>COUNTIF(I12:I12,"Failed")</f>
        <v>0</v>
      </c>
      <c r="D7" s="105" t="n">
        <f>B4-B7-C7-E7</f>
        <v>1</v>
      </c>
      <c r="E7" s="105" t="n">
        <f>COUNTIF(I12:I12,"Skipped")</f>
        <v>0</v>
      </c>
      <c r="F7" s="97"/>
      <c r="G7" s="97"/>
      <c r="H7" s="97"/>
      <c r="I7" s="97"/>
      <c r="J7" s="97"/>
      <c r="K7" s="97"/>
      <c r="L7" s="97"/>
      <c r="M7" s="97"/>
      <c r="N7" s="97"/>
      <c r="O7" s="99"/>
      <c r="P7"/>
    </row>
    <row r="8">
      <c r="A8" s="100" t="str">
        <v>Round 3</v>
      </c>
      <c r="B8" s="105" t="n">
        <f>COUNTIF(L12:L12,"Passed")</f>
        <v>0</v>
      </c>
      <c r="C8" s="105" t="n">
        <f>COUNTIF(L12:L12,"Failed")</f>
        <v>0</v>
      </c>
      <c r="D8" s="105" t="n">
        <f>B4-B8-C8-E8</f>
        <v>1</v>
      </c>
      <c r="E8" s="105" t="n">
        <f>COUNTIF(L12:L12,"Skipped")</f>
        <v>0</v>
      </c>
      <c r="F8" s="97"/>
      <c r="G8" s="97"/>
      <c r="H8" s="97"/>
      <c r="I8" s="97"/>
      <c r="J8" s="97"/>
      <c r="K8" s="97"/>
      <c r="L8" s="97"/>
      <c r="M8" s="97"/>
      <c r="N8" s="97"/>
      <c r="O8" s="99"/>
      <c r="P8"/>
    </row>
    <row r="9">
      <c r="A9" s="97"/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9"/>
      <c r="P9"/>
    </row>
    <row r="10">
      <c r="A10" s="106" t="str">
        <v>Test Case ID</v>
      </c>
      <c r="B10" s="106" t="str">
        <v>Test Case Description</v>
      </c>
      <c r="C10" s="106" t="str">
        <v>Test Case Procedure</v>
      </c>
      <c r="D10" s="106" t="str">
        <v>Expected Results</v>
      </c>
      <c r="E10" s="106" t="str">
        <v>Pre-conditions</v>
      </c>
      <c r="F10" s="106" t="str">
        <v>Round 1</v>
      </c>
      <c r="G10" s="106" t="str">
        <v>Test date</v>
      </c>
      <c r="H10" s="106" t="str">
        <v>Tester</v>
      </c>
      <c r="I10" s="106" t="str">
        <v>Round 2</v>
      </c>
      <c r="J10" s="106" t="str">
        <v>Test date</v>
      </c>
      <c r="K10" s="106" t="str">
        <v>Tester</v>
      </c>
      <c r="L10" s="106" t="str">
        <v>Round 3</v>
      </c>
      <c r="M10" s="106" t="str">
        <v>Test date</v>
      </c>
      <c r="N10" s="106" t="str">
        <v>Tester</v>
      </c>
      <c r="O10" s="106" t="str">
        <v>Note</v>
      </c>
      <c r="P10"/>
    </row>
    <row r="11" ht="24" customHeight="1">
      <c r="A11" s="108" t="str">
        <v>Draft, submission, rejection, revision and approval</v>
      </c>
      <c r="B11" s="108"/>
      <c r="C11" s="108"/>
      <c r="D11" s="108"/>
      <c r="E11" s="108"/>
      <c r="F11" s="108"/>
      <c r="G11" s="109"/>
      <c r="H11" s="108"/>
      <c r="I11" s="108"/>
      <c r="J11" s="109"/>
      <c r="K11" s="108"/>
      <c r="L11" s="108"/>
      <c r="M11" s="109"/>
      <c r="N11" s="108"/>
      <c r="O11" s="110"/>
      <c r="P11"/>
    </row>
    <row r="12" ht="95.0" customHeight="1">
      <c r="A12" s="108" t="str">
        <v>SYS-02</v>
      </c>
      <c r="B12" s="108" t="str">
        <v>Draft, submission, rejection, revision and approval</v>
      </c>
      <c r="C12" s="108" t="str">
        <v>1. Create and submit Draft.
2. Read notification and reject with reason.
3. Revise and resubmit.
4. Approve.
5. Inspect history.</v>
      </c>
      <c r="D12" s="108" t="str">
        <v>1. Transitions/recipients are correct.
2. Reasons and history persist.
3. Unauthorized actions fail.</v>
      </c>
      <c r="E12" s="108" t="str">
        <v>1. Separate active organizer/approver.
2. Ready meeting.
3. Notification worker.</v>
      </c>
      <c r="F12" s="108" t="str">
        <v>Pending</v>
      </c>
      <c r="G12" s="109" t="str"/>
      <c r="H12" s="108" t="str"/>
      <c r="I12" s="108" t="str"/>
      <c r="J12" s="109" t="str"/>
      <c r="K12" s="108" t="str"/>
      <c r="L12" s="108" t="str"/>
      <c r="M12" s="109" t="str"/>
      <c r="N12" s="108" t="str"/>
      <c r="O12" s="110" t="str"/>
      <c r="P12"/>
    </row>
  </sheetData>
  <mergeCells count="4">
    <mergeCell ref="B2:E2"/>
    <mergeCell ref="B3:E3"/>
    <mergeCell ref="B4:E4"/>
    <mergeCell ref="A11:O11"/>
  </mergeCell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 topLeftCell="A1"/>
  </sheetViews>
  <sheetFormatPr customHeight="1" defaultColWidth="12.63" defaultRowHeight="15.0"/>
  <cols>
    <col customWidth="1" min="2" max="2" width="39.5"/>
    <col customWidth="1" min="3" max="3" width="35.63"/>
    <col customWidth="1" min="4" max="4" width="27.88"/>
    <col customWidth="1" min="5" max="5" width="36.5"/>
  </cols>
  <sheetData>
    <row r="1">
      <c r="A1" s="97"/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8"/>
      <c r="Q1" s="98"/>
      <c r="R1" s="98"/>
      <c r="S1" s="98"/>
      <c r="T1" s="98"/>
      <c r="U1" s="98"/>
      <c r="V1" s="98"/>
      <c r="W1" s="98"/>
      <c r="X1" s="98"/>
      <c r="Y1" s="99"/>
    </row>
    <row r="2">
      <c r="A2" s="100" t="str">
        <v>Feature</v>
      </c>
      <c r="B2" s="101" t="str">
        <v>Publication, notifications, email and Calendar</v>
      </c>
      <c r="C2" s="5"/>
      <c r="D2" s="5"/>
      <c r="E2" s="102"/>
      <c r="F2" s="97"/>
      <c r="G2" s="97"/>
      <c r="H2" s="97"/>
      <c r="I2" s="97"/>
      <c r="J2" s="97"/>
      <c r="K2" s="97"/>
      <c r="L2" s="97"/>
      <c r="M2" s="97"/>
      <c r="N2" s="97"/>
      <c r="O2" s="99"/>
      <c r="P2" t="str">
        <v>Passed</v>
      </c>
    </row>
    <row r="3" ht="42" customHeight="1">
      <c r="A3" s="100" t="str">
        <v>Test requirement</v>
      </c>
      <c r="B3" s="103" t="str">
        <v>System-level test flow: Publication, notifications, email and Calendar</v>
      </c>
      <c r="C3" s="5"/>
      <c r="D3" s="5"/>
      <c r="E3" s="102"/>
      <c r="F3" s="97"/>
      <c r="G3" s="97"/>
      <c r="H3" s="97"/>
      <c r="I3" s="97"/>
      <c r="J3" s="97"/>
      <c r="K3" s="97"/>
      <c r="L3" s="97"/>
      <c r="M3" s="97"/>
      <c r="N3" s="97"/>
      <c r="O3" s="99"/>
      <c r="P3" t="str">
        <v>Failed</v>
      </c>
    </row>
    <row r="4">
      <c r="A4" s="100" t="str">
        <v>Number of TCs</v>
      </c>
      <c r="B4" s="104" t="n">
        <v>1</v>
      </c>
      <c r="C4" s="5"/>
      <c r="D4" s="5"/>
      <c r="E4" s="102"/>
      <c r="F4" s="97"/>
      <c r="G4" s="97"/>
      <c r="H4" s="97"/>
      <c r="I4" s="97"/>
      <c r="J4" s="97"/>
      <c r="K4" s="97"/>
      <c r="L4" s="97"/>
      <c r="M4" s="97"/>
      <c r="N4" s="97"/>
      <c r="O4" s="99"/>
      <c r="P4" t="str">
        <v>Pending</v>
      </c>
    </row>
    <row r="5">
      <c r="A5" s="105" t="str">
        <v>Testing Round</v>
      </c>
      <c r="B5" s="105" t="str">
        <v>Passed</v>
      </c>
      <c r="C5" s="105" t="str">
        <v>Failed</v>
      </c>
      <c r="D5" s="105" t="str">
        <v>Pending</v>
      </c>
      <c r="E5" s="105" t="str">
        <v>N/A</v>
      </c>
      <c r="F5" s="97"/>
      <c r="G5" s="97"/>
      <c r="H5" s="97"/>
      <c r="I5" s="97"/>
      <c r="J5" s="97"/>
      <c r="K5" s="97"/>
      <c r="L5" s="97"/>
      <c r="M5" s="97"/>
      <c r="N5" s="97"/>
      <c r="O5" s="99"/>
      <c r="P5" t="str">
        <v>Skipped</v>
      </c>
    </row>
    <row r="6">
      <c r="A6" s="100" t="str">
        <v>Round 1</v>
      </c>
      <c r="B6" s="105" t="n">
        <f>COUNTIF(F12:F12,"Passed")</f>
        <v>0</v>
      </c>
      <c r="C6" s="105" t="n">
        <f>COUNTIF(F12:F12,"Failed")</f>
        <v>0</v>
      </c>
      <c r="D6" s="105" t="n">
        <f>B4-B6-C6-E6</f>
        <v>1</v>
      </c>
      <c r="E6" s="105" t="n">
        <f>COUNTIF(F12:F12,"Skipped")</f>
        <v>0</v>
      </c>
      <c r="F6" s="97"/>
      <c r="G6" s="97"/>
      <c r="H6" s="97"/>
      <c r="I6" s="97"/>
      <c r="J6" s="97"/>
      <c r="K6" s="97"/>
      <c r="L6" s="97"/>
      <c r="M6" s="97"/>
      <c r="N6" s="97"/>
      <c r="O6" s="99"/>
      <c r="P6"/>
    </row>
    <row r="7">
      <c r="A7" s="100" t="str">
        <v>Round 2</v>
      </c>
      <c r="B7" s="105" t="n">
        <f>COUNTIF(I12:I12,"Passed")</f>
        <v>0</v>
      </c>
      <c r="C7" s="105" t="n">
        <f>COUNTIF(I12:I12,"Failed")</f>
        <v>0</v>
      </c>
      <c r="D7" s="105" t="n">
        <f>B4-B7-C7-E7</f>
        <v>1</v>
      </c>
      <c r="E7" s="105" t="n">
        <f>COUNTIF(I12:I12,"Skipped")</f>
        <v>0</v>
      </c>
      <c r="F7" s="97"/>
      <c r="G7" s="97"/>
      <c r="H7" s="97"/>
      <c r="I7" s="97"/>
      <c r="J7" s="97"/>
      <c r="K7" s="97"/>
      <c r="L7" s="97"/>
      <c r="M7" s="97"/>
      <c r="N7" s="97"/>
      <c r="O7" s="99"/>
      <c r="P7"/>
    </row>
    <row r="8">
      <c r="A8" s="100" t="str">
        <v>Round 3</v>
      </c>
      <c r="B8" s="105" t="n">
        <f>COUNTIF(L12:L12,"Passed")</f>
        <v>0</v>
      </c>
      <c r="C8" s="105" t="n">
        <f>COUNTIF(L12:L12,"Failed")</f>
        <v>0</v>
      </c>
      <c r="D8" s="105" t="n">
        <f>B4-B8-C8-E8</f>
        <v>1</v>
      </c>
      <c r="E8" s="105" t="n">
        <f>COUNTIF(L12:L12,"Skipped")</f>
        <v>0</v>
      </c>
      <c r="F8" s="97"/>
      <c r="G8" s="97"/>
      <c r="H8" s="97"/>
      <c r="I8" s="97"/>
      <c r="J8" s="97"/>
      <c r="K8" s="97"/>
      <c r="L8" s="97"/>
      <c r="M8" s="97"/>
      <c r="N8" s="97"/>
      <c r="O8" s="99"/>
      <c r="P8"/>
    </row>
    <row r="9">
      <c r="A9" s="97"/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9"/>
      <c r="P9"/>
    </row>
    <row r="10">
      <c r="A10" s="106" t="str">
        <v>Test Case ID</v>
      </c>
      <c r="B10" s="106" t="str">
        <v>Test Case Description</v>
      </c>
      <c r="C10" s="106" t="str">
        <v>Test Case Procedure</v>
      </c>
      <c r="D10" s="106" t="str">
        <v>Expected Results</v>
      </c>
      <c r="E10" s="106" t="str">
        <v>Pre-conditions</v>
      </c>
      <c r="F10" s="106" t="str">
        <v>Round 1</v>
      </c>
      <c r="G10" s="106" t="str">
        <v>Test date</v>
      </c>
      <c r="H10" s="106" t="str">
        <v>Tester</v>
      </c>
      <c r="I10" s="106" t="str">
        <v>Round 2</v>
      </c>
      <c r="J10" s="106" t="str">
        <v>Test date</v>
      </c>
      <c r="K10" s="106" t="str">
        <v>Tester</v>
      </c>
      <c r="L10" s="106" t="str">
        <v>Round 3</v>
      </c>
      <c r="M10" s="106" t="str">
        <v>Test date</v>
      </c>
      <c r="N10" s="106" t="str">
        <v>Tester</v>
      </c>
      <c r="O10" s="106" t="str">
        <v>Note</v>
      </c>
      <c r="P10"/>
    </row>
    <row r="11" ht="24" customHeight="1">
      <c r="A11" s="108" t="str">
        <v>Publication, notifications, email and Calendar</v>
      </c>
      <c r="B11" s="108"/>
      <c r="C11" s="108"/>
      <c r="D11" s="108"/>
      <c r="E11" s="108"/>
      <c r="F11" s="108"/>
      <c r="G11" s="109"/>
      <c r="H11" s="108"/>
      <c r="I11" s="108"/>
      <c r="J11" s="109"/>
      <c r="K11" s="108"/>
      <c r="L11" s="108"/>
      <c r="M11" s="109"/>
      <c r="N11" s="108"/>
      <c r="O11" s="110"/>
      <c r="P11"/>
    </row>
    <row r="12" ht="124.0" customHeight="1">
      <c r="A12" s="108" t="str">
        <v>SYS-03</v>
      </c>
      <c r="B12" s="108" t="str">
        <v>Publication, notifications, email and Calendar</v>
      </c>
      <c r="C12" s="108" t="str">
        <v>1. Publish.
2. Receive notification and ICS email.
3. Follow notification.
4. Compare Calendar and details.</v>
      </c>
      <c r="D12" s="108" t="str">
        <v>1. Published status and schedule agree.
2. Intended recipients receive invitation.
3. Retries do not duplicate.
4. Outsiders receive no data.</v>
      </c>
      <c r="E12" s="108" t="str">
        <v>1. Approved fixture with active Chair/Secretary and participants.
2. Seeded roster.
3. SMTP sandbox.
4. Workers enabled.</v>
      </c>
      <c r="F12" s="108" t="str">
        <v>Pending</v>
      </c>
      <c r="G12" s="109" t="str"/>
      <c r="H12" s="108" t="str"/>
      <c r="I12" s="108" t="str"/>
      <c r="J12" s="109" t="str"/>
      <c r="K12" s="108" t="str"/>
      <c r="L12" s="108" t="str"/>
      <c r="M12" s="109" t="str"/>
      <c r="N12" s="108" t="str"/>
      <c r="O12" s="110" t="str"/>
      <c r="P12"/>
    </row>
  </sheetData>
  <mergeCells count="4">
    <mergeCell ref="B2:E2"/>
    <mergeCell ref="B3:E3"/>
    <mergeCell ref="B4:E4"/>
    <mergeCell ref="A11:O11"/>
  </mergeCell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 topLeftCell="A1"/>
  </sheetViews>
  <sheetFormatPr customHeight="1" defaultColWidth="12.63" defaultRowHeight="15.0"/>
  <cols>
    <col customWidth="1" min="2" max="2" width="39.5"/>
    <col customWidth="1" min="3" max="3" width="35.63"/>
    <col customWidth="1" min="4" max="4" width="27.88"/>
    <col customWidth="1" min="5" max="5" width="36.5"/>
  </cols>
  <sheetData>
    <row r="1">
      <c r="A1" s="97"/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8"/>
      <c r="Q1" s="98"/>
      <c r="R1" s="98"/>
      <c r="S1" s="98"/>
      <c r="T1" s="98"/>
      <c r="U1" s="98"/>
      <c r="V1" s="98"/>
      <c r="W1" s="98"/>
      <c r="X1" s="98"/>
      <c r="Y1" s="99"/>
    </row>
    <row r="2">
      <c r="A2" s="100" t="str">
        <v>Feature</v>
      </c>
      <c r="B2" s="101" t="str">
        <v>Synchronize published meeting reschedule</v>
      </c>
      <c r="C2" s="5"/>
      <c r="D2" s="5"/>
      <c r="E2" s="102"/>
      <c r="F2" s="97"/>
      <c r="G2" s="97"/>
      <c r="H2" s="97"/>
      <c r="I2" s="97"/>
      <c r="J2" s="97"/>
      <c r="K2" s="97"/>
      <c r="L2" s="97"/>
      <c r="M2" s="97"/>
      <c r="N2" s="97"/>
      <c r="O2" s="99"/>
      <c r="P2" t="str">
        <v>Passed</v>
      </c>
    </row>
    <row r="3" ht="42" customHeight="1">
      <c r="A3" s="100" t="str">
        <v>Test requirement</v>
      </c>
      <c r="B3" s="103" t="str">
        <v>System-level test flow: Synchronize published meeting reschedule</v>
      </c>
      <c r="C3" s="5"/>
      <c r="D3" s="5"/>
      <c r="E3" s="102"/>
      <c r="F3" s="97"/>
      <c r="G3" s="97"/>
      <c r="H3" s="97"/>
      <c r="I3" s="97"/>
      <c r="J3" s="97"/>
      <c r="K3" s="97"/>
      <c r="L3" s="97"/>
      <c r="M3" s="97"/>
      <c r="N3" s="97"/>
      <c r="O3" s="99"/>
      <c r="P3" t="str">
        <v>Failed</v>
      </c>
    </row>
    <row r="4">
      <c r="A4" s="100" t="str">
        <v>Number of TCs</v>
      </c>
      <c r="B4" s="104" t="n">
        <v>1</v>
      </c>
      <c r="C4" s="5"/>
      <c r="D4" s="5"/>
      <c r="E4" s="102"/>
      <c r="F4" s="97"/>
      <c r="G4" s="97"/>
      <c r="H4" s="97"/>
      <c r="I4" s="97"/>
      <c r="J4" s="97"/>
      <c r="K4" s="97"/>
      <c r="L4" s="97"/>
      <c r="M4" s="97"/>
      <c r="N4" s="97"/>
      <c r="O4" s="99"/>
      <c r="P4" t="str">
        <v>Pending</v>
      </c>
    </row>
    <row r="5">
      <c r="A5" s="105" t="str">
        <v>Testing Round</v>
      </c>
      <c r="B5" s="105" t="str">
        <v>Passed</v>
      </c>
      <c r="C5" s="105" t="str">
        <v>Failed</v>
      </c>
      <c r="D5" s="105" t="str">
        <v>Pending</v>
      </c>
      <c r="E5" s="105" t="str">
        <v>N/A</v>
      </c>
      <c r="F5" s="97"/>
      <c r="G5" s="97"/>
      <c r="H5" s="97"/>
      <c r="I5" s="97"/>
      <c r="J5" s="97"/>
      <c r="K5" s="97"/>
      <c r="L5" s="97"/>
      <c r="M5" s="97"/>
      <c r="N5" s="97"/>
      <c r="O5" s="99"/>
      <c r="P5" t="str">
        <v>Skipped</v>
      </c>
    </row>
    <row r="6">
      <c r="A6" s="100" t="str">
        <v>Round 1</v>
      </c>
      <c r="B6" s="105" t="n">
        <f>COUNTIF(F12:F12,"Passed")</f>
        <v>0</v>
      </c>
      <c r="C6" s="105" t="n">
        <f>COUNTIF(F12:F12,"Failed")</f>
        <v>0</v>
      </c>
      <c r="D6" s="105" t="n">
        <f>B4-B6-C6-E6</f>
        <v>1</v>
      </c>
      <c r="E6" s="105" t="n">
        <f>COUNTIF(F12:F12,"Skipped")</f>
        <v>0</v>
      </c>
      <c r="F6" s="97"/>
      <c r="G6" s="97"/>
      <c r="H6" s="97"/>
      <c r="I6" s="97"/>
      <c r="J6" s="97"/>
      <c r="K6" s="97"/>
      <c r="L6" s="97"/>
      <c r="M6" s="97"/>
      <c r="N6" s="97"/>
      <c r="O6" s="99"/>
      <c r="P6"/>
    </row>
    <row r="7">
      <c r="A7" s="100" t="str">
        <v>Round 2</v>
      </c>
      <c r="B7" s="105" t="n">
        <f>COUNTIF(I12:I12,"Passed")</f>
        <v>0</v>
      </c>
      <c r="C7" s="105" t="n">
        <f>COUNTIF(I12:I12,"Failed")</f>
        <v>0</v>
      </c>
      <c r="D7" s="105" t="n">
        <f>B4-B7-C7-E7</f>
        <v>1</v>
      </c>
      <c r="E7" s="105" t="n">
        <f>COUNTIF(I12:I12,"Skipped")</f>
        <v>0</v>
      </c>
      <c r="F7" s="97"/>
      <c r="G7" s="97"/>
      <c r="H7" s="97"/>
      <c r="I7" s="97"/>
      <c r="J7" s="97"/>
      <c r="K7" s="97"/>
      <c r="L7" s="97"/>
      <c r="M7" s="97"/>
      <c r="N7" s="97"/>
      <c r="O7" s="99"/>
      <c r="P7"/>
    </row>
    <row r="8">
      <c r="A8" s="100" t="str">
        <v>Round 3</v>
      </c>
      <c r="B8" s="105" t="n">
        <f>COUNTIF(L12:L12,"Passed")</f>
        <v>0</v>
      </c>
      <c r="C8" s="105" t="n">
        <f>COUNTIF(L12:L12,"Failed")</f>
        <v>0</v>
      </c>
      <c r="D8" s="105" t="n">
        <f>B4-B8-C8-E8</f>
        <v>1</v>
      </c>
      <c r="E8" s="105" t="n">
        <f>COUNTIF(L12:L12,"Skipped")</f>
        <v>0</v>
      </c>
      <c r="F8" s="97"/>
      <c r="G8" s="97"/>
      <c r="H8" s="97"/>
      <c r="I8" s="97"/>
      <c r="J8" s="97"/>
      <c r="K8" s="97"/>
      <c r="L8" s="97"/>
      <c r="M8" s="97"/>
      <c r="N8" s="97"/>
      <c r="O8" s="99"/>
      <c r="P8"/>
    </row>
    <row r="9">
      <c r="A9" s="97"/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9"/>
      <c r="P9"/>
    </row>
    <row r="10">
      <c r="A10" s="106" t="str">
        <v>Test Case ID</v>
      </c>
      <c r="B10" s="106" t="str">
        <v>Test Case Description</v>
      </c>
      <c r="C10" s="106" t="str">
        <v>Test Case Procedure</v>
      </c>
      <c r="D10" s="106" t="str">
        <v>Expected Results</v>
      </c>
      <c r="E10" s="106" t="str">
        <v>Pre-conditions</v>
      </c>
      <c r="F10" s="106" t="str">
        <v>Round 1</v>
      </c>
      <c r="G10" s="106" t="str">
        <v>Test date</v>
      </c>
      <c r="H10" s="106" t="str">
        <v>Tester</v>
      </c>
      <c r="I10" s="106" t="str">
        <v>Round 2</v>
      </c>
      <c r="J10" s="106" t="str">
        <v>Test date</v>
      </c>
      <c r="K10" s="106" t="str">
        <v>Tester</v>
      </c>
      <c r="L10" s="106" t="str">
        <v>Round 3</v>
      </c>
      <c r="M10" s="106" t="str">
        <v>Test date</v>
      </c>
      <c r="N10" s="106" t="str">
        <v>Tester</v>
      </c>
      <c r="O10" s="106" t="str">
        <v>Note</v>
      </c>
      <c r="P10"/>
    </row>
    <row r="11" ht="24" customHeight="1">
      <c r="A11" s="108" t="str">
        <v>Synchronize published meeting reschedule</v>
      </c>
      <c r="B11" s="108"/>
      <c r="C11" s="108"/>
      <c r="D11" s="108"/>
      <c r="E11" s="108"/>
      <c r="F11" s="108"/>
      <c r="G11" s="109"/>
      <c r="H11" s="108"/>
      <c r="I11" s="108"/>
      <c r="J11" s="109"/>
      <c r="K11" s="108"/>
      <c r="L11" s="108"/>
      <c r="M11" s="109"/>
      <c r="N11" s="108"/>
      <c r="O11" s="110"/>
      <c r="P11"/>
    </row>
    <row r="12" ht="95.0" customHeight="1">
      <c r="A12" s="108" t="str">
        <v>SYS-04</v>
      </c>
      <c r="B12" s="108" t="str">
        <v>Synchronize published meeting reschedule</v>
      </c>
      <c r="C12" s="108" t="str">
        <v>1. Reschedule.
2. Inspect history.
3. Check bell, update email and Calendar.
4. Reload both browsers.</v>
      </c>
      <c r="D12" s="108" t="str">
        <v>1. All screens show latest schedule.
2. History records change.
3. Updates contain new time.</v>
      </c>
      <c r="E12" s="108" t="str">
        <v>1. Published meeting.
2. Participants.
3. Original invitation recorded.
4. SMTP sandbox.</v>
      </c>
      <c r="F12" s="108" t="str">
        <v>Pending</v>
      </c>
      <c r="G12" s="109" t="str"/>
      <c r="H12" s="108" t="str"/>
      <c r="I12" s="108" t="str"/>
      <c r="J12" s="109" t="str"/>
      <c r="K12" s="108" t="str"/>
      <c r="L12" s="108" t="str"/>
      <c r="M12" s="109" t="str"/>
      <c r="N12" s="108" t="str"/>
      <c r="O12" s="110" t="str"/>
      <c r="P12"/>
    </row>
  </sheetData>
  <mergeCells count="4">
    <mergeCell ref="B2:E2"/>
    <mergeCell ref="B3:E3"/>
    <mergeCell ref="B4:E4"/>
    <mergeCell ref="A11:O11"/>
  </mergeCell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 topLeftCell="A1"/>
  </sheetViews>
  <sheetFormatPr customHeight="1" defaultColWidth="12.63" defaultRowHeight="15.0"/>
  <cols>
    <col customWidth="1" min="2" max="2" width="39.5"/>
    <col customWidth="1" min="3" max="3" width="35.63"/>
    <col customWidth="1" min="4" max="4" width="27.88"/>
    <col customWidth="1" min="5" max="5" width="36.5"/>
  </cols>
  <sheetData>
    <row r="1">
      <c r="A1" s="97"/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8"/>
      <c r="Q1" s="98"/>
      <c r="R1" s="98"/>
      <c r="S1" s="98"/>
      <c r="T1" s="98"/>
      <c r="U1" s="98"/>
      <c r="V1" s="98"/>
      <c r="W1" s="98"/>
      <c r="X1" s="98"/>
      <c r="Y1" s="99"/>
    </row>
    <row r="2">
      <c r="A2" s="100" t="str">
        <v>Feature</v>
      </c>
      <c r="B2" s="101" t="str">
        <v>Deactivate, revoke sessions and restore access</v>
      </c>
      <c r="C2" s="5"/>
      <c r="D2" s="5"/>
      <c r="E2" s="102"/>
      <c r="F2" s="97"/>
      <c r="G2" s="97"/>
      <c r="H2" s="97"/>
      <c r="I2" s="97"/>
      <c r="J2" s="97"/>
      <c r="K2" s="97"/>
      <c r="L2" s="97"/>
      <c r="M2" s="97"/>
      <c r="N2" s="97"/>
      <c r="O2" s="99"/>
      <c r="P2" t="str">
        <v>Passed</v>
      </c>
    </row>
    <row r="3" ht="42" customHeight="1">
      <c r="A3" s="100" t="str">
        <v>Test requirement</v>
      </c>
      <c r="B3" s="103" t="str">
        <v>System-level test flow: Deactivate, revoke sessions and restore access</v>
      </c>
      <c r="C3" s="5"/>
      <c r="D3" s="5"/>
      <c r="E3" s="102"/>
      <c r="F3" s="97"/>
      <c r="G3" s="97"/>
      <c r="H3" s="97"/>
      <c r="I3" s="97"/>
      <c r="J3" s="97"/>
      <c r="K3" s="97"/>
      <c r="L3" s="97"/>
      <c r="M3" s="97"/>
      <c r="N3" s="97"/>
      <c r="O3" s="99"/>
      <c r="P3" t="str">
        <v>Failed</v>
      </c>
    </row>
    <row r="4">
      <c r="A4" s="100" t="str">
        <v>Number of TCs</v>
      </c>
      <c r="B4" s="104" t="n">
        <v>1</v>
      </c>
      <c r="C4" s="5"/>
      <c r="D4" s="5"/>
      <c r="E4" s="102"/>
      <c r="F4" s="97"/>
      <c r="G4" s="97"/>
      <c r="H4" s="97"/>
      <c r="I4" s="97"/>
      <c r="J4" s="97"/>
      <c r="K4" s="97"/>
      <c r="L4" s="97"/>
      <c r="M4" s="97"/>
      <c r="N4" s="97"/>
      <c r="O4" s="99"/>
      <c r="P4" t="str">
        <v>Pending</v>
      </c>
    </row>
    <row r="5">
      <c r="A5" s="105" t="str">
        <v>Testing Round</v>
      </c>
      <c r="B5" s="105" t="str">
        <v>Passed</v>
      </c>
      <c r="C5" s="105" t="str">
        <v>Failed</v>
      </c>
      <c r="D5" s="105" t="str">
        <v>Pending</v>
      </c>
      <c r="E5" s="105" t="str">
        <v>N/A</v>
      </c>
      <c r="F5" s="97"/>
      <c r="G5" s="97"/>
      <c r="H5" s="97"/>
      <c r="I5" s="97"/>
      <c r="J5" s="97"/>
      <c r="K5" s="97"/>
      <c r="L5" s="97"/>
      <c r="M5" s="97"/>
      <c r="N5" s="97"/>
      <c r="O5" s="99"/>
      <c r="P5" t="str">
        <v>Skipped</v>
      </c>
    </row>
    <row r="6">
      <c r="A6" s="100" t="str">
        <v>Round 1</v>
      </c>
      <c r="B6" s="105" t="n">
        <f>COUNTIF(F12:F12,"Passed")</f>
        <v>0</v>
      </c>
      <c r="C6" s="105" t="n">
        <f>COUNTIF(F12:F12,"Failed")</f>
        <v>0</v>
      </c>
      <c r="D6" s="105" t="n">
        <f>B4-B6-C6-E6</f>
        <v>1</v>
      </c>
      <c r="E6" s="105" t="n">
        <f>COUNTIF(F12:F12,"Skipped")</f>
        <v>0</v>
      </c>
      <c r="F6" s="97"/>
      <c r="G6" s="97"/>
      <c r="H6" s="97"/>
      <c r="I6" s="97"/>
      <c r="J6" s="97"/>
      <c r="K6" s="97"/>
      <c r="L6" s="97"/>
      <c r="M6" s="97"/>
      <c r="N6" s="97"/>
      <c r="O6" s="99"/>
      <c r="P6"/>
    </row>
    <row r="7">
      <c r="A7" s="100" t="str">
        <v>Round 2</v>
      </c>
      <c r="B7" s="105" t="n">
        <f>COUNTIF(I12:I12,"Passed")</f>
        <v>0</v>
      </c>
      <c r="C7" s="105" t="n">
        <f>COUNTIF(I12:I12,"Failed")</f>
        <v>0</v>
      </c>
      <c r="D7" s="105" t="n">
        <f>B4-B7-C7-E7</f>
        <v>1</v>
      </c>
      <c r="E7" s="105" t="n">
        <f>COUNTIF(I12:I12,"Skipped")</f>
        <v>0</v>
      </c>
      <c r="F7" s="97"/>
      <c r="G7" s="97"/>
      <c r="H7" s="97"/>
      <c r="I7" s="97"/>
      <c r="J7" s="97"/>
      <c r="K7" s="97"/>
      <c r="L7" s="97"/>
      <c r="M7" s="97"/>
      <c r="N7" s="97"/>
      <c r="O7" s="99"/>
      <c r="P7"/>
    </row>
    <row r="8">
      <c r="A8" s="100" t="str">
        <v>Round 3</v>
      </c>
      <c r="B8" s="105" t="n">
        <f>COUNTIF(L12:L12,"Passed")</f>
        <v>0</v>
      </c>
      <c r="C8" s="105" t="n">
        <f>COUNTIF(L12:L12,"Failed")</f>
        <v>0</v>
      </c>
      <c r="D8" s="105" t="n">
        <f>B4-B8-C8-E8</f>
        <v>1</v>
      </c>
      <c r="E8" s="105" t="n">
        <f>COUNTIF(L12:L12,"Skipped")</f>
        <v>0</v>
      </c>
      <c r="F8" s="97"/>
      <c r="G8" s="97"/>
      <c r="H8" s="97"/>
      <c r="I8" s="97"/>
      <c r="J8" s="97"/>
      <c r="K8" s="97"/>
      <c r="L8" s="97"/>
      <c r="M8" s="97"/>
      <c r="N8" s="97"/>
      <c r="O8" s="99"/>
      <c r="P8"/>
    </row>
    <row r="9">
      <c r="A9" s="97"/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9"/>
      <c r="P9"/>
    </row>
    <row r="10">
      <c r="A10" s="106" t="str">
        <v>Test Case ID</v>
      </c>
      <c r="B10" s="106" t="str">
        <v>Test Case Description</v>
      </c>
      <c r="C10" s="106" t="str">
        <v>Test Case Procedure</v>
      </c>
      <c r="D10" s="106" t="str">
        <v>Expected Results</v>
      </c>
      <c r="E10" s="106" t="str">
        <v>Pre-conditions</v>
      </c>
      <c r="F10" s="106" t="str">
        <v>Round 1</v>
      </c>
      <c r="G10" s="106" t="str">
        <v>Test date</v>
      </c>
      <c r="H10" s="106" t="str">
        <v>Tester</v>
      </c>
      <c r="I10" s="106" t="str">
        <v>Round 2</v>
      </c>
      <c r="J10" s="106" t="str">
        <v>Test date</v>
      </c>
      <c r="K10" s="106" t="str">
        <v>Tester</v>
      </c>
      <c r="L10" s="106" t="str">
        <v>Round 3</v>
      </c>
      <c r="M10" s="106" t="str">
        <v>Test date</v>
      </c>
      <c r="N10" s="106" t="str">
        <v>Tester</v>
      </c>
      <c r="O10" s="106" t="str">
        <v>Note</v>
      </c>
      <c r="P10"/>
    </row>
    <row r="11" ht="24" customHeight="1">
      <c r="A11" s="108" t="str">
        <v>Deactivate, revoke sessions and restore access</v>
      </c>
      <c r="B11" s="108"/>
      <c r="C11" s="108"/>
      <c r="D11" s="108"/>
      <c r="E11" s="108"/>
      <c r="F11" s="108"/>
      <c r="G11" s="109"/>
      <c r="H11" s="108"/>
      <c r="I11" s="108"/>
      <c r="J11" s="109"/>
      <c r="K11" s="108"/>
      <c r="L11" s="108"/>
      <c r="M11" s="109"/>
      <c r="N11" s="108"/>
      <c r="O11" s="110"/>
      <c r="P11"/>
    </row>
    <row r="12" ht="109.5" customHeight="1">
      <c r="A12" s="108" t="str">
        <v>SYS-05</v>
      </c>
      <c r="B12" s="108" t="str">
        <v>Deactivate, revoke sessions and restore access</v>
      </c>
      <c r="C12" s="108" t="str">
        <v>1. Deactivate target.
2. Try reading/editing from both tabs.
3. Reactivate.
4. Sign in again.</v>
      </c>
      <c r="D12" s="108" t="str">
        <v>1. Operations fail while inactive.
2. New sign-in succeeds after reactivation.
3. Old sessions cannot bypass active-user checks.</v>
      </c>
      <c r="E12" s="108" t="str">
        <v>1. Independent admin.
2. Target signed in on two tabs.
3. Not final admin.</v>
      </c>
      <c r="F12" s="108" t="str">
        <v>Pending</v>
      </c>
      <c r="G12" s="109" t="str"/>
      <c r="H12" s="108" t="str"/>
      <c r="I12" s="108" t="str"/>
      <c r="J12" s="109" t="str"/>
      <c r="K12" s="108" t="str"/>
      <c r="L12" s="108" t="str"/>
      <c r="M12" s="109" t="str"/>
      <c r="N12" s="108" t="str"/>
      <c r="O12" s="110" t="str"/>
      <c r="P12"/>
    </row>
  </sheetData>
  <mergeCells count="4">
    <mergeCell ref="B2:E2"/>
    <mergeCell ref="B3:E3"/>
    <mergeCell ref="B4:E4"/>
    <mergeCell ref="A11:O11"/>
  </mergeCell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 topLeftCell="A1"/>
  </sheetViews>
  <sheetFormatPr customHeight="1" defaultColWidth="12.63" defaultRowHeight="15.0"/>
  <cols>
    <col customWidth="1" min="2" max="2" width="39.5"/>
    <col customWidth="1" min="3" max="3" width="35.63"/>
    <col customWidth="1" min="4" max="4" width="27.88"/>
    <col customWidth="1" min="5" max="5" width="36.5"/>
  </cols>
  <sheetData>
    <row r="1">
      <c r="A1" s="97"/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8"/>
      <c r="Q1" s="98"/>
      <c r="R1" s="98"/>
      <c r="S1" s="98"/>
      <c r="T1" s="98"/>
      <c r="U1" s="98"/>
      <c r="V1" s="98"/>
      <c r="W1" s="98"/>
      <c r="X1" s="98"/>
      <c r="Y1" s="99"/>
    </row>
    <row r="2">
      <c r="A2" s="100" t="str">
        <v>Feature</v>
      </c>
      <c r="B2" s="101" t="str">
        <v>Reset password across email and authentication</v>
      </c>
      <c r="C2" s="5"/>
      <c r="D2" s="5"/>
      <c r="E2" s="102"/>
      <c r="F2" s="97"/>
      <c r="G2" s="97"/>
      <c r="H2" s="97"/>
      <c r="I2" s="97"/>
      <c r="J2" s="97"/>
      <c r="K2" s="97"/>
      <c r="L2" s="97"/>
      <c r="M2" s="97"/>
      <c r="N2" s="97"/>
      <c r="O2" s="99"/>
      <c r="P2" t="str">
        <v>Passed</v>
      </c>
    </row>
    <row r="3" ht="42" customHeight="1">
      <c r="A3" s="100" t="str">
        <v>Test requirement</v>
      </c>
      <c r="B3" s="103" t="str">
        <v>System-level test flow: Reset password across email and authentication</v>
      </c>
      <c r="C3" s="5"/>
      <c r="D3" s="5"/>
      <c r="E3" s="102"/>
      <c r="F3" s="97"/>
      <c r="G3" s="97"/>
      <c r="H3" s="97"/>
      <c r="I3" s="97"/>
      <c r="J3" s="97"/>
      <c r="K3" s="97"/>
      <c r="L3" s="97"/>
      <c r="M3" s="97"/>
      <c r="N3" s="97"/>
      <c r="O3" s="99"/>
      <c r="P3" t="str">
        <v>Failed</v>
      </c>
    </row>
    <row r="4">
      <c r="A4" s="100" t="str">
        <v>Number of TCs</v>
      </c>
      <c r="B4" s="104" t="n">
        <v>1</v>
      </c>
      <c r="C4" s="5"/>
      <c r="D4" s="5"/>
      <c r="E4" s="102"/>
      <c r="F4" s="97"/>
      <c r="G4" s="97"/>
      <c r="H4" s="97"/>
      <c r="I4" s="97"/>
      <c r="J4" s="97"/>
      <c r="K4" s="97"/>
      <c r="L4" s="97"/>
      <c r="M4" s="97"/>
      <c r="N4" s="97"/>
      <c r="O4" s="99"/>
      <c r="P4" t="str">
        <v>Pending</v>
      </c>
    </row>
    <row r="5">
      <c r="A5" s="105" t="str">
        <v>Testing Round</v>
      </c>
      <c r="B5" s="105" t="str">
        <v>Passed</v>
      </c>
      <c r="C5" s="105" t="str">
        <v>Failed</v>
      </c>
      <c r="D5" s="105" t="str">
        <v>Pending</v>
      </c>
      <c r="E5" s="105" t="str">
        <v>N/A</v>
      </c>
      <c r="F5" s="97"/>
      <c r="G5" s="97"/>
      <c r="H5" s="97"/>
      <c r="I5" s="97"/>
      <c r="J5" s="97"/>
      <c r="K5" s="97"/>
      <c r="L5" s="97"/>
      <c r="M5" s="97"/>
      <c r="N5" s="97"/>
      <c r="O5" s="99"/>
      <c r="P5" t="str">
        <v>Skipped</v>
      </c>
    </row>
    <row r="6">
      <c r="A6" s="100" t="str">
        <v>Round 1</v>
      </c>
      <c r="B6" s="105" t="n">
        <f>COUNTIF(F12:F12,"Passed")</f>
        <v>0</v>
      </c>
      <c r="C6" s="105" t="n">
        <f>COUNTIF(F12:F12,"Failed")</f>
        <v>0</v>
      </c>
      <c r="D6" s="105" t="n">
        <f>B4-B6-C6-E6</f>
        <v>1</v>
      </c>
      <c r="E6" s="105" t="n">
        <f>COUNTIF(F12:F12,"Skipped")</f>
        <v>0</v>
      </c>
      <c r="F6" s="97"/>
      <c r="G6" s="97"/>
      <c r="H6" s="97"/>
      <c r="I6" s="97"/>
      <c r="J6" s="97"/>
      <c r="K6" s="97"/>
      <c r="L6" s="97"/>
      <c r="M6" s="97"/>
      <c r="N6" s="97"/>
      <c r="O6" s="99"/>
      <c r="P6"/>
    </row>
    <row r="7">
      <c r="A7" s="100" t="str">
        <v>Round 2</v>
      </c>
      <c r="B7" s="105" t="n">
        <f>COUNTIF(I12:I12,"Passed")</f>
        <v>0</v>
      </c>
      <c r="C7" s="105" t="n">
        <f>COUNTIF(I12:I12,"Failed")</f>
        <v>0</v>
      </c>
      <c r="D7" s="105" t="n">
        <f>B4-B7-C7-E7</f>
        <v>1</v>
      </c>
      <c r="E7" s="105" t="n">
        <f>COUNTIF(I12:I12,"Skipped")</f>
        <v>0</v>
      </c>
      <c r="F7" s="97"/>
      <c r="G7" s="97"/>
      <c r="H7" s="97"/>
      <c r="I7" s="97"/>
      <c r="J7" s="97"/>
      <c r="K7" s="97"/>
      <c r="L7" s="97"/>
      <c r="M7" s="97"/>
      <c r="N7" s="97"/>
      <c r="O7" s="99"/>
      <c r="P7"/>
    </row>
    <row r="8">
      <c r="A8" s="100" t="str">
        <v>Round 3</v>
      </c>
      <c r="B8" s="105" t="n">
        <f>COUNTIF(L12:L12,"Passed")</f>
        <v>0</v>
      </c>
      <c r="C8" s="105" t="n">
        <f>COUNTIF(L12:L12,"Failed")</f>
        <v>0</v>
      </c>
      <c r="D8" s="105" t="n">
        <f>B4-B8-C8-E8</f>
        <v>1</v>
      </c>
      <c r="E8" s="105" t="n">
        <f>COUNTIF(L12:L12,"Skipped")</f>
        <v>0</v>
      </c>
      <c r="F8" s="97"/>
      <c r="G8" s="97"/>
      <c r="H8" s="97"/>
      <c r="I8" s="97"/>
      <c r="J8" s="97"/>
      <c r="K8" s="97"/>
      <c r="L8" s="97"/>
      <c r="M8" s="97"/>
      <c r="N8" s="97"/>
      <c r="O8" s="99"/>
      <c r="P8"/>
    </row>
    <row r="9">
      <c r="A9" s="97"/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9"/>
      <c r="P9"/>
    </row>
    <row r="10">
      <c r="A10" s="106" t="str">
        <v>Test Case ID</v>
      </c>
      <c r="B10" s="106" t="str">
        <v>Test Case Description</v>
      </c>
      <c r="C10" s="106" t="str">
        <v>Test Case Procedure</v>
      </c>
      <c r="D10" s="106" t="str">
        <v>Expected Results</v>
      </c>
      <c r="E10" s="106" t="str">
        <v>Pre-conditions</v>
      </c>
      <c r="F10" s="106" t="str">
        <v>Round 1</v>
      </c>
      <c r="G10" s="106" t="str">
        <v>Test date</v>
      </c>
      <c r="H10" s="106" t="str">
        <v>Tester</v>
      </c>
      <c r="I10" s="106" t="str">
        <v>Round 2</v>
      </c>
      <c r="J10" s="106" t="str">
        <v>Test date</v>
      </c>
      <c r="K10" s="106" t="str">
        <v>Tester</v>
      </c>
      <c r="L10" s="106" t="str">
        <v>Round 3</v>
      </c>
      <c r="M10" s="106" t="str">
        <v>Test date</v>
      </c>
      <c r="N10" s="106" t="str">
        <v>Tester</v>
      </c>
      <c r="O10" s="106" t="str">
        <v>Note</v>
      </c>
      <c r="P10"/>
    </row>
    <row r="11" ht="24" customHeight="1">
      <c r="A11" s="108" t="str">
        <v>Reset password across email and authentication</v>
      </c>
      <c r="B11" s="108"/>
      <c r="C11" s="108"/>
      <c r="D11" s="108"/>
      <c r="E11" s="108"/>
      <c r="F11" s="108"/>
      <c r="G11" s="109"/>
      <c r="H11" s="108"/>
      <c r="I11" s="108"/>
      <c r="J11" s="109"/>
      <c r="K11" s="108"/>
      <c r="L11" s="108"/>
      <c r="M11" s="109"/>
      <c r="N11" s="108"/>
      <c r="O11" s="110"/>
      <c r="P11"/>
    </row>
    <row r="12" ht="95.0" customHeight="1">
      <c r="A12" s="108" t="str">
        <v>SYS-06</v>
      </c>
      <c r="B12" s="108" t="str">
        <v>Reset password across email and authentication</v>
      </c>
      <c r="C12" s="108" t="str">
        <v>1. Request reset.
2. Complete through email.
3. Try old/new passwords.
4. Reuse token.
5. Check old sessions against auth contract.</v>
      </c>
      <c r="D12" s="108" t="str">
        <v>1. Old password fails.
2. New one works.
3. Token is single-use.
4. Session revocation follows backend contract.</v>
      </c>
      <c r="E12" s="108" t="str">
        <v>1. Administrator/test user.
2. SMTP sandbox.
3. Issued reset link.</v>
      </c>
      <c r="F12" s="108" t="str">
        <v>Pending</v>
      </c>
      <c r="G12" s="109" t="str"/>
      <c r="H12" s="108" t="str"/>
      <c r="I12" s="108" t="str"/>
      <c r="J12" s="109" t="str"/>
      <c r="K12" s="108" t="str"/>
      <c r="L12" s="108" t="str"/>
      <c r="M12" s="109" t="str"/>
      <c r="N12" s="108" t="str"/>
      <c r="O12" s="110" t="str"/>
      <c r="P12"/>
    </row>
  </sheetData>
  <mergeCells count="4">
    <mergeCell ref="B2:E2"/>
    <mergeCell ref="B3:E3"/>
    <mergeCell ref="B4:E4"/>
    <mergeCell ref="A11:O11"/>
  </mergeCell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 topLeftCell="A1"/>
  </sheetViews>
  <sheetFormatPr customHeight="1" defaultColWidth="12.63" defaultRowHeight="15.0"/>
  <cols>
    <col customWidth="1" min="2" max="2" width="39.5"/>
    <col customWidth="1" min="3" max="3" width="35.63"/>
    <col customWidth="1" min="4" max="4" width="27.88"/>
    <col customWidth="1" min="5" max="5" width="36.5"/>
  </cols>
  <sheetData>
    <row r="1">
      <c r="A1" s="97"/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8"/>
      <c r="Q1" s="98"/>
      <c r="R1" s="98"/>
      <c r="S1" s="98"/>
      <c r="T1" s="98"/>
      <c r="U1" s="98"/>
      <c r="V1" s="98"/>
      <c r="W1" s="98"/>
      <c r="X1" s="98"/>
      <c r="Y1" s="99"/>
    </row>
    <row r="2">
      <c r="A2" s="100" t="str">
        <v>Feature</v>
      </c>
      <c r="B2" s="101" t="str">
        <v>Isolate meeting data across roles</v>
      </c>
      <c r="C2" s="5"/>
      <c r="D2" s="5"/>
      <c r="E2" s="102"/>
      <c r="F2" s="97"/>
      <c r="G2" s="97"/>
      <c r="H2" s="97"/>
      <c r="I2" s="97"/>
      <c r="J2" s="97"/>
      <c r="K2" s="97"/>
      <c r="L2" s="97"/>
      <c r="M2" s="97"/>
      <c r="N2" s="97"/>
      <c r="O2" s="99"/>
      <c r="P2" t="str">
        <v>Passed</v>
      </c>
    </row>
    <row r="3" ht="42" customHeight="1">
      <c r="A3" s="100" t="str">
        <v>Test requirement</v>
      </c>
      <c r="B3" s="103" t="str">
        <v>System-level test flow: Isolate meeting data across roles</v>
      </c>
      <c r="C3" s="5"/>
      <c r="D3" s="5"/>
      <c r="E3" s="102"/>
      <c r="F3" s="97"/>
      <c r="G3" s="97"/>
      <c r="H3" s="97"/>
      <c r="I3" s="97"/>
      <c r="J3" s="97"/>
      <c r="K3" s="97"/>
      <c r="L3" s="97"/>
      <c r="M3" s="97"/>
      <c r="N3" s="97"/>
      <c r="O3" s="99"/>
      <c r="P3" t="str">
        <v>Failed</v>
      </c>
    </row>
    <row r="4">
      <c r="A4" s="100" t="str">
        <v>Number of TCs</v>
      </c>
      <c r="B4" s="104" t="n">
        <v>1</v>
      </c>
      <c r="C4" s="5"/>
      <c r="D4" s="5"/>
      <c r="E4" s="102"/>
      <c r="F4" s="97"/>
      <c r="G4" s="97"/>
      <c r="H4" s="97"/>
      <c r="I4" s="97"/>
      <c r="J4" s="97"/>
      <c r="K4" s="97"/>
      <c r="L4" s="97"/>
      <c r="M4" s="97"/>
      <c r="N4" s="97"/>
      <c r="O4" s="99"/>
      <c r="P4" t="str">
        <v>Pending</v>
      </c>
    </row>
    <row r="5">
      <c r="A5" s="105" t="str">
        <v>Testing Round</v>
      </c>
      <c r="B5" s="105" t="str">
        <v>Passed</v>
      </c>
      <c r="C5" s="105" t="str">
        <v>Failed</v>
      </c>
      <c r="D5" s="105" t="str">
        <v>Pending</v>
      </c>
      <c r="E5" s="105" t="str">
        <v>N/A</v>
      </c>
      <c r="F5" s="97"/>
      <c r="G5" s="97"/>
      <c r="H5" s="97"/>
      <c r="I5" s="97"/>
      <c r="J5" s="97"/>
      <c r="K5" s="97"/>
      <c r="L5" s="97"/>
      <c r="M5" s="97"/>
      <c r="N5" s="97"/>
      <c r="O5" s="99"/>
      <c r="P5" t="str">
        <v>Skipped</v>
      </c>
    </row>
    <row r="6">
      <c r="A6" s="100" t="str">
        <v>Round 1</v>
      </c>
      <c r="B6" s="105" t="n">
        <f>COUNTIF(F12:F12,"Passed")</f>
        <v>0</v>
      </c>
      <c r="C6" s="105" t="n">
        <f>COUNTIF(F12:F12,"Failed")</f>
        <v>0</v>
      </c>
      <c r="D6" s="105" t="n">
        <f>B4-B6-C6-E6</f>
        <v>1</v>
      </c>
      <c r="E6" s="105" t="n">
        <f>COUNTIF(F12:F12,"Skipped")</f>
        <v>0</v>
      </c>
      <c r="F6" s="97"/>
      <c r="G6" s="97"/>
      <c r="H6" s="97"/>
      <c r="I6" s="97"/>
      <c r="J6" s="97"/>
      <c r="K6" s="97"/>
      <c r="L6" s="97"/>
      <c r="M6" s="97"/>
      <c r="N6" s="97"/>
      <c r="O6" s="99"/>
      <c r="P6"/>
    </row>
    <row r="7">
      <c r="A7" s="100" t="str">
        <v>Round 2</v>
      </c>
      <c r="B7" s="105" t="n">
        <f>COUNTIF(I12:I12,"Passed")</f>
        <v>0</v>
      </c>
      <c r="C7" s="105" t="n">
        <f>COUNTIF(I12:I12,"Failed")</f>
        <v>0</v>
      </c>
      <c r="D7" s="105" t="n">
        <f>B4-B7-C7-E7</f>
        <v>1</v>
      </c>
      <c r="E7" s="105" t="n">
        <f>COUNTIF(I12:I12,"Skipped")</f>
        <v>0</v>
      </c>
      <c r="F7" s="97"/>
      <c r="G7" s="97"/>
      <c r="H7" s="97"/>
      <c r="I7" s="97"/>
      <c r="J7" s="97"/>
      <c r="K7" s="97"/>
      <c r="L7" s="97"/>
      <c r="M7" s="97"/>
      <c r="N7" s="97"/>
      <c r="O7" s="99"/>
      <c r="P7"/>
    </row>
    <row r="8">
      <c r="A8" s="100" t="str">
        <v>Round 3</v>
      </c>
      <c r="B8" s="105" t="n">
        <f>COUNTIF(L12:L12,"Passed")</f>
        <v>0</v>
      </c>
      <c r="C8" s="105" t="n">
        <f>COUNTIF(L12:L12,"Failed")</f>
        <v>0</v>
      </c>
      <c r="D8" s="105" t="n">
        <f>B4-B8-C8-E8</f>
        <v>1</v>
      </c>
      <c r="E8" s="105" t="n">
        <f>COUNTIF(L12:L12,"Skipped")</f>
        <v>0</v>
      </c>
      <c r="F8" s="97"/>
      <c r="G8" s="97"/>
      <c r="H8" s="97"/>
      <c r="I8" s="97"/>
      <c r="J8" s="97"/>
      <c r="K8" s="97"/>
      <c r="L8" s="97"/>
      <c r="M8" s="97"/>
      <c r="N8" s="97"/>
      <c r="O8" s="99"/>
      <c r="P8"/>
    </row>
    <row r="9">
      <c r="A9" s="97"/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9"/>
      <c r="P9"/>
    </row>
    <row r="10">
      <c r="A10" s="106" t="str">
        <v>Test Case ID</v>
      </c>
      <c r="B10" s="106" t="str">
        <v>Test Case Description</v>
      </c>
      <c r="C10" s="106" t="str">
        <v>Test Case Procedure</v>
      </c>
      <c r="D10" s="106" t="str">
        <v>Expected Results</v>
      </c>
      <c r="E10" s="106" t="str">
        <v>Pre-conditions</v>
      </c>
      <c r="F10" s="106" t="str">
        <v>Round 1</v>
      </c>
      <c r="G10" s="106" t="str">
        <v>Test date</v>
      </c>
      <c r="H10" s="106" t="str">
        <v>Tester</v>
      </c>
      <c r="I10" s="106" t="str">
        <v>Round 2</v>
      </c>
      <c r="J10" s="106" t="str">
        <v>Test date</v>
      </c>
      <c r="K10" s="106" t="str">
        <v>Tester</v>
      </c>
      <c r="L10" s="106" t="str">
        <v>Round 3</v>
      </c>
      <c r="M10" s="106" t="str">
        <v>Test date</v>
      </c>
      <c r="N10" s="106" t="str">
        <v>Tester</v>
      </c>
      <c r="O10" s="106" t="str">
        <v>Note</v>
      </c>
      <c r="P10"/>
    </row>
    <row r="11" ht="24" customHeight="1">
      <c r="A11" s="108" t="str">
        <v>Isolate meeting data across roles</v>
      </c>
      <c r="B11" s="108"/>
      <c r="C11" s="108"/>
      <c r="D11" s="108"/>
      <c r="E11" s="108"/>
      <c r="F11" s="108"/>
      <c r="G11" s="109"/>
      <c r="H11" s="108"/>
      <c r="I11" s="108"/>
      <c r="J11" s="109"/>
      <c r="K11" s="108"/>
      <c r="L11" s="108"/>
      <c r="M11" s="109"/>
      <c r="N11" s="108"/>
      <c r="O11" s="110"/>
      <c r="P11"/>
    </row>
    <row r="12" ht="109.5" customHeight="1">
      <c r="A12" s="108" t="str">
        <v>SYS-07</v>
      </c>
      <c r="B12" s="108" t="str">
        <v>Isolate meeting data across roles</v>
      </c>
      <c r="C12" s="108" t="str">
        <v>1. Open list/details as each role.
2. Try history, edit and transitions.
3. Replace approver and retry as former approver.</v>
      </c>
      <c r="D12" s="108" t="str">
        <v>1. Access follows relationship/state.
2. Unrelated or revoked users cannot read restricted data.
3. Inaccessible records return 404.</v>
      </c>
      <c r="E12" s="108" t="str">
        <v>1. Organizer, assigned approver, participant, outsider.
2. Draft/WaitingApproval/Published fixtures.</v>
      </c>
      <c r="F12" s="108" t="str">
        <v>Pending</v>
      </c>
      <c r="G12" s="109" t="str"/>
      <c r="H12" s="108" t="str"/>
      <c r="I12" s="108" t="str"/>
      <c r="J12" s="109" t="str"/>
      <c r="K12" s="108" t="str"/>
      <c r="L12" s="108" t="str"/>
      <c r="M12" s="109" t="str"/>
      <c r="N12" s="108" t="str"/>
      <c r="O12" s="110" t="str"/>
      <c r="P12"/>
    </row>
  </sheetData>
  <mergeCells count="4">
    <mergeCell ref="B2:E2"/>
    <mergeCell ref="B3:E3"/>
    <mergeCell ref="B4:E4"/>
    <mergeCell ref="A11:O11"/>
  </mergeCell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 topLeftCell="A1"/>
  </sheetViews>
  <sheetFormatPr customHeight="1" defaultColWidth="12.63" defaultRowHeight="15.0"/>
  <cols>
    <col customWidth="1" min="2" max="2" width="39.5"/>
    <col customWidth="1" min="3" max="3" width="35.63"/>
    <col customWidth="1" min="4" max="4" width="27.88"/>
    <col customWidth="1" min="5" max="5" width="36.5"/>
  </cols>
  <sheetData>
    <row r="1">
      <c r="A1" s="97"/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8"/>
      <c r="Q1" s="98"/>
      <c r="R1" s="98"/>
      <c r="S1" s="98"/>
      <c r="T1" s="98"/>
      <c r="U1" s="98"/>
      <c r="V1" s="98"/>
      <c r="W1" s="98"/>
      <c r="X1" s="98"/>
      <c r="Y1" s="99"/>
    </row>
    <row r="2">
      <c r="A2" s="100" t="str">
        <v>Feature</v>
      </c>
      <c r="B2" s="101" t="str">
        <v>Recover queued email after SMTP outage</v>
      </c>
      <c r="C2" s="5"/>
      <c r="D2" s="5"/>
      <c r="E2" s="102"/>
      <c r="F2" s="97"/>
      <c r="G2" s="97"/>
      <c r="H2" s="97"/>
      <c r="I2" s="97"/>
      <c r="J2" s="97"/>
      <c r="K2" s="97"/>
      <c r="L2" s="97"/>
      <c r="M2" s="97"/>
      <c r="N2" s="97"/>
      <c r="O2" s="99"/>
      <c r="P2" t="str">
        <v>Passed</v>
      </c>
    </row>
    <row r="3" ht="42" customHeight="1">
      <c r="A3" s="100" t="str">
        <v>Test requirement</v>
      </c>
      <c r="B3" s="103" t="str">
        <v>System-level test flow: Recover queued email after SMTP outage</v>
      </c>
      <c r="C3" s="5"/>
      <c r="D3" s="5"/>
      <c r="E3" s="102"/>
      <c r="F3" s="97"/>
      <c r="G3" s="97"/>
      <c r="H3" s="97"/>
      <c r="I3" s="97"/>
      <c r="J3" s="97"/>
      <c r="K3" s="97"/>
      <c r="L3" s="97"/>
      <c r="M3" s="97"/>
      <c r="N3" s="97"/>
      <c r="O3" s="99"/>
      <c r="P3" t="str">
        <v>Failed</v>
      </c>
    </row>
    <row r="4">
      <c r="A4" s="100" t="str">
        <v>Number of TCs</v>
      </c>
      <c r="B4" s="104" t="n">
        <v>1</v>
      </c>
      <c r="C4" s="5"/>
      <c r="D4" s="5"/>
      <c r="E4" s="102"/>
      <c r="F4" s="97"/>
      <c r="G4" s="97"/>
      <c r="H4" s="97"/>
      <c r="I4" s="97"/>
      <c r="J4" s="97"/>
      <c r="K4" s="97"/>
      <c r="L4" s="97"/>
      <c r="M4" s="97"/>
      <c r="N4" s="97"/>
      <c r="O4" s="99"/>
      <c r="P4" t="str">
        <v>Pending</v>
      </c>
    </row>
    <row r="5">
      <c r="A5" s="105" t="str">
        <v>Testing Round</v>
      </c>
      <c r="B5" s="105" t="str">
        <v>Passed</v>
      </c>
      <c r="C5" s="105" t="str">
        <v>Failed</v>
      </c>
      <c r="D5" s="105" t="str">
        <v>Pending</v>
      </c>
      <c r="E5" s="105" t="str">
        <v>N/A</v>
      </c>
      <c r="F5" s="97"/>
      <c r="G5" s="97"/>
      <c r="H5" s="97"/>
      <c r="I5" s="97"/>
      <c r="J5" s="97"/>
      <c r="K5" s="97"/>
      <c r="L5" s="97"/>
      <c r="M5" s="97"/>
      <c r="N5" s="97"/>
      <c r="O5" s="99"/>
      <c r="P5" t="str">
        <v>Skipped</v>
      </c>
    </row>
    <row r="6">
      <c r="A6" s="100" t="str">
        <v>Round 1</v>
      </c>
      <c r="B6" s="105" t="n">
        <f>COUNTIF(F12:F12,"Passed")</f>
        <v>0</v>
      </c>
      <c r="C6" s="105" t="n">
        <f>COUNTIF(F12:F12,"Failed")</f>
        <v>0</v>
      </c>
      <c r="D6" s="105" t="n">
        <f>B4-B6-C6-E6</f>
        <v>1</v>
      </c>
      <c r="E6" s="105" t="n">
        <f>COUNTIF(F12:F12,"Skipped")</f>
        <v>0</v>
      </c>
      <c r="F6" s="97"/>
      <c r="G6" s="97"/>
      <c r="H6" s="97"/>
      <c r="I6" s="97"/>
      <c r="J6" s="97"/>
      <c r="K6" s="97"/>
      <c r="L6" s="97"/>
      <c r="M6" s="97"/>
      <c r="N6" s="97"/>
      <c r="O6" s="99"/>
      <c r="P6"/>
    </row>
    <row r="7">
      <c r="A7" s="100" t="str">
        <v>Round 2</v>
      </c>
      <c r="B7" s="105" t="n">
        <f>COUNTIF(I12:I12,"Passed")</f>
        <v>0</v>
      </c>
      <c r="C7" s="105" t="n">
        <f>COUNTIF(I12:I12,"Failed")</f>
        <v>0</v>
      </c>
      <c r="D7" s="105" t="n">
        <f>B4-B7-C7-E7</f>
        <v>1</v>
      </c>
      <c r="E7" s="105" t="n">
        <f>COUNTIF(I12:I12,"Skipped")</f>
        <v>0</v>
      </c>
      <c r="F7" s="97"/>
      <c r="G7" s="97"/>
      <c r="H7" s="97"/>
      <c r="I7" s="97"/>
      <c r="J7" s="97"/>
      <c r="K7" s="97"/>
      <c r="L7" s="97"/>
      <c r="M7" s="97"/>
      <c r="N7" s="97"/>
      <c r="O7" s="99"/>
      <c r="P7"/>
    </row>
    <row r="8">
      <c r="A8" s="100" t="str">
        <v>Round 3</v>
      </c>
      <c r="B8" s="105" t="n">
        <f>COUNTIF(L12:L12,"Passed")</f>
        <v>0</v>
      </c>
      <c r="C8" s="105" t="n">
        <f>COUNTIF(L12:L12,"Failed")</f>
        <v>0</v>
      </c>
      <c r="D8" s="105" t="n">
        <f>B4-B8-C8-E8</f>
        <v>1</v>
      </c>
      <c r="E8" s="105" t="n">
        <f>COUNTIF(L12:L12,"Skipped")</f>
        <v>0</v>
      </c>
      <c r="F8" s="97"/>
      <c r="G8" s="97"/>
      <c r="H8" s="97"/>
      <c r="I8" s="97"/>
      <c r="J8" s="97"/>
      <c r="K8" s="97"/>
      <c r="L8" s="97"/>
      <c r="M8" s="97"/>
      <c r="N8" s="97"/>
      <c r="O8" s="99"/>
      <c r="P8"/>
    </row>
    <row r="9">
      <c r="A9" s="97"/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9"/>
      <c r="P9"/>
    </row>
    <row r="10">
      <c r="A10" s="106" t="str">
        <v>Test Case ID</v>
      </c>
      <c r="B10" s="106" t="str">
        <v>Test Case Description</v>
      </c>
      <c r="C10" s="106" t="str">
        <v>Test Case Procedure</v>
      </c>
      <c r="D10" s="106" t="str">
        <v>Expected Results</v>
      </c>
      <c r="E10" s="106" t="str">
        <v>Pre-conditions</v>
      </c>
      <c r="F10" s="106" t="str">
        <v>Round 1</v>
      </c>
      <c r="G10" s="106" t="str">
        <v>Test date</v>
      </c>
      <c r="H10" s="106" t="str">
        <v>Tester</v>
      </c>
      <c r="I10" s="106" t="str">
        <v>Round 2</v>
      </c>
      <c r="J10" s="106" t="str">
        <v>Test date</v>
      </c>
      <c r="K10" s="106" t="str">
        <v>Tester</v>
      </c>
      <c r="L10" s="106" t="str">
        <v>Round 3</v>
      </c>
      <c r="M10" s="106" t="str">
        <v>Test date</v>
      </c>
      <c r="N10" s="106" t="str">
        <v>Tester</v>
      </c>
      <c r="O10" s="106" t="str">
        <v>Note</v>
      </c>
      <c r="P10"/>
    </row>
    <row r="11" ht="24" customHeight="1">
      <c r="A11" s="108" t="str">
        <v>Recover queued email after SMTP outage</v>
      </c>
      <c r="B11" s="108"/>
      <c r="C11" s="108"/>
      <c r="D11" s="108"/>
      <c r="E11" s="108"/>
      <c r="F11" s="108"/>
      <c r="G11" s="109"/>
      <c r="H11" s="108"/>
      <c r="I11" s="108"/>
      <c r="J11" s="109"/>
      <c r="K11" s="108"/>
      <c r="L11" s="108"/>
      <c r="M11" s="109"/>
      <c r="N11" s="108"/>
      <c r="O11" s="110"/>
      <c r="P11"/>
    </row>
    <row r="12" ht="95.0" customHeight="1">
      <c r="A12" s="108" t="str">
        <v>SYS-08</v>
      </c>
      <c r="B12" s="108" t="str">
        <v>Recover queued email after SMTP outage</v>
      </c>
      <c r="C12" s="108" t="str">
        <v>1. Stop SMTP.
2. Publish.
3. Inspect retry state.
4. Restart SMTP and allow retry.
5. Compare mail and queue.</v>
      </c>
      <c r="D12" s="108" t="str">
        <v>1. Publication persists.
2. Email retries after recovery without duplicate deduplication keys.</v>
      </c>
      <c r="E12" s="108" t="str">
        <v>1. Isolated staging.
2. Controllable SMTP sandbox.
3. Valid Approved fixture.</v>
      </c>
      <c r="F12" s="108" t="str">
        <v>Pending</v>
      </c>
      <c r="G12" s="109" t="str"/>
      <c r="H12" s="108" t="str"/>
      <c r="I12" s="108" t="str"/>
      <c r="J12" s="109" t="str"/>
      <c r="K12" s="108" t="str"/>
      <c r="L12" s="108" t="str"/>
      <c r="M12" s="109" t="str"/>
      <c r="N12" s="108" t="str"/>
      <c r="O12" s="110" t="str"/>
      <c r="P12"/>
    </row>
  </sheetData>
  <mergeCells count="4">
    <mergeCell ref="B2:E2"/>
    <mergeCell ref="B3:E3"/>
    <mergeCell ref="B4:E4"/>
    <mergeCell ref="A11:O11"/>
  </mergeCell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 topLeftCell="A1"/>
  </sheetViews>
  <sheetFormatPr customHeight="1" defaultColWidth="12.63" defaultRowHeight="15.0"/>
  <cols>
    <col customWidth="1" min="2" max="2" width="39.5"/>
    <col customWidth="1" min="3" max="3" width="35.63"/>
    <col customWidth="1" min="4" max="4" width="27.88"/>
    <col customWidth="1" min="5" max="5" width="36.5"/>
  </cols>
  <sheetData>
    <row r="1">
      <c r="A1" s="97"/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8"/>
      <c r="Q1" s="98"/>
      <c r="R1" s="98"/>
      <c r="S1" s="98"/>
      <c r="T1" s="98"/>
      <c r="U1" s="98"/>
      <c r="V1" s="98"/>
      <c r="W1" s="98"/>
      <c r="X1" s="98"/>
      <c r="Y1" s="99"/>
    </row>
    <row r="2">
      <c r="A2" s="100" t="str">
        <v>Feature</v>
      </c>
      <c r="B2" s="101" t="str">
        <v>Operate agenda through complete meeting UI</v>
      </c>
      <c r="C2" s="5"/>
      <c r="D2" s="5"/>
      <c r="E2" s="102"/>
      <c r="F2" s="97"/>
      <c r="G2" s="97"/>
      <c r="H2" s="97"/>
      <c r="I2" s="97"/>
      <c r="J2" s="97"/>
      <c r="K2" s="97"/>
      <c r="L2" s="97"/>
      <c r="M2" s="97"/>
      <c r="N2" s="97"/>
      <c r="O2" s="99"/>
      <c r="P2" t="str">
        <v>Passed</v>
      </c>
    </row>
    <row r="3" ht="42" customHeight="1">
      <c r="A3" s="100" t="str">
        <v>Test requirement</v>
      </c>
      <c r="B3" s="103" t="str">
        <v>System-level test flow: Operate agenda through complete meeting UI</v>
      </c>
      <c r="C3" s="5"/>
      <c r="D3" s="5"/>
      <c r="E3" s="102"/>
      <c r="F3" s="97"/>
      <c r="G3" s="97"/>
      <c r="H3" s="97"/>
      <c r="I3" s="97"/>
      <c r="J3" s="97"/>
      <c r="K3" s="97"/>
      <c r="L3" s="97"/>
      <c r="M3" s="97"/>
      <c r="N3" s="97"/>
      <c r="O3" s="99"/>
      <c r="P3" t="str">
        <v>Failed</v>
      </c>
    </row>
    <row r="4">
      <c r="A4" s="100" t="str">
        <v>Number of TCs</v>
      </c>
      <c r="B4" s="104" t="n">
        <v>1</v>
      </c>
      <c r="C4" s="5"/>
      <c r="D4" s="5"/>
      <c r="E4" s="102"/>
      <c r="F4" s="97"/>
      <c r="G4" s="97"/>
      <c r="H4" s="97"/>
      <c r="I4" s="97"/>
      <c r="J4" s="97"/>
      <c r="K4" s="97"/>
      <c r="L4" s="97"/>
      <c r="M4" s="97"/>
      <c r="N4" s="97"/>
      <c r="O4" s="99"/>
      <c r="P4" t="str">
        <v>Pending</v>
      </c>
    </row>
    <row r="5">
      <c r="A5" s="105" t="str">
        <v>Testing Round</v>
      </c>
      <c r="B5" s="105" t="str">
        <v>Passed</v>
      </c>
      <c r="C5" s="105" t="str">
        <v>Failed</v>
      </c>
      <c r="D5" s="105" t="str">
        <v>Pending</v>
      </c>
      <c r="E5" s="105" t="str">
        <v>N/A</v>
      </c>
      <c r="F5" s="97"/>
      <c r="G5" s="97"/>
      <c r="H5" s="97"/>
      <c r="I5" s="97"/>
      <c r="J5" s="97"/>
      <c r="K5" s="97"/>
      <c r="L5" s="97"/>
      <c r="M5" s="97"/>
      <c r="N5" s="97"/>
      <c r="O5" s="99"/>
      <c r="P5" t="str">
        <v>Skipped</v>
      </c>
    </row>
    <row r="6">
      <c r="A6" s="100" t="str">
        <v>Round 1</v>
      </c>
      <c r="B6" s="105" t="n">
        <f>COUNTIF(F12:F12,"Passed")</f>
        <v>0</v>
      </c>
      <c r="C6" s="105" t="n">
        <f>COUNTIF(F12:F12,"Failed")</f>
        <v>0</v>
      </c>
      <c r="D6" s="105" t="n">
        <f>B4-B6-C6-E6</f>
        <v>1</v>
      </c>
      <c r="E6" s="105" t="n">
        <f>COUNTIF(F12:F12,"Skipped")</f>
        <v>0</v>
      </c>
      <c r="F6" s="97"/>
      <c r="G6" s="97"/>
      <c r="H6" s="97"/>
      <c r="I6" s="97"/>
      <c r="J6" s="97"/>
      <c r="K6" s="97"/>
      <c r="L6" s="97"/>
      <c r="M6" s="97"/>
      <c r="N6" s="97"/>
      <c r="O6" s="99"/>
      <c r="P6"/>
    </row>
    <row r="7">
      <c r="A7" s="100" t="str">
        <v>Round 2</v>
      </c>
      <c r="B7" s="105" t="n">
        <f>COUNTIF(I12:I12,"Passed")</f>
        <v>0</v>
      </c>
      <c r="C7" s="105" t="n">
        <f>COUNTIF(I12:I12,"Failed")</f>
        <v>0</v>
      </c>
      <c r="D7" s="105" t="n">
        <f>B4-B7-C7-E7</f>
        <v>1</v>
      </c>
      <c r="E7" s="105" t="n">
        <f>COUNTIF(I12:I12,"Skipped")</f>
        <v>0</v>
      </c>
      <c r="F7" s="97"/>
      <c r="G7" s="97"/>
      <c r="H7" s="97"/>
      <c r="I7" s="97"/>
      <c r="J7" s="97"/>
      <c r="K7" s="97"/>
      <c r="L7" s="97"/>
      <c r="M7" s="97"/>
      <c r="N7" s="97"/>
      <c r="O7" s="99"/>
      <c r="P7"/>
    </row>
    <row r="8">
      <c r="A8" s="100" t="str">
        <v>Round 3</v>
      </c>
      <c r="B8" s="105" t="n">
        <f>COUNTIF(L12:L12,"Passed")</f>
        <v>0</v>
      </c>
      <c r="C8" s="105" t="n">
        <f>COUNTIF(L12:L12,"Failed")</f>
        <v>0</v>
      </c>
      <c r="D8" s="105" t="n">
        <f>B4-B8-C8-E8</f>
        <v>1</v>
      </c>
      <c r="E8" s="105" t="n">
        <f>COUNTIF(L12:L12,"Skipped")</f>
        <v>0</v>
      </c>
      <c r="F8" s="97"/>
      <c r="G8" s="97"/>
      <c r="H8" s="97"/>
      <c r="I8" s="97"/>
      <c r="J8" s="97"/>
      <c r="K8" s="97"/>
      <c r="L8" s="97"/>
      <c r="M8" s="97"/>
      <c r="N8" s="97"/>
      <c r="O8" s="99"/>
      <c r="P8"/>
    </row>
    <row r="9">
      <c r="A9" s="97"/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9"/>
      <c r="P9"/>
    </row>
    <row r="10">
      <c r="A10" s="106" t="str">
        <v>Test Case ID</v>
      </c>
      <c r="B10" s="106" t="str">
        <v>Test Case Description</v>
      </c>
      <c r="C10" s="106" t="str">
        <v>Test Case Procedure</v>
      </c>
      <c r="D10" s="106" t="str">
        <v>Expected Results</v>
      </c>
      <c r="E10" s="106" t="str">
        <v>Pre-conditions</v>
      </c>
      <c r="F10" s="106" t="str">
        <v>Round 1</v>
      </c>
      <c r="G10" s="106" t="str">
        <v>Test date</v>
      </c>
      <c r="H10" s="106" t="str">
        <v>Tester</v>
      </c>
      <c r="I10" s="106" t="str">
        <v>Round 2</v>
      </c>
      <c r="J10" s="106" t="str">
        <v>Test date</v>
      </c>
      <c r="K10" s="106" t="str">
        <v>Tester</v>
      </c>
      <c r="L10" s="106" t="str">
        <v>Round 3</v>
      </c>
      <c r="M10" s="106" t="str">
        <v>Test date</v>
      </c>
      <c r="N10" s="106" t="str">
        <v>Tester</v>
      </c>
      <c r="O10" s="106" t="str">
        <v>Note</v>
      </c>
      <c r="P10"/>
    </row>
    <row r="11" ht="24" customHeight="1">
      <c r="A11" s="108" t="str">
        <v>Operate agenda through complete meeting UI</v>
      </c>
      <c r="B11" s="108"/>
      <c r="C11" s="108"/>
      <c r="D11" s="108"/>
      <c r="E11" s="108"/>
      <c r="F11" s="108"/>
      <c r="G11" s="109"/>
      <c r="H11" s="108"/>
      <c r="I11" s="108"/>
      <c r="J11" s="109"/>
      <c r="K11" s="108"/>
      <c r="L11" s="108"/>
      <c r="M11" s="109"/>
      <c r="N11" s="108"/>
      <c r="O11" s="110"/>
      <c r="P11"/>
    </row>
    <row r="12" ht="95.0" customHeight="1">
      <c r="A12" s="108" t="str">
        <v>SYS-09</v>
      </c>
      <c r="B12" s="108" t="str">
        <v>Operate agenda through complete meeting UI</v>
      </c>
      <c r="C12" s="108" t="str">
        <v>1. Create/reorder agenda in UI.
2. Start meeting.
3. Start/finish item as Chair.
4. Observe participant browser.</v>
      </c>
      <c r="D12" s="108" t="str">
        <v>1. After integration, order/state/duration synchronize according to API.
2. Re-execute workflow.</v>
      </c>
      <c r="E12" s="108" t="str">
        <v>1. Blocked: agenda UI and meeting-start workflow unavailable in this checkout.</v>
      </c>
      <c r="F12" s="108" t="str">
        <v>Pending</v>
      </c>
      <c r="G12" s="109" t="str"/>
      <c r="H12" s="108" t="str"/>
      <c r="I12" s="108" t="str"/>
      <c r="J12" s="109" t="str"/>
      <c r="K12" s="108" t="str"/>
      <c r="L12" s="108" t="str"/>
      <c r="M12" s="109" t="str"/>
      <c r="N12" s="108" t="str"/>
      <c r="O12" s="110" t="str"/>
      <c r="P12"/>
    </row>
  </sheetData>
  <mergeCells count="4">
    <mergeCell ref="B2:E2"/>
    <mergeCell ref="B3:E3"/>
    <mergeCell ref="B4:E4"/>
    <mergeCell ref="A11:O11"/>
  </mergeCell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2020-03-17T17:34:29Z</dcterms:created>
  <dc:creator>TrustCabinet SEP490-G116</dc:creator>
</cp:coreProperties>
</file>