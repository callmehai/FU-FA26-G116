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drawing+xml" PartName="/xl/drawings/drawing4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Guideline" sheetId="1" r:id="sheet1"/>
    <sheet name="Cover" sheetId="2" r:id="sheet2"/>
    <sheet name="MethodList" sheetId="3" r:id="sheet3"/>
    <sheet name="Statistics" sheetId="4" r:id="sheet4"/>
    <sheet name="U001-Every_capability_in_the_en" sheetId="5" r:id="sheet5"/>
    <sheet name="U002-Code_is_the_enum_name_so_t" sheetId="6" r:id="sheet6"/>
    <sheet name="U003-Matrix_lists_every_role_ev" sheetId="7" r:id="sheet7"/>
    <sheet name="U004-Matrix_lists_built_in_role" sheetId="8" r:id="sheet8"/>
    <sheet name="U005-Matrix_returns_the_seeded_" sheetId="9" r:id="sheet9"/>
    <sheet name="U006-Matrix_carries_the_whole_c" sheetId="10" r:id="sheet10"/>
    <sheet name="U007-Update_saves_the_requested" sheetId="11" r:id="sheet11"/>
    <sheet name="U008-Update_can_remove_every_ca" sheetId="12" r:id="sheet12"/>
    <sheet name="U009-Update_records_the_change_" sheetId="13" r:id="sheet13"/>
    <sheet name="U010-Update_ends_the_sessions_o" sheetId="14" r:id="sheet14"/>
    <sheet name="U011-Update_ends_sessions_when_" sheetId="15" r:id="sheet15"/>
    <sheet name="U012-Sessions_are_ended_after_t" sheetId="16" r:id="sheet16"/>
    <sheet name="U013-The_matrix_change_survives" sheetId="17" r:id="sheet17"/>
    <sheet name="U014-One_unreachable_session_do" sheetId="18" r:id="sheet18"/>
    <sheet name="U015-The_update_runs_under_the_" sheetId="19" r:id="sheet19"/>
    <sheet name="U016-Update_that_changes_nothin" sheetId="20" r:id="sheet20"/>
    <sheet name="U017-Update_ignores_duplicates_" sheetId="21" r:id="sheet21"/>
    <sheet name="U018-Update_refuses_to_remove_a" sheetId="22" r:id="sheet22"/>
    <sheet name="U019-Update_allows_moving_admin" sheetId="23" r:id="sheet23"/>
    <sheet name="U020-Update_refuses_to_move_adm" sheetId="24" r:id="sheet24"/>
    <sheet name="U021-Update_refuses_when_the_on" sheetId="25" r:id="sheet25"/>
    <sheet name="U022-Granting_admin_users_to_a_" sheetId="26" r:id="sheet26"/>
    <sheet name="U023-Update_refuses_an_unknown_" sheetId="27" r:id="sheet27"/>
    <sheet name="U024-Update_configures_a_custom" sheetId="28" r:id="sheet28"/>
    <sheet name="U025-A_custom_role_can_take_ove" sheetId="29" r:id="sheet29"/>
    <sheet name="U026-Update_refuses_an_unknown_" sheetId="30" r:id="sheet30"/>
    <sheet name="U027-Update_answers_save_failed" sheetId="31" r:id="sheet31"/>
    <sheet name="U028-List_puts_built_in_roles_f" sheetId="32" r:id="sheet32"/>
    <sheet name="U029-Create_saves_the_role_with" sheetId="33" r:id="sheet33"/>
    <sheet name="U030-Create_records_role_create" sheetId="34" r:id="sheet34"/>
    <sheet name="U031-Create_goes_through_the_ad" sheetId="35" r:id="sheet35"/>
    <sheet name="U032-Create_without_capabilitie" sheetId="36" r:id="sheet36"/>
    <sheet name="U033-Create_trims_the_name_and_" sheetId="37" r:id="sheet37"/>
    <sheet name="U034-Create_stores_a_blank_desc" sheetId="38" r:id="sheet38"/>
    <sheet name="U035-Create_answers_MSG20_for_a" sheetId="39" r:id="sheet39"/>
    <sheet name="U036-Create_accepts_64_characte" sheetId="40" r:id="sheet40"/>
    <sheet name="U037-Create_measures_the_name_a" sheetId="41" r:id="sheet41"/>
    <sheet name="U038-Create_refuses_a_descripti" sheetId="42" r:id="sheet42"/>
    <sheet name="U039-Create_names_every_unknown" sheetId="43" r:id="sheet43"/>
    <sheet name="U040-Create_refuses_a_capabilit" sheetId="44" r:id="sheet44"/>
    <sheet name="U041-Create_names_a_null_capabi" sheetId="45" r:id="sheet45"/>
    <sheet name="U042-Create_reports_every_inval" sheetId="46" r:id="sheet46"/>
    <sheet name="U043-Create_accepts_capability_" sheetId="47" r:id="sheet47"/>
    <sheet name="U044-Create_answers_MSG21_for_a" sheetId="48" r:id="sheet48"/>
    <sheet name="U045-Create_answers_MSG21_for_t" sheetId="49" r:id="sheet49"/>
    <sheet name="U046-Create_stores_the_name_in_" sheetId="50" r:id="sheet50"/>
    <sheet name="U047-Create_answers_MSG21_for_t" sheetId="51" r:id="sheet51"/>
    <sheet name="U048-Create_answers_MSG21_when_" sheetId="52" r:id="sheet52"/>
    <sheet name="U049-Create_answers_save_failed" sheetId="53" r:id="sheet53"/>
    <sheet name="U050-Update_renames_a_custom_ro" sheetId="54" r:id="sheet54"/>
    <sheet name="U051-Update_records_before_and_" sheetId="55" r:id="sheet55"/>
    <sheet name="U052-Update_does_not_take_the_i" sheetId="56" r:id="sheet56"/>
    <sheet name="U053-Update_answers_not_found_f" sheetId="57" r:id="sheet57"/>
    <sheet name="U054-Update_answers_MSG24_for_e" sheetId="58" r:id="sheet58"/>
    <sheet name="U055-Update_answers_MSG24_befor" sheetId="59" r:id="sheet59"/>
    <sheet name="U056-Update_answers_MSG20_for_i" sheetId="60" r:id="sheet60"/>
    <sheet name="U057-Update_answers_MSG21_for_t" sheetId="61" r:id="sheet61"/>
    <sheet name="U058-Update_may_change_only_the" sheetId="62" r:id="sheet62"/>
    <sheet name="U059-Update_with_nothing_change" sheetId="63" r:id="sheet63"/>
    <sheet name="U060-Update_answers_MSG21_when_" sheetId="64" r:id="sheet64"/>
    <sheet name="U061-Update_answers_not_found_w" sheetId="65" r:id="sheet65"/>
    <sheet name="U062-Update_answers_save_failed" sheetId="66" r:id="sheet66"/>
    <sheet name="U063-Delete_removes_a_custom_ro" sheetId="67" r:id="sheet67"/>
    <sheet name="U064-Delete_records_the_name_an" sheetId="68" r:id="sheet68"/>
    <sheet name="U065-Delete_goes_through_the_ad" sheetId="69" r:id="sheet69"/>
    <sheet name="U066-Delete_answers_not_found_f" sheetId="70" r:id="sheet70"/>
    <sheet name="U067-Delete_answers_MSG24_for_e" sheetId="71" r:id="sheet71"/>
    <sheet name="U068-Delete_answers_MSG25_with_" sheetId="72" r:id="sheet72"/>
    <sheet name="U069-Delete_answers_MSG25_when_" sheetId="73" r:id="sheet73"/>
    <sheet name="U070-Delete_answers_save_failed" sheetId="74" r:id="sheet74"/>
    <sheet name="U071-Actual_duration_is_indepen" sheetId="75" r:id="sheet75"/>
    <sheet name="U072-Missing_start_or_backwards" sheetId="76" r:id="sheet76"/>
    <sheet name="U073-Order_token_is_determinist" sheetId="77" r:id="sheet77"/>
    <sheet name="U074-Normalization_preserves_ne" sheetId="78" r:id="sheet78"/>
    <sheet name="U075-An_active_user_with_the_ri" sheetId="79" r:id="sheet79"/>
    <sheet name="U076-Signing_in_issues_an_acces" sheetId="80" r:id="sheet80"/>
    <sheet name="U077-Capabilities_come_from_the" sheetId="81" r:id="sheet81"/>
    <sheet name="U078-A_member_signs_in_although" sheetId="82" r:id="sheet82"/>
    <sheet name="U079-Email_case_and_surrounding" sheetId="83" r:id="sheet83"/>
    <sheet name="U080-An_unknown_email_is_reject" sheetId="84" r:id="sheet84"/>
    <sheet name="U081-A_wrong_password_is_reject" sheetId="85" r:id="sheet85"/>
    <sheet name="U082-An_unknown_email_and_a_wro" sheetId="86" r:id="sheet86"/>
    <sheet name="U083-An_unknown_email_still_cos" sheetId="87" r:id="sheet87"/>
    <sheet name="U084-The_dummy_hash_comes_from_" sheetId="88" r:id="sheet88"/>
    <sheet name="U085-The_dummy_hash_never_match" sheetId="89" r:id="sheet89"/>
    <sheet name="U086-A_known_email_and_an_unkno" sheetId="90" r:id="sheet90"/>
    <sheet name="U087-Blank_input_is_rejected_wi" sheetId="91" r:id="sheet91"/>
    <sheet name="U088-A_failed_attempt_issues_no" sheetId="92" r:id="sheet92"/>
    <sheet name="U089-A_placeholder_password_has" sheetId="93" r:id="sheet93"/>
    <sheet name="U090-A_deactivated_account_is_t" sheetId="94" r:id="sheet94"/>
    <sheet name="U091-A_deactivated_account_with" sheetId="95" r:id="sheet95"/>
    <sheet name="U092-A_role_that_grants_nothing" sheetId="96" r:id="sheet96"/>
    <sheet name="U093-A_custom_role_signs_in_wit" sheetId="97" r:id="sheet97"/>
    <sheet name="U094-A_refresh_token_can_be_exc" sheetId="98" r:id="sheet98"/>
    <sheet name="U095-A_refresh_token_works_only" sheetId="99" r:id="sheet99"/>
    <sheet name="U096-A_database_error_during_re" sheetId="100" r:id="sheet100"/>
    <sheet name="U097-An_expired_refresh_token_i" sheetId="101" r:id="sheet101"/>
    <sheet name="U098-A_missing_or_unknown_refre" sheetId="102" r:id="sheet102"/>
    <sheet name="U099-Deactivating_an_account_en" sheetId="103" r:id="sheet103"/>
    <sheet name="U100-Losing_every_capability_re" sheetId="104" r:id="sheet104"/>
    <sheet name="U101-A_capability_granted_meanw" sheetId="105" r:id="sheet105"/>
    <sheet name="U102-Signing_out_destroys_the_s" sheetId="106" r:id="sheet106"/>
    <sheet name="U103-Signing_out_twice_is_not_a" sheetId="107" r:id="sheet107"/>
    <sheet name="U104-Signing_out_one_session_le" sheetId="108" r:id="sheet108"/>
    <sheet name="U105-A_linked_active_account_si" sheetId="109" r:id="sheet109"/>
    <sheet name="U106-Google_sign_in_issues_the_" sheetId="110" r:id="sheet110"/>
    <sheet name="U107-An_account_with_both_a_pas" sheetId="111" r:id="sheet111"/>
    <sheet name="U108-A_member_signs_in_with_goo" sheetId="112" r:id="sheet112"/>
    <sheet name="U109-A_token_that_does_not_veri" sheetId="113" r:id="sheet113"/>
    <sheet name="U110-The_database_is_not_consul" sheetId="114" r:id="sheet114"/>
    <sheet name="U111-A_google_account_nobody_li" sheetId="115" r:id="sheet115"/>
    <sheet name="U112-An_account_created_with_th" sheetId="116" r:id="sheet116"/>
    <sheet name="U113-An_account_already_linked_" sheetId="117" r:id="sheet117"/>
    <sheet name="U114-An_account_deactivated_bef" sheetId="118" r:id="sheet118"/>
    <sheet name="U115-A_deactivated_account_link" sheetId="119" r:id="sheet119"/>
    <sheet name="U116-A_deactivated_linked_accou" sheetId="120" r:id="sheet120"/>
    <sheet name="U117-A_linked_account_whose_rol" sheetId="121" r:id="sheet121"/>
    <sheet name="U118-A_google_only_account_cann" sheetId="122" r:id="sheet122"/>
    <sheet name="U119-A_session_started_with_goo" sheetId="123" r:id="sheet123"/>
    <sheet name="U120-Signing_out_of_a_google_se" sheetId="124" r:id="sheet124"/>
    <sheet name="U121-Deactivating_a_google_acco" sheetId="125" r:id="sheet125"/>
    <sheet name="U122-A_payload_with_a_verified_" sheetId="126" r:id="sheet126"/>
    <sheet name="U123-A_payload_whose_email_is_n" sheetId="127" r:id="sheet127"/>
    <sheet name="U124-A_payload_without_a_usable" sheetId="128" r:id="sheet128"/>
    <sheet name="U125-A_blank_token_is_refused_w" sheetId="129" r:id="sheet129"/>
    <sheet name="U126-A_malformed_token_returns_" sheetId="130" r:id="sheet130"/>
    <sheet name="U127-A_well_formed_but_forged_t" sheetId="131" r:id="sheet131"/>
    <sheet name="U128-The_access_token_identifie" sheetId="132" r:id="sheet132"/>
    <sheet name="U129-The_access_token_carries_o" sheetId="133" r:id="sheet133"/>
    <sheet name="U130-An_access_token_for_a_memb" sheetId="134" r:id="sheet134"/>
    <sheet name="U131-The_access_token_never_car" sheetId="135" r:id="sheet135"/>
    <sheet name="U132-Every_access_token_has_its" sheetId="136" r:id="sheet136"/>
    <sheet name="U133-The_access_token_expires_a" sheetId="137" r:id="sheet137"/>
    <sheet name="U134-The_access_token_validates" sheetId="138" r:id="sheet138"/>
    <sheet name="U135-A_token_signed_with_anothe" sheetId="139" r:id="sheet139"/>
    <sheet name="U136-A_tampered_token_is_reject" sheetId="140" r:id="sheet140"/>
    <sheet name="U137-A_token_from_another_issue" sheetId="141" r:id="sheet141"/>
    <sheet name="U138-A_fresh_token_carries_no_n" sheetId="142" r:id="sheet142"/>
    <sheet name="U139-A_token_validates_against_" sheetId="143" r:id="sheet143"/>
    <sheet name="U140-Refresh_tokens_are_unique_" sheetId="144" r:id="sheet144"/>
    <sheet name="U141-The_refresh_token_lifetime" sheetId="145" r:id="sheet145"/>
    <sheet name="U142-A_password_verifies_agains" sheetId="146" r:id="sheet146"/>
    <sheet name="U143-A_different_password_does_" sheetId="147" r:id="sheet147"/>
    <sheet name="U144-Password_comparison_is_cas" sheetId="148" r:id="sheet148"/>
    <sheet name="U145-The_hash_does_not_contain_" sheetId="149" r:id="sheet149"/>
    <sheet name="U146-The_same_password_hashes_d" sheetId="150" r:id="sheet150"/>
    <sheet name="U147-The_hash_fits_the_column" sheetId="151" r:id="sheet151"/>
    <sheet name="U148-A_malformed_stored_hash_fa" sheetId="152" r:id="sheet152"/>
    <sheet name="U149-A_long_passphrase_is_suppo" sheetId="153" r:id="sheet153"/>
    <sheet name="U150-Reconciliation_failures_ar" sheetId="154" r:id="sheet154"/>
    <sheet name="U151-Host_cancellation_during_r" sheetId="155" r:id="sheet155"/>
    <sheet name="U152-Sends_the_link_to_the_regi" sheetId="156" r:id="sheet156"/>
    <sheet name="U153-The_token_travels_in_the_f" sheetId="157" r:id="sheet157"/>
    <sheet name="U154-Disabled_email_delivery_is" sheetId="158" r:id="sheet158"/>
    <sheet name="U155-A_server_error_is_a_failed" sheetId="159" r:id="sheet159"/>
    <sheet name="U156-A_server_that_never_answer" sheetId="160" r:id="sheet160"/>
    <sheet name="U157-A_cancelled_request_is_not" sheetId="161" r:id="sheet161"/>
    <sheet name="U158-Delegate_is_not_added_by_r" sheetId="162" r:id="sheet162"/>
    <sheet name="U159-Snapshot_excludes_inactive" sheetId="163" r:id="sheet163"/>
    <sheet name="U160-Empty_query_uses_defaults" sheetId="164" r:id="sheet164"/>
    <sheet name="U161-Valid_query_normalizes_dat" sheetId="165" r:id="sheet165"/>
    <sheet name="U162-Timestamp_with_timezone_is" sheetId="166" r:id="sheet166"/>
    <sheet name="U163-Sort_field_without_directi" sheetId="167" r:id="sheet167"/>
    <sheet name="U164-Direction_without_sort_fie" sheetId="168" r:id="sheet168"/>
    <sheet name="U165-Invalid_value_returns_its_" sheetId="169" r:id="sheet169"/>
    <sheet name="U166-Reversed_range_is_invalid" sheetId="170" r:id="sheet170"/>
    <sheet name="U167-Large_page_is_valid_query" sheetId="171" r:id="sheet171"/>
    <sheet name="U168-Parser_reports_independent" sheetId="172" r:id="sheet172"/>
    <sheet name="U169-In_memory_and_query_polici" sheetId="173" r:id="sheet173"/>
    <sheet name="U170-Reassignment_revokes_the_o" sheetId="174" r:id="sheet174"/>
    <sheet name="U171-Assigned_secretary_can_rea" sheetId="175" r:id="sheet175"/>
    <sheet name="U172-Assigned_chair_reads_conte" sheetId="176" r:id="sheet176"/>
    <sheet name="U173-Unassigned_or_ineligible_s" sheetId="177" r:id="sheet177"/>
    <sheet name="U174-Invalid_participant_assign" sheetId="178" r:id="sheet178"/>
    <sheet name="U175-Create_rejects_a_missing_o" sheetId="179" r:id="sheet179"/>
    <sheet name="U176-Validation_collects_field_" sheetId="180" r:id="sheet180"/>
    <sheet name="U177-Create_accepts_each_suppor" sheetId="181" r:id="sheet181"/>
    <sheet name="U178-Create_uses_form_defaults" sheetId="182" r:id="sheet182"/>
    <sheet name="U179-Create_accepts_the_documen" sheetId="183" r:id="sheet183"/>
    <sheet name="U180-Create_stores_the_planned_" sheetId="184" r:id="sheet184"/>
    <sheet name="U181-Create_rejects_a_time_with" sheetId="185" r:id="sheet185"/>
    <sheet name="U182-Update_of_a_draft_keeps_a_" sheetId="186" r:id="sheet186"/>
    <sheet name="U183-Create_leaves_the_approver" sheetId="187" r:id="sheet187"/>
    <sheet name="U184-Create_does_not_assign_or_" sheetId="188" r:id="sheet188"/>
    <sheet name="U185-Update_changes_draft_field" sheetId="189" r:id="sheet189"/>
    <sheet name="U186-Update_uses_form_defaults" sheetId="190" r:id="sheet190"/>
    <sheet name="U187-Update_changes_rejected_in" sheetId="191" r:id="sheet191"/>
    <sheet name="U188-Update_returns_validation_" sheetId="192" r:id="sheet192"/>
    <sheet name="U189-Update_rejects_a_meeting_o" sheetId="193" r:id="sheet193"/>
    <sheet name="U190-Update_does_not_save_when_" sheetId="194" r:id="sheet194"/>
    <sheet name="U191-Update_preserves_a_draft_a" sheetId="195" r:id="sheet195"/>
    <sheet name="U192-Get_and_update_return_the_" sheetId="196" r:id="sheet196"/>
    <sheet name="U193-Get_allows_the_assigned_ap" sheetId="197" r:id="sheet197"/>
    <sheet name="U194-Get_returns_a_read_failure" sheetId="198" r:id="sheet198"/>
    <sheet name="U195-List_forwards_criteria_and" sheetId="199" r:id="sheet199"/>
    <sheet name="U196-List_maps_a_database_failu" sheetId="200" r:id="sheet200"/>
    <sheet name="U197-List_propagates_request_ca" sheetId="201" r:id="sheet201"/>
    <sheet name="U198-List_eligible_approvers_re" sheetId="202" r:id="sheet202"/>
    <sheet name="U199-List_eligible_approvers_ma" sheetId="203" r:id="sheet203"/>
    <sheet name="U200-Save_failure_is_returned_a" sheetId="204" r:id="sheet204"/>
    <sheet name="U201-Update_save_failure_is_ret" sheetId="205" r:id="sheet205"/>
    <sheet name="U202-Submission_readiness_does_" sheetId="206" r:id="sheet206"/>
    <sheet name="U203-Submission_readiness_requi" sheetId="207" r:id="sheet207"/>
    <sheet name="U204-Meeting_readiness_reuses_i" sheetId="208" r:id="sheet208"/>
    <sheet name="U205-Submit_records_assignment_" sheetId="209" r:id="sheet209"/>
    <sheet name="U206-Approve_notifies_the_organ" sheetId="210" r:id="sheet210"/>
    <sheet name="U207-Reject_notifies_the_organi" sheetId="211" r:id="sheet211"/>
    <sheet name="U208-Rejected_meeting_returns_t" sheetId="212" r:id="sheet212"/>
    <sheet name="U209-Draft_approver_selected_by" sheetId="213" r:id="sheet213"/>
    <sheet name="U210-Assigned_approver_with_cap" sheetId="214" r:id="sheet214"/>
    <sheet name="U211-Assigned_approver_without_" sheetId="215" r:id="sheet215"/>
    <sheet name="U212-Readiness_get_and_submit_u" sheetId="216" r:id="sheet216"/>
    <sheet name="U213-Reject_requires_nonblank_r" sheetId="217" r:id="sheet217"/>
    <sheet name="U214-Reject_accepts_exactly_100" sheetId="218" r:id="sheet218"/>
    <sheet name="U215-Publish_notifies_active_no" sheetId="219" r:id="sheet219"/>
    <sheet name="U216-Publish_does_not_notify_th" sheetId="220" r:id="sheet220"/>
    <sheet name="U217-Publish_keeps_the_full_uni" sheetId="221" r:id="sheet221"/>
    <sheet name="U218-Organizer_cannot_submit_to" sheetId="222" r:id="sheet222"/>
    <sheet name="U219-Legacy_self_assignment_can" sheetId="223" r:id="sheet223"/>
    <sheet name="U220-Waiting_approval_can_be_wi" sheetId="224" r:id="sheet224"/>
    <sheet name="U221-Legacy_missing_or_self_ass" sheetId="225" r:id="sheet225"/>
    <sheet name="U222-Withdrawal_save_failure_ro" sheetId="226" r:id="sheet226"/>
    <sheet name="U223-Ineligible_approver_does_n" sheetId="227" r:id="sheet227"/>
    <sheet name="U224-Invitation_producer_failur" sheetId="228" r:id="sheet228"/>
    <sheet name="U225-Publish_persistence_failur" sheetId="229" r:id="sheet229"/>
    <sheet name="U226-Organizer_and_current_appr" sheetId="230" r:id="sheet230"/>
    <sheet name="U227-Administrative_transfer_re" sheetId="231" r:id="sheet231"/>
    <sheet name="U228-Transfer_requires_current_" sheetId="232" r:id="sheet232"/>
    <sheet name="U229-Transfer_cannot_replace_an" sheetId="233" r:id="sheet233"/>
    <sheet name="U230-Transfer_rejects_an_invali" sheetId="234" r:id="sheet234"/>
    <sheet name="U231-Transfer_requires_an_appro" sheetId="235" r:id="sheet235"/>
    <sheet name="U232-Transfer_save_failure_roll" sheetId="236" r:id="sheet236"/>
    <sheet name="U233-Transfer_organizer_ids_are" sheetId="237" r:id="sheet237"/>
    <sheet name="U234-Submit_accepts_draft_or_re" sheetId="238" r:id="sheet238"/>
    <sheet name="U235-Failed_rejected_resubmissi" sheetId="239" r:id="sheet239"/>
    <sheet name="U236-Publish_succeeds_with_the_" sheetId="240" r:id="sheet240"/>
    <sheet name="U237-Publish_requires_exactly_o" sheetId="241" r:id="sheet241"/>
    <sheet name="U238-Assigned_secretary_reads_d" sheetId="242" r:id="sheet242"/>
    <sheet name="U239-Invalid_secretary_relation" sheetId="243" r:id="sheet243"/>
    <sheet name="U240-Migration_marks_preexistin" sheetId="244" r:id="sheet244"/>
    <sheet name="U241-List_returns_every_account" sheetId="245" r:id="sheet245"/>
    <sheet name="U242-List_includes_deactivated_" sheetId="246" r:id="sheet246"/>
    <sheet name="U243-List_never_exposes_the_pas" sheetId="247" r:id="sheet247"/>
    <sheet name="U244-Create_stores_an_active_ac" sheetId="248" r:id="sheet248"/>
    <sheet name="U245-Create_hashes_the_password" sheetId="249" r:id="sheet249"/>
    <sheet name="U246-Create_never_puts_the_pass" sheetId="250" r:id="sheet250"/>
    <sheet name="U247-Create_rejects_invalid_inf" sheetId="251" r:id="sheet251"/>
    <sheet name="U248-Create_rejects_a_password_" sheetId="252" r:id="sheet252"/>
    <sheet name="U249-Create_rejects_a_role_that" sheetId="253" r:id="sheet253"/>
    <sheet name="U250-Create_accepts_a_role_an_a" sheetId="254" r:id="sheet254"/>
    <sheet name="U251-Create_reports_every_inval" sheetId="255" r:id="sheet255"/>
    <sheet name="U252-Create_rejects_an_email_th" sheetId="256" r:id="sheet256"/>
    <sheet name="U253-Create_rejects_an_email_th" sheetId="257" r:id="sheet257"/>
    <sheet name="U254-Create_trims_surrounding_w" sheetId="258" r:id="sheet258"/>
    <sheet name="U255-Create_does_not_audit_when" sheetId="259" r:id="sheet259"/>
    <sheet name="U256-Create_answers_MSG09_on_th" sheetId="260" r:id="sheet260"/>
    <sheet name="U257-Get_returns_the_current_in" sheetId="261" r:id="sheet261"/>
    <sheet name="U258-Get_reports_not_found_for_" sheetId="262" r:id="sheet262"/>
    <sheet name="U259-Update_changes_the_account" sheetId="263" r:id="sheet263"/>
    <sheet name="U260-Update_lets_an_account_kee" sheetId="264" r:id="sheet264"/>
    <sheet name="U261-Update_rejects_an_email_an" sheetId="265" r:id="sheet265"/>
    <sheet name="U262-Update_rejects_invalid_inf" sheetId="266" r:id="sheet266"/>
    <sheet name="U263-Update_reports_not_found_f" sheetId="267" r:id="sheet267"/>
    <sheet name="U264-Update_ends_the_sessions_w" sheetId="268" r:id="sheet268"/>
    <sheet name="U265-Update_keeps_the_sessions_" sheetId="269" r:id="sheet269"/>
    <sheet name="U266-Update_refuses_to_let_an_a" sheetId="270" r:id="sheet270"/>
    <sheet name="U267-Update_lets_an_administrat" sheetId="271" r:id="sheet271"/>
    <sheet name="U268-Update_lets_one_administra" sheetId="272" r:id="sheet272"/>
    <sheet name="U269-Update_refuses_to_demote_t" sheetId="273" r:id="sheet273"/>
    <sheet name="U270-Update_lets_the_last_admin" sheetId="274" r:id="sheet274"/>
    <sheet name="U271-An_inactive_account_can_st" sheetId="275" r:id="sheet275"/>
    <sheet name="U272-Changing_an_email_ends_the" sheetId="276" r:id="sheet276"/>
    <sheet name="U273-Renaming_somebody_leaves_t" sheetId="277" r:id="sheet277"/>
    <sheet name="U274-Both_writes_that_touch_the" sheetId="278" r:id="sheet278"/>
    <sheet name="U275-Sessions_are_ended_after_t" sheetId="279" r:id="sheet279"/>
    <sheet name="U276-A_change_survives_the_sess" sheetId="280" r:id="sheet280"/>
    <sheet name="U277-Deactivate_sets_the_status" sheetId="281" r:id="sheet281"/>
    <sheet name="U278-Deactivate_never_deletes_t" sheetId="282" r:id="sheet282"/>
    <sheet name="U279-Reactivate_sets_the_status" sheetId="283" r:id="sheet283"/>
    <sheet name="U280-Status_change_is_refused_w" sheetId="284" r:id="sheet284"/>
    <sheet name="U281-Status_change_is_refused_w" sheetId="285" r:id="sheet285"/>
    <sheet name="U282-Two_administrators_cannot_" sheetId="286" r:id="sheet286"/>
    <sheet name="U283-Deactivating_the_last_admi" sheetId="287" r:id="sheet287"/>
    <sheet name="U284-A_custom_role_holding_admi" sheetId="288" r:id="sheet288"/>
    <sheet name="U285-Moving_the_last_administra" sheetId="289" r:id="sheet289"/>
    <sheet name="U286-Update_answers_with_the_ne" sheetId="290" r:id="sheet290"/>
    <sheet name="U287-Update_answers_MSG09_for_a" sheetId="291" r:id="sheet291"/>
    <sheet name="U288-Deactivating_a_non_adminis" sheetId="292" r:id="sheet292"/>
    <sheet name="U289-Status_change_reports_not_" sheetId="293" r:id="sheet293"/>
    <sheet name="U290-Reset_request_emails_a_lin" sheetId="294" r:id="sheet294"/>
    <sheet name="U291-Reset_request_leaves_the_c" sheetId="295" r:id="sheet295"/>
    <sheet name="U292-Reset_request_answers_not_" sheetId="296" r:id="sheet296"/>
    <sheet name="U293-Reset_request_answers_not_" sheetId="297" r:id="sheet297"/>
    <sheet name="U294-Reset_request_answers_emai" sheetId="298" r:id="sheet298"/>
    <sheet name="U295-A_failed_resend_keeps_the_" sheetId="299" r:id="sheet299"/>
    <sheet name="U296-A_link_whose_email_failed_" sheetId="300" r:id="sheet300"/>
    <sheet name="U297-A_deactivation_during_the_" sheetId="301" r:id="sheet301"/>
    <sheet name="U298-An_email_change_during_the" sheetId="302" r:id="sheet302"/>
    <sheet name="U299-A_change_of_case_during_th" sheetId="303" r:id="sheet303"/>
    <sheet name="U300-Reset_request_reports_not_" sheetId="304" r:id="sheet304"/>
    <sheet name="U301-Reset_sets_the_new_passwor" sheetId="305" r:id="sheet305"/>
    <sheet name="U302-Reset_link_works_only_once" sheetId="306" r:id="sheet306"/>
    <sheet name="U303-A_newer_reset_link_superse" sheetId="307" r:id="sheet307"/>
    <sheet name="U304-A_live_link_does_not_give_" sheetId="308" r:id="sheet308"/>
    <sheet name="U305-Reset_refuses_an_expired_l" sheetId="309" r:id="sheet309"/>
    <sheet name="U306-Reset_refuses_an_unknown_l" sheetId="310" r:id="sheet310"/>
    <sheet name="U307-A_too_short_password_is_re" sheetId="311" r:id="sheet311"/>
    <sheet name="U308-Reset_refuses_the_link_of_" sheetId="312" r:id="sheet312"/>
    <sheet name="U309-Reset_ends_a_session_opene" sheetId="313" r:id="sheet313"/>
    <sheet name="U310-Reset_still_succeeds_when_" sheetId="314" r:id="sheet314"/>
    <sheet name="U311-Deactivating_an_account_ki" sheetId="315" r:id="sheet315"/>
    <sheet name="U312-Changing_the_email_kills_t" sheetId="316" r:id="sheet316"/>
    <sheet name="U313-Sessions_still_end_when_re" sheetId="317" r:id="sheet317"/>
    <sheet name="U314-The_reset_link_is_still_re" sheetId="318" r:id="sheet318"/>
    <sheet name="U315-Renaming_an_account_leaves" sheetId="319" r:id="sheet319"/>
    <sheet name="U316-Reset_keeps_the_old_passwo" sheetId="320" r:id="sheet320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\-mmm\-yy"/>
    <numFmt numFmtId="166" formatCode="mm/dd"/>
    <numFmt numFmtId="167" formatCode="yyyy-mm-dd"/>
    <numFmt numFmtId="168" formatCode="d.m"/>
  </numFmts>
  <fonts count="35">
    <font>
      <sz val="11.0"/>
      <color rgb="FF000000"/>
      <name val="MS PGothic"/>
      <scheme val="minor"/>
    </font>
    <font>
      <sz val="10.0"/>
      <color theme="1"/>
      <name val="Tahoma"/>
    </font>
    <font>
      <b/>
      <sz val="18.0"/>
      <color theme="1"/>
      <name val="Tahoma"/>
    </font>
    <font>
      <b/>
      <sz val="11.0"/>
      <color theme="1"/>
      <name val="Tahoma"/>
    </font>
    <font>
      <b/>
      <sz val="20.0"/>
      <color rgb="FF000000"/>
      <name val="Tahoma"/>
    </font>
    <font>
      <b/>
      <sz val="10.0"/>
      <color rgb="FF000000"/>
      <name val="Tahoma"/>
    </font>
    <font>
      <b/>
      <sz val="26.0"/>
      <color rgb="FFFF0000"/>
      <name val="Tahoma"/>
    </font>
    <font>
      <b/>
      <sz val="12.0"/>
      <color theme="1"/>
      <name val="Tahoma"/>
    </font>
    <font>
      <b/>
      <sz val="14.0"/>
      <color theme="1"/>
      <name val="Tahoma"/>
    </font>
    <font>
      <b/>
      <sz val="10.0"/>
      <color rgb="FFFF0000"/>
      <name val="Tahoma"/>
    </font>
    <font/>
    <font>
      <b/>
      <sz val="10.0"/>
      <color theme="1"/>
      <name val="Tahoma"/>
    </font>
    <font>
      <sz val="11.0"/>
      <color theme="1"/>
      <name val="Tahoma"/>
    </font>
    <font>
      <b/>
      <sz val="10.0"/>
      <color rgb="FF993300"/>
      <name val="Tahoma"/>
    </font>
    <font>
      <i/>
      <sz val="10.0"/>
      <color rgb="FF008000"/>
      <name val="Tahoma"/>
    </font>
    <font>
      <i/>
      <sz val="10.0"/>
      <color theme="1"/>
      <name val="Tahoma"/>
    </font>
    <font>
      <i/>
      <sz val="11.0"/>
      <color theme="1"/>
      <name val="Tahoma"/>
    </font>
    <font>
      <color theme="1"/>
      <name val="Tahoma"/>
    </font>
    <font>
      <b/>
      <sz val="10.0"/>
      <color rgb="FFFFFFFF"/>
      <name val="Tahoma"/>
    </font>
    <font>
      <u/>
      <sz val="11.0"/>
      <color rgb="FF0000FF"/>
      <name val="MS PGothic"/>
    </font>
    <font>
      <u/>
      <sz val="11.0"/>
      <color rgb="FF0000FF"/>
      <name val="MS PGothic"/>
    </font>
    <font>
      <sz val="10.0"/>
      <color rgb="FFFFFFFF"/>
      <name val="Tahoma"/>
    </font>
    <font>
      <b/>
      <sz val="11.0"/>
      <color rgb="FFFFFFFF"/>
      <name val="Tahoma"/>
    </font>
    <font>
      <sz val="10.0"/>
      <color rgb="FF000000"/>
      <name val="Tahoma"/>
    </font>
    <font>
      <b/>
      <color rgb="FF000000"/>
      <name val="Calibri"/>
    </font>
    <font>
      <color rgb="FF000000"/>
      <name val="Calibri"/>
    </font>
    <font>
      <color theme="1"/>
      <name val="MS PGothic"/>
      <scheme val="minor"/>
    </font>
    <font>
      <sz val="11.0"/>
      <color rgb="FF000000"/>
      <name val="Calibri"/>
    </font>
    <font>
      <sz val="11.0"/>
      <color theme="1"/>
      <name val="MS PGothic"/>
    </font>
    <font>
      <b/>
      <sz val="8.0"/>
      <color rgb="FFFFFFFF"/>
      <name val="Tahoma"/>
    </font>
    <font>
      <b/>
      <sz val="11.0"/>
      <color rgb="FF000000"/>
      <name val="Calibri"/>
    </font>
    <font>
      <b/>
      <sz val="11.0"/>
      <color rgb="FFFFFFFF"/>
      <name val="Calibri"/>
    </font>
    <font>
      <sz val="11.0"/>
      <color theme="1"/>
      <name val="Calibri"/>
    </font>
    <font>
      <sz val="8.0"/>
      <color theme="1"/>
      <name val="Tahoma"/>
    </font>
    <font>
      <b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</fills>
  <borders count="7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right/>
      <top/>
      <bottom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</border>
    <border>
      <left/>
      <right/>
      <top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/>
      <right/>
      <bottom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right style="dotted">
        <color rgb="FF000000"/>
      </right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/>
      <top/>
      <bottom/>
    </border>
    <border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</border>
    <border>
      <left style="hair">
        <color rgb="FF000000"/>
      </left>
      <right style="medium">
        <color rgb="FF000000"/>
      </right>
      <top style="thin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right style="hair">
        <color rgb="FF000000"/>
      </right>
      <bottom style="hair">
        <color rgb="FF000000"/>
      </bottom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right style="dotted">
        <color rgb="FF000000"/>
      </right>
      <bottom style="thin">
        <color rgb="FF000000"/>
      </bottom>
    </border>
    <border>
      <right style="hair">
        <color rgb="FF000000"/>
      </right>
      <top style="hair">
        <color rgb="FF000000"/>
      </top>
      <bottom style="thin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double">
        <color rgb="FF000000"/>
      </left>
      <right style="hair">
        <color rgb="FF000000"/>
      </right>
      <top style="double">
        <color rgb="FF000000"/>
      </top>
    </border>
    <border>
      <left/>
      <right/>
      <top style="double">
        <color rgb="FF000000"/>
      </top>
    </border>
    <border>
      <left/>
      <right/>
      <top style="double">
        <color rgb="FF000000"/>
      </top>
      <bottom style="medium">
        <color rgb="FFFFFFFF"/>
      </bottom>
    </border>
    <border>
      <left style="double">
        <color rgb="FF000000"/>
      </left>
    </border>
    <border>
      <left style="double">
        <color rgb="FF000000"/>
      </left>
      <right style="thin">
        <color rgb="FF000000"/>
      </right>
      <top style="medium">
        <color rgb="FFFFFFFF"/>
      </top>
      <bottom/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double">
        <color rgb="FF000000"/>
      </left>
      <right style="thin">
        <color rgb="FF000000"/>
      </right>
      <top style="medium">
        <color rgb="FFFFFFFF"/>
      </top>
    </border>
    <border>
      <left style="double">
        <color rgb="FF000000"/>
      </left>
      <right style="thin">
        <color rgb="FF000000"/>
      </right>
    </border>
    <border>
      <left style="double">
        <color rgb="FF000000"/>
      </left>
      <right style="thin">
        <color rgb="FF000000"/>
      </right>
      <bottom/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1" numFmtId="1" xfId="0" applyAlignment="1" applyBorder="1" applyFill="1" applyFont="1" applyNumberFormat="1">
      <alignment shrinkToFit="0" vertical="bottom" wrapText="0"/>
    </xf>
    <xf borderId="0" fillId="0" fontId="1" numFmtId="0" xfId="0" applyAlignment="1" applyFont="1">
      <alignment shrinkToFit="0" vertical="bottom" wrapText="0"/>
    </xf>
    <xf borderId="1" fillId="3" fontId="1" numFmtId="0" xfId="0" applyAlignment="1" applyBorder="1" applyFont="1">
      <alignment horizontal="left" shrinkToFit="0" vertical="bottom" wrapText="1"/>
    </xf>
    <xf borderId="1" fillId="2" fontId="3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horizontal="left" shrinkToFit="0" vertical="bottom" wrapText="0"/>
    </xf>
    <xf borderId="1" fillId="3" fontId="1" numFmtId="0" xfId="0" applyAlignment="1" applyBorder="1" applyFont="1">
      <alignment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3" fontId="5" numFmtId="0" xfId="0" applyAlignment="1" applyBorder="1" applyFont="1">
      <alignment horizontal="left" shrinkToFit="0" vertical="bottom" wrapText="0"/>
    </xf>
    <xf borderId="2" fillId="0" fontId="6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left" shrinkToFit="0" vertical="bottom" wrapText="0"/>
    </xf>
    <xf borderId="1" fillId="2" fontId="8" numFmtId="0" xfId="0" applyAlignment="1" applyBorder="1" applyFont="1">
      <alignment shrinkToFit="0" vertical="center" wrapText="0"/>
    </xf>
    <xf borderId="1" fillId="3" fontId="9" numFmtId="0" xfId="0" applyAlignment="1" applyBorder="1" applyFont="1">
      <alignment horizontal="left" shrinkToFit="0" vertical="bottom" wrapText="0"/>
    </xf>
    <xf borderId="2" fillId="0" fontId="4" numFmtId="0" xfId="0" applyAlignment="1" applyBorder="1" applyFont="1">
      <alignment horizontal="center" shrinkToFit="0" vertical="center" wrapText="0"/>
    </xf>
    <xf borderId="3" fillId="0" fontId="10" numFmtId="0" xfId="0" applyAlignment="1" applyBorder="1" applyFont="1">
      <alignment vertical="center"/>
    </xf>
    <xf borderId="4" fillId="0" fontId="10" numFmtId="0" xfId="0" applyAlignment="1" applyBorder="1" applyFont="1">
      <alignment vertical="center"/>
    </xf>
    <xf borderId="0" fillId="0" fontId="1" numFmtId="0" xfId="0" applyAlignment="1" applyFont="1">
      <alignment horizontal="center" shrinkToFit="0" vertical="center" wrapText="0"/>
    </xf>
    <xf borderId="1" fillId="2" fontId="1" numFmtId="0" xfId="0" applyAlignment="1" applyBorder="1" applyFont="1">
      <alignment horizontal="left" shrinkToFit="0" vertical="bottom" wrapText="0"/>
    </xf>
    <xf borderId="2" fillId="3" fontId="11" numFmtId="1" xfId="0" applyAlignment="1" applyBorder="1" applyFont="1" applyNumberFormat="1">
      <alignment shrinkToFit="0" vertical="bottom" wrapText="0"/>
    </xf>
    <xf borderId="1" fillId="2" fontId="12" numFmtId="0" xfId="0" applyAlignment="1" applyBorder="1" applyFont="1">
      <alignment shrinkToFit="0" vertical="center" wrapText="0"/>
    </xf>
    <xf borderId="1" fillId="3" fontId="13" numFmtId="0" xfId="0" applyAlignment="1" applyBorder="1" applyFont="1">
      <alignment horizontal="left" shrinkToFit="0" vertical="bottom" wrapText="0"/>
    </xf>
    <xf borderId="5" fillId="0" fontId="10" numFmtId="0" xfId="0" applyAlignment="1" applyBorder="1" applyFont="1">
      <alignment vertical="center"/>
    </xf>
    <xf borderId="0" fillId="0" fontId="14" numFmtId="0" xfId="0" applyAlignment="1" applyFont="1">
      <alignment horizontal="left" shrinkToFit="0" vertical="bottom" wrapText="0"/>
    </xf>
    <xf borderId="6" fillId="3" fontId="11" numFmtId="0" xfId="0" applyAlignment="1" applyBorder="1" applyFont="1">
      <alignment horizontal="left" shrinkToFit="0" vertical="bottom" wrapText="0"/>
    </xf>
    <xf borderId="2" fillId="0" fontId="15" numFmtId="0" xfId="0" applyAlignment="1" applyBorder="1" applyFont="1">
      <alignment horizontal="left" readingOrder="0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4" fillId="0" fontId="15" numFmtId="164" xfId="0" applyAlignment="1" applyBorder="1" applyFont="1" applyNumberFormat="1">
      <alignment horizontal="left" readingOrder="0" shrinkToFit="0" vertical="bottom" wrapText="0"/>
    </xf>
    <xf borderId="1" fillId="2" fontId="1" numFmtId="0" xfId="0" applyAlignment="1" applyBorder="1" applyFont="1">
      <alignment horizontal="left" shrinkToFit="0" vertical="bottom" wrapText="1"/>
    </xf>
    <xf borderId="2" fillId="3" fontId="15" numFmtId="0" xfId="0" applyAlignment="1" applyBorder="1" applyFont="1">
      <alignment horizontal="left" shrinkToFit="0" vertical="bottom" wrapText="0"/>
    </xf>
    <xf borderId="6" fillId="3" fontId="11" numFmtId="0" xfId="0" applyAlignment="1" applyBorder="1" applyFont="1">
      <alignment shrinkToFit="0" vertical="center" wrapText="0"/>
    </xf>
    <xf borderId="2" fillId="0" fontId="15" numFmtId="0" xfId="0" applyAlignment="1" applyBorder="1" applyFont="1">
      <alignment horizontal="left" shrinkToFit="0" vertical="center" wrapText="0"/>
    </xf>
    <xf borderId="4" fillId="0" fontId="15" numFmtId="0" xfId="0" applyAlignment="1" applyBorder="1" applyFont="1">
      <alignment horizontal="left" readingOrder="0" shrinkToFit="0" vertical="bottom" wrapText="0"/>
    </xf>
    <xf borderId="1" fillId="2" fontId="15" numFmtId="0" xfId="0" applyAlignment="1" applyBorder="1" applyFont="1">
      <alignment horizontal="left" shrinkToFit="0" vertical="bottom" wrapText="0"/>
    </xf>
    <xf borderId="0" fillId="0" fontId="11" numFmtId="0" xfId="0" applyAlignment="1" applyFont="1">
      <alignment shrinkToFit="0" vertical="bottom" wrapText="0"/>
    </xf>
    <xf borderId="0" fillId="0" fontId="13" numFmtId="0" xfId="0" applyAlignment="1" applyFont="1">
      <alignment horizontal="left" shrinkToFit="0" vertical="bottom" wrapText="0"/>
    </xf>
    <xf borderId="1" fillId="2" fontId="16" numFmtId="0" xfId="0" applyAlignment="1" applyBorder="1" applyFont="1">
      <alignment shrinkToFit="0" vertical="center" wrapText="0"/>
    </xf>
    <xf borderId="2" fillId="3" fontId="11" numFmtId="1" xfId="0" applyAlignment="1" applyBorder="1" applyFont="1" applyNumberFormat="1">
      <alignment shrinkToFit="0" vertical="center" wrapText="1"/>
    </xf>
    <xf borderId="0" fillId="0" fontId="11" numFmtId="0" xfId="0" applyAlignment="1" applyFont="1">
      <alignment horizontal="left" shrinkToFit="0" vertical="bottom" wrapText="1"/>
    </xf>
    <xf borderId="0" fillId="0" fontId="1" numFmtId="0" xfId="0" applyAlignment="1" applyFont="1">
      <alignment shrinkToFit="0" vertical="bottom" wrapText="1"/>
    </xf>
    <xf borderId="2" fillId="3" fontId="17" numFmtId="0" xfId="0" applyAlignment="1" applyBorder="1" applyFont="1">
      <alignment readingOrder="0" shrinkToFit="0" vertical="top" wrapText="1"/>
    </xf>
    <xf borderId="7" fillId="4" fontId="18" numFmtId="165" xfId="0" applyAlignment="1" applyBorder="1" applyFill="1" applyFont="1" applyNumberFormat="1">
      <alignment horizontal="center" shrinkToFit="0" vertical="center" wrapText="1"/>
    </xf>
    <xf borderId="8" fillId="3" fontId="1" numFmtId="0" xfId="0" applyAlignment="1" applyBorder="1" applyFont="1">
      <alignment shrinkToFit="0" vertical="bottom" wrapText="1"/>
    </xf>
    <xf borderId="1" fillId="3" fontId="1" numFmtId="0" xfId="0" applyAlignment="1" applyBorder="1" applyFont="1">
      <alignment shrinkToFit="0" vertical="bottom" wrapText="1"/>
    </xf>
    <xf borderId="9" fillId="4" fontId="18" numFmtId="0" xfId="0" applyAlignment="1" applyBorder="1" applyFont="1">
      <alignment horizontal="center" shrinkToFit="0" vertical="center" wrapText="1"/>
    </xf>
    <xf borderId="1" fillId="2" fontId="11" numFmtId="0" xfId="0" applyAlignment="1" applyBorder="1" applyFont="1">
      <alignment horizontal="left" shrinkToFit="0" vertical="bottom" wrapText="0"/>
    </xf>
    <xf borderId="10" fillId="4" fontId="18" numFmtId="0" xfId="0" applyAlignment="1" applyBorder="1" applyFont="1">
      <alignment horizontal="center" shrinkToFit="0" vertical="center" wrapText="1"/>
    </xf>
    <xf borderId="1" fillId="2" fontId="7" numFmtId="0" xfId="0" applyAlignment="1" applyBorder="1" applyFont="1">
      <alignment shrinkToFit="0" vertical="center" wrapText="0"/>
    </xf>
    <xf borderId="11" fillId="3" fontId="13" numFmtId="1" xfId="0" applyAlignment="1" applyBorder="1" applyFont="1" applyNumberFormat="1">
      <alignment shrinkToFit="0" vertical="bottom" wrapText="0"/>
    </xf>
    <xf borderId="12" fillId="4" fontId="18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0"/>
    </xf>
    <xf borderId="1" fillId="3" fontId="13" numFmtId="1" xfId="0" applyAlignment="1" applyBorder="1" applyFont="1" applyNumberFormat="1">
      <alignment shrinkToFit="0" vertical="bottom" wrapText="0"/>
    </xf>
    <xf borderId="13" fillId="3" fontId="1" numFmtId="0" xfId="0" applyAlignment="1" applyBorder="1" applyFont="1">
      <alignment shrinkToFit="0" vertical="bottom" wrapText="1"/>
    </xf>
    <xf borderId="14" fillId="0" fontId="1" numFmtId="165" xfId="0" applyAlignment="1" applyBorder="1" applyFont="1" applyNumberFormat="1">
      <alignment horizontal="center" readingOrder="0" shrinkToFit="0" vertical="top" wrapText="1"/>
    </xf>
    <xf borderId="13" fillId="3" fontId="1" numFmtId="0" xfId="0" applyAlignment="1" applyBorder="1" applyFont="1">
      <alignment shrinkToFit="0" vertical="bottom" wrapText="0"/>
    </xf>
    <xf borderId="15" fillId="0" fontId="1" numFmtId="49" xfId="0" applyAlignment="1" applyBorder="1" applyFont="1" applyNumberFormat="1">
      <alignment horizontal="center" readingOrder="0" shrinkToFit="0" vertical="top" wrapText="1"/>
    </xf>
    <xf borderId="16" fillId="0" fontId="1" numFmtId="0" xfId="0" applyAlignment="1" applyBorder="1" applyFont="1">
      <alignment horizontal="center" readingOrder="0" shrinkToFit="0" vertical="top" wrapText="1"/>
    </xf>
    <xf borderId="17" fillId="0" fontId="1" numFmtId="0" xfId="0" applyAlignment="1" applyBorder="1" applyFont="1">
      <alignment horizontal="center" readingOrder="0" shrinkToFit="0" vertical="top" wrapText="1"/>
    </xf>
    <xf borderId="18" fillId="5" fontId="18" numFmtId="1" xfId="0" applyAlignment="1" applyBorder="1" applyFill="1" applyFont="1" applyNumberFormat="1">
      <alignment horizontal="center" shrinkToFit="0" vertical="center" wrapText="1"/>
    </xf>
    <xf borderId="16" fillId="0" fontId="1" numFmtId="0" xfId="0" applyAlignment="1" applyBorder="1" applyFont="1">
      <alignment horizontal="left" readingOrder="0" shrinkToFit="0" vertical="top" wrapText="1"/>
    </xf>
    <xf borderId="19" fillId="0" fontId="15" numFmtId="0" xfId="0" applyAlignment="1" applyBorder="1" applyFont="1">
      <alignment horizontal="center" shrinkToFit="0" vertical="top" wrapText="1"/>
    </xf>
    <xf borderId="0" fillId="0" fontId="1" numFmtId="0" xfId="0" applyAlignment="1" applyFont="1">
      <alignment shrinkToFit="0" vertical="top" wrapText="0"/>
    </xf>
    <xf borderId="20" fillId="5" fontId="18" numFmtId="1" xfId="0" applyAlignment="1" applyBorder="1" applyFont="1" applyNumberFormat="1">
      <alignment horizontal="center" shrinkToFit="0" vertical="center" wrapText="1"/>
    </xf>
    <xf borderId="21" fillId="0" fontId="1" numFmtId="0" xfId="0" applyAlignment="1" applyBorder="1" applyFont="1">
      <alignment horizontal="center" readingOrder="0" shrinkToFit="0" vertical="top" wrapText="1"/>
    </xf>
    <xf borderId="21" fillId="0" fontId="1" numFmtId="0" xfId="0" applyAlignment="1" applyBorder="1" applyFont="1">
      <alignment horizontal="left" readingOrder="0" shrinkToFit="0" vertical="top" wrapText="1"/>
    </xf>
    <xf borderId="19" fillId="0" fontId="1" numFmtId="0" xfId="0" applyAlignment="1" applyBorder="1" applyFont="1">
      <alignment horizontal="center" shrinkToFit="0" vertical="top" wrapText="1"/>
    </xf>
    <xf borderId="9" fillId="5" fontId="18" numFmtId="0" xfId="0" applyAlignment="1" applyBorder="1" applyFont="1">
      <alignment horizontal="center" shrinkToFit="0" vertical="center" wrapText="1"/>
    </xf>
    <xf borderId="22" fillId="5" fontId="18" numFmtId="0" xfId="0" applyAlignment="1" applyBorder="1" applyFont="1">
      <alignment horizontal="center" shrinkToFit="0" vertical="center" wrapText="1"/>
    </xf>
    <xf borderId="12" fillId="5" fontId="18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bottom" wrapText="0"/>
    </xf>
    <xf borderId="16" fillId="0" fontId="1" numFmtId="0" xfId="0" applyAlignment="1" applyBorder="1" applyFont="1">
      <alignment horizontal="center" readingOrder="0" shrinkToFit="0" vertical="top" wrapText="0"/>
    </xf>
    <xf borderId="19" fillId="0" fontId="1" numFmtId="0" xfId="0" applyAlignment="1" applyBorder="1" applyFont="1">
      <alignment horizontal="center" shrinkToFit="0" vertical="top" wrapText="0"/>
    </xf>
    <xf borderId="18" fillId="3" fontId="1" numFmtId="1" xfId="0" applyAlignment="1" applyBorder="1" applyFont="1" applyNumberFormat="1">
      <alignment horizontal="center" readingOrder="0" shrinkToFit="0" vertical="center" wrapText="1"/>
    </xf>
    <xf borderId="23" fillId="3" fontId="1" numFmtId="1" xfId="0" applyAlignment="1" applyBorder="1" applyFont="1" applyNumberFormat="1">
      <alignment readingOrder="0" shrinkToFit="0" vertical="center" wrapText="1"/>
    </xf>
    <xf borderId="21" fillId="3" fontId="1" numFmtId="49" xfId="0" applyAlignment="1" applyBorder="1" applyFont="1" applyNumberFormat="1">
      <alignment horizontal="left" readingOrder="0" shrinkToFit="0" vertical="center" wrapText="1"/>
    </xf>
    <xf borderId="16" fillId="3" fontId="19" numFmtId="0" xfId="0" applyAlignment="1" applyBorder="1" applyFont="1">
      <alignment horizontal="left" readingOrder="0" shrinkToFit="0" vertical="center" wrapText="1"/>
    </xf>
    <xf borderId="16" fillId="3" fontId="1" numFmtId="49" xfId="0" applyAlignment="1" applyBorder="1" applyFont="1" applyNumberFormat="1">
      <alignment horizontal="left" readingOrder="0" shrinkToFit="0" vertical="center" wrapText="1"/>
    </xf>
    <xf borderId="19" fillId="3" fontId="1" numFmtId="0" xfId="0" applyAlignment="1" applyBorder="1" applyFont="1">
      <alignment horizontal="left" readingOrder="0" shrinkToFit="0" vertical="center" wrapText="1"/>
    </xf>
    <xf borderId="24" fillId="3" fontId="4" numFmtId="0" xfId="0" applyAlignment="1" applyBorder="1" applyFont="1">
      <alignment horizontal="center" shrinkToFit="0" vertical="bottom" wrapText="0"/>
    </xf>
    <xf borderId="25" fillId="0" fontId="10" numFmtId="0" xfId="0" applyAlignment="1" applyBorder="1" applyFont="1">
      <alignment vertical="center"/>
    </xf>
    <xf borderId="8" fillId="0" fontId="10" numFmtId="0" xfId="0" applyAlignment="1" applyBorder="1" applyFont="1">
      <alignment vertical="center"/>
    </xf>
    <xf borderId="17" fillId="3" fontId="1" numFmtId="1" xfId="0" applyAlignment="1" applyBorder="1" applyFont="1" applyNumberFormat="1">
      <alignment readingOrder="0" shrinkToFit="0" vertical="center" wrapText="1"/>
    </xf>
    <xf borderId="1" fillId="3" fontId="11" numFmtId="0" xfId="0" applyAlignment="1" applyBorder="1" applyFont="1">
      <alignment shrinkToFit="0" vertical="bottom" wrapText="0"/>
    </xf>
    <xf borderId="1" fillId="3" fontId="1" numFmtId="165" xfId="0" applyAlignment="1" applyBorder="1" applyFont="1" applyNumberFormat="1">
      <alignment shrinkToFit="0" vertical="bottom" wrapText="0"/>
    </xf>
    <xf borderId="6" fillId="3" fontId="11" numFmtId="0" xfId="0" applyAlignment="1" applyBorder="1" applyFont="1">
      <alignment horizontal="left" shrinkToFit="0" vertical="center" wrapText="0"/>
    </xf>
    <xf borderId="2" fillId="3" fontId="11" numFmtId="0" xfId="0" applyAlignment="1" applyBorder="1" applyFont="1">
      <alignment horizontal="left" shrinkToFit="0" vertical="bottom" wrapText="0"/>
    </xf>
    <xf borderId="2" fillId="3" fontId="11" numFmtId="0" xfId="0" applyAlignment="1" applyBorder="1" applyFont="1">
      <alignment horizontal="left" readingOrder="0" shrinkToFit="0" vertical="bottom" wrapText="0"/>
    </xf>
    <xf borderId="2" fillId="3" fontId="11" numFmtId="0" xfId="0" applyAlignment="1" applyBorder="1" applyFont="1">
      <alignment horizontal="center" shrinkToFit="0" vertical="bottom" wrapText="0"/>
    </xf>
    <xf borderId="3" fillId="0" fontId="15" numFmtId="164" xfId="0" applyAlignment="1" applyBorder="1" applyFont="1" applyNumberFormat="1">
      <alignment horizontal="left" readingOrder="0"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3" fontId="14" numFmtId="0" xfId="0" applyAlignment="1" applyBorder="1" applyFont="1">
      <alignment shrinkToFit="0" vertical="bottom" wrapText="0"/>
    </xf>
    <xf borderId="26" fillId="4" fontId="18" numFmtId="0" xfId="0" applyAlignment="1" applyBorder="1" applyFont="1">
      <alignment horizontal="center" shrinkToFit="0" vertical="bottom" wrapText="0"/>
    </xf>
    <xf borderId="9" fillId="4" fontId="18" numFmtId="0" xfId="0" applyAlignment="1" applyBorder="1" applyFont="1">
      <alignment horizontal="center" shrinkToFit="0" vertical="bottom" wrapText="0"/>
    </xf>
    <xf borderId="9" fillId="4" fontId="18" numFmtId="0" xfId="0" applyAlignment="1" applyBorder="1" applyFont="1">
      <alignment horizontal="center" shrinkToFit="0" vertical="bottom" wrapText="1"/>
    </xf>
    <xf borderId="22" fillId="4" fontId="18" numFmtId="0" xfId="0" applyAlignment="1" applyBorder="1" applyFont="1">
      <alignment horizontal="center" shrinkToFit="0" vertical="bottom" wrapText="0"/>
    </xf>
    <xf borderId="27" fillId="3" fontId="1" numFmtId="49" xfId="0" applyAlignment="1" applyBorder="1" applyFont="1" applyNumberFormat="1">
      <alignment horizontal="left" readingOrder="0" shrinkToFit="0" vertical="center" wrapText="1"/>
    </xf>
    <xf borderId="28" fillId="4" fontId="18" numFmtId="0" xfId="0" applyAlignment="1" applyBorder="1" applyFont="1">
      <alignment horizontal="center" shrinkToFit="0" vertical="bottom" wrapText="0"/>
    </xf>
    <xf borderId="29" fillId="4" fontId="18" numFmtId="0" xfId="0" applyAlignment="1" applyBorder="1" applyFont="1">
      <alignment horizontal="center" shrinkToFit="0" vertical="bottom" wrapText="1"/>
    </xf>
    <xf borderId="30" fillId="3" fontId="1" numFmtId="0" xfId="0" applyAlignment="1" applyBorder="1" applyFont="1">
      <alignment horizontal="left" readingOrder="0" shrinkToFit="0" vertical="center" wrapText="1"/>
    </xf>
    <xf borderId="31" fillId="3" fontId="1" numFmtId="0" xfId="0" applyAlignment="1" applyBorder="1" applyFont="1">
      <alignment horizontal="center" readingOrder="0" shrinkToFit="0" vertical="bottom" wrapText="0"/>
    </xf>
    <xf borderId="16" fillId="3" fontId="1" numFmtId="0" xfId="0" applyAlignment="1" applyBorder="1" applyFont="1">
      <alignment horizontal="center" shrinkToFit="0" vertical="bottom" wrapText="0"/>
    </xf>
    <xf borderId="15" fillId="3" fontId="1" numFmtId="0" xfId="0" applyAlignment="1" applyBorder="1" applyFont="1">
      <alignment horizontal="center" shrinkToFit="0" vertical="bottom" wrapText="0"/>
    </xf>
    <xf borderId="27" fillId="3" fontId="1" numFmtId="0" xfId="0" applyAlignment="1" applyBorder="1" applyFont="1">
      <alignment horizontal="left" readingOrder="0" shrinkToFit="0" vertical="center" wrapText="1"/>
    </xf>
    <xf borderId="32" fillId="3" fontId="1" numFmtId="1" xfId="0" applyAlignment="1" applyBorder="1" applyFont="1" applyNumberFormat="1">
      <alignment readingOrder="0" shrinkToFit="0" vertical="center" wrapText="1"/>
    </xf>
    <xf borderId="33" fillId="3" fontId="1" numFmtId="49" xfId="0" applyAlignment="1" applyBorder="1" applyFont="1" applyNumberFormat="1">
      <alignment horizontal="left" readingOrder="0" shrinkToFit="0" vertical="center" wrapText="1"/>
    </xf>
    <xf borderId="34" fillId="3" fontId="1" numFmtId="0" xfId="0" applyAlignment="1" applyBorder="1" applyFont="1">
      <alignment horizontal="left" readingOrder="0" shrinkToFit="0" vertical="center" wrapText="1"/>
    </xf>
    <xf borderId="16" fillId="3" fontId="1" numFmtId="0" xfId="0" applyAlignment="1" applyBorder="1" applyFont="1">
      <alignment horizontal="center" readingOrder="0" shrinkToFit="0" vertical="bottom" wrapText="0"/>
    </xf>
    <xf borderId="35" fillId="3" fontId="1" numFmtId="1" xfId="0" applyAlignment="1" applyBorder="1" applyFont="1" applyNumberFormat="1">
      <alignment horizontal="center" readingOrder="0" shrinkToFit="0" vertical="center" wrapText="1"/>
    </xf>
    <xf borderId="36" fillId="3" fontId="1" numFmtId="1" xfId="0" applyAlignment="1" applyBorder="1" applyFont="1" applyNumberFormat="1">
      <alignment readingOrder="0" shrinkToFit="0" vertical="center" wrapText="1"/>
    </xf>
    <xf borderId="27" fillId="3" fontId="20" numFmtId="0" xfId="0" applyAlignment="1" applyBorder="1" applyFont="1">
      <alignment horizontal="left" readingOrder="0" shrinkToFit="0" vertical="center" wrapText="1"/>
    </xf>
    <xf borderId="37" fillId="4" fontId="21" numFmtId="0" xfId="0" applyAlignment="1" applyBorder="1" applyFont="1">
      <alignment horizontal="center" shrinkToFit="0" vertical="bottom" wrapText="0"/>
    </xf>
    <xf borderId="1" fillId="4" fontId="22" numFmtId="0" xfId="0" applyAlignment="1" applyBorder="1" applyFont="1">
      <alignment shrinkToFit="0" vertical="center" wrapText="0"/>
    </xf>
    <xf borderId="27" fillId="4" fontId="21" numFmtId="0" xfId="0" applyAlignment="1" applyBorder="1" applyFont="1">
      <alignment horizontal="center" shrinkToFit="0" vertical="bottom" wrapText="0"/>
    </xf>
    <xf borderId="38" fillId="4" fontId="21" numFmtId="0" xfId="0" applyAlignment="1" applyBorder="1" applyFont="1">
      <alignment horizontal="center" shrinkToFit="0" vertical="bottom" wrapText="0"/>
    </xf>
    <xf borderId="1" fillId="3" fontId="1" numFmtId="0" xfId="0" applyAlignment="1" applyBorder="1" applyFont="1">
      <alignment horizontal="center" shrinkToFit="0" vertical="bottom" wrapText="0"/>
    </xf>
    <xf borderId="1" fillId="3" fontId="1" numFmtId="10" xfId="0" applyAlignment="1" applyBorder="1" applyFont="1" applyNumberFormat="1">
      <alignment horizontal="center" shrinkToFit="0" vertical="bottom" wrapText="0"/>
    </xf>
    <xf borderId="1" fillId="3" fontId="1" numFmtId="9" xfId="0" applyAlignment="1" applyBorder="1" applyFont="1" applyNumberFormat="1">
      <alignment horizontal="center" shrinkToFit="0" vertical="bottom" wrapText="0"/>
    </xf>
    <xf borderId="1" fillId="3" fontId="11" numFmtId="0" xfId="0" applyAlignment="1" applyBorder="1" applyFont="1">
      <alignment horizontal="left" shrinkToFit="0" vertical="bottom" wrapText="0"/>
    </xf>
    <xf borderId="1" fillId="3" fontId="11" numFmtId="2" xfId="0" applyAlignment="1" applyBorder="1" applyFont="1" applyNumberFormat="1">
      <alignment horizontal="right" shrinkToFit="0" vertical="bottom" wrapText="1"/>
    </xf>
    <xf borderId="1" fillId="3" fontId="23" numFmtId="0" xfId="0" applyAlignment="1" applyBorder="1" applyFont="1">
      <alignment horizontal="center" shrinkToFit="0" vertical="bottom" wrapText="1"/>
    </xf>
    <xf borderId="39" fillId="0" fontId="24" numFmtId="0" xfId="0" applyAlignment="1" applyBorder="1" applyFont="1">
      <alignment horizontal="left" readingOrder="0" shrinkToFit="0" vertical="center" wrapText="1"/>
    </xf>
    <xf borderId="40" fillId="0" fontId="10" numFmtId="0" xfId="0" applyAlignment="1" applyBorder="1" applyFont="1">
      <alignment vertical="center"/>
    </xf>
    <xf borderId="41" fillId="0" fontId="25" numFmtId="0" xfId="0" applyAlignment="1" applyBorder="1" applyFont="1">
      <alignment horizontal="left" readingOrder="0" shrinkToFit="0" vertical="center" wrapText="1"/>
    </xf>
    <xf borderId="41" fillId="0" fontId="24" numFmtId="0" xfId="0" applyAlignment="1" applyBorder="1" applyFont="1">
      <alignment horizontal="left" readingOrder="0" shrinkToFit="0" vertical="center" wrapText="1"/>
    </xf>
    <xf borderId="42" fillId="0" fontId="10" numFmtId="0" xfId="0" applyAlignment="1" applyBorder="1" applyFont="1">
      <alignment vertical="center"/>
    </xf>
    <xf borderId="43" fillId="0" fontId="10" numFmtId="0" xfId="0" applyAlignment="1" applyBorder="1" applyFont="1">
      <alignment vertical="center"/>
    </xf>
    <xf borderId="0" fillId="0" fontId="26" numFmtId="0" xfId="0" applyAlignment="1" applyFont="1">
      <alignment shrinkToFit="0" vertical="center" wrapText="1"/>
    </xf>
    <xf borderId="44" fillId="0" fontId="24" numFmtId="0" xfId="0" applyAlignment="1" applyBorder="1" applyFont="1">
      <alignment horizontal="left" readingOrder="0" shrinkToFit="0" vertical="center" wrapText="1"/>
    </xf>
    <xf borderId="2" fillId="0" fontId="25" numFmtId="0" xfId="0" applyAlignment="1" applyBorder="1" applyFont="1">
      <alignment horizontal="left" readingOrder="0" shrinkToFit="0" vertical="center" wrapText="1"/>
    </xf>
    <xf borderId="2" fillId="0" fontId="24" numFmtId="0" xfId="0" applyAlignment="1" applyBorder="1" applyFont="1">
      <alignment horizontal="left" readingOrder="0" shrinkToFit="0" vertical="center" wrapText="1"/>
    </xf>
    <xf borderId="45" fillId="0" fontId="10" numFmtId="0" xfId="0" applyAlignment="1" applyBorder="1" applyFont="1">
      <alignment vertical="center"/>
    </xf>
    <xf borderId="46" fillId="0" fontId="25" numFmtId="0" xfId="0" applyAlignment="1" applyBorder="1" applyFont="1">
      <alignment horizontal="left" readingOrder="0" shrinkToFit="0" vertical="center" wrapText="0"/>
    </xf>
    <xf borderId="47" fillId="0" fontId="10" numFmtId="0" xfId="0" applyAlignment="1" applyBorder="1" applyFont="1">
      <alignment vertical="center"/>
    </xf>
    <xf borderId="48" fillId="0" fontId="25" numFmtId="0" xfId="0" applyAlignment="1" applyBorder="1" applyFont="1">
      <alignment horizontal="left" readingOrder="0" shrinkToFit="0" vertical="center" wrapText="0"/>
    </xf>
    <xf borderId="49" fillId="0" fontId="10" numFmtId="0" xfId="0" applyAlignment="1" applyBorder="1" applyFont="1">
      <alignment vertical="center"/>
    </xf>
    <xf borderId="50" fillId="0" fontId="25" numFmtId="0" xfId="0" applyAlignment="1" applyBorder="1" applyFont="1">
      <alignment horizontal="left" readingOrder="0" shrinkToFit="0" vertical="center" wrapText="0"/>
    </xf>
    <xf borderId="51" fillId="0" fontId="10" numFmtId="0" xfId="0" applyAlignment="1" applyBorder="1" applyFont="1">
      <alignment vertical="center"/>
    </xf>
    <xf borderId="0" fillId="0" fontId="27" numFmtId="0" xfId="0" applyAlignment="1" applyFont="1">
      <alignment shrinkToFit="0" vertical="bottom" wrapText="1"/>
    </xf>
    <xf borderId="52" fillId="4" fontId="28" numFmtId="165" xfId="0" applyAlignment="1" applyBorder="1" applyFont="1" applyNumberFormat="1">
      <alignment vertical="center"/>
    </xf>
    <xf borderId="53" fillId="4" fontId="28" numFmtId="0" xfId="0" applyAlignment="1" applyBorder="1" applyFont="1">
      <alignment vertical="bottom"/>
    </xf>
    <xf borderId="54" fillId="4" fontId="29" numFmtId="0" xfId="0" applyAlignment="1" applyBorder="1" applyFont="1">
      <alignment horizontal="right" readingOrder="0" textRotation="180" vertical="top"/>
    </xf>
    <xf borderId="55" fillId="4" fontId="29" numFmtId="0" xfId="0" applyAlignment="1" applyBorder="1" applyFont="1">
      <alignment readingOrder="0" shrinkToFit="0" vertical="center" wrapText="0"/>
    </xf>
    <xf borderId="2" fillId="0" fontId="30" numFmtId="0" xfId="0" applyAlignment="1" applyBorder="1" applyFont="1">
      <alignment horizontal="left" readingOrder="0" shrinkToFit="0" vertical="center" wrapText="1"/>
    </xf>
    <xf borderId="6" fillId="0" fontId="27" numFmtId="0" xfId="0" applyAlignment="1" applyBorder="1" applyFont="1">
      <alignment shrinkToFit="0" vertical="bottom" wrapText="0"/>
    </xf>
    <xf borderId="2" fillId="0" fontId="27" numFmtId="0" xfId="0" applyAlignment="1" applyBorder="1" applyFont="1">
      <alignment horizontal="right" readingOrder="0" shrinkToFit="0" vertical="center" wrapText="1"/>
    </xf>
    <xf borderId="6" fillId="0" fontId="7" numFmtId="0" xfId="0" applyAlignment="1" applyBorder="1" applyFont="1">
      <alignment horizontal="center" vertical="center"/>
    </xf>
    <xf borderId="56" fillId="4" fontId="29" numFmtId="0" xfId="0" applyAlignment="1" applyBorder="1" applyFont="1">
      <alignment readingOrder="0" shrinkToFit="0" vertical="center" wrapText="0"/>
    </xf>
    <xf borderId="57" fillId="0" fontId="27" numFmtId="0" xfId="0" applyAlignment="1" applyBorder="1" applyFont="1">
      <alignment horizontal="left" readingOrder="0" shrinkToFit="0" vertical="center" wrapText="1"/>
    </xf>
    <xf borderId="58" fillId="0" fontId="10" numFmtId="0" xfId="0" applyAlignment="1" applyBorder="1" applyFont="1">
      <alignment vertical="center"/>
    </xf>
    <xf borderId="59" fillId="0" fontId="10" numFmtId="0" xfId="0" applyAlignment="1" applyBorder="1" applyFont="1">
      <alignment vertical="center"/>
    </xf>
    <xf borderId="60" fillId="0" fontId="27" numFmtId="0" xfId="0" applyAlignment="1" applyBorder="1" applyFont="1">
      <alignment horizontal="right" readingOrder="0" shrinkToFit="0" vertical="center" wrapText="0"/>
    </xf>
    <xf borderId="61" fillId="4" fontId="31" numFmtId="0" xfId="0" applyAlignment="1" applyBorder="1" applyFont="1">
      <alignment horizontal="center" readingOrder="0" shrinkToFit="0" vertical="center" wrapText="0"/>
    </xf>
    <xf borderId="2" fillId="0" fontId="32" numFmtId="0" xfId="0" applyAlignment="1" applyBorder="1" applyFont="1">
      <alignment shrinkToFit="0" vertical="center" wrapText="1"/>
    </xf>
    <xf borderId="6" fillId="0" fontId="27" numFmtId="0" xfId="0" applyAlignment="1" applyBorder="1" applyFont="1">
      <alignment horizontal="right" readingOrder="0" shrinkToFit="0" vertical="center" wrapText="1"/>
    </xf>
    <xf borderId="2" fillId="0" fontId="27" numFmtId="0" xfId="0" applyAlignment="1" applyBorder="1" applyFont="1">
      <alignment horizontal="left" readingOrder="0" shrinkToFit="0" vertical="center" wrapText="1"/>
    </xf>
    <xf borderId="6" fillId="0" fontId="33" numFmtId="166" xfId="0" applyAlignment="1" applyBorder="1" applyFont="1" applyNumberFormat="1">
      <alignment readingOrder="0" shrinkToFit="0" textRotation="255" vertical="center" wrapText="0"/>
    </xf>
    <xf borderId="62" fillId="4" fontId="31" numFmtId="0" xfId="0" applyAlignment="1" applyBorder="1" applyFont="1">
      <alignment horizontal="center" readingOrder="0" shrinkToFit="0" vertical="center" wrapText="0"/>
    </xf>
    <xf borderId="6" fillId="0" fontId="27" numFmtId="0" xfId="0" applyAlignment="1" applyBorder="1" applyFont="1">
      <alignment shrinkToFit="0" vertical="bottom" wrapText="1"/>
    </xf>
    <xf borderId="0" fillId="0" fontId="27" numFmtId="0" xfId="0" applyAlignment="1" applyFont="1">
      <alignment shrinkToFit="0" vertical="bottom" wrapText="0"/>
    </xf>
    <xf borderId="6" fillId="0" fontId="27" numFmtId="0" xfId="0" applyAlignment="1" applyBorder="1" applyFont="1">
      <alignment shrinkToFit="0" vertical="bottom" wrapText="0"/>
    </xf>
    <xf borderId="57" fillId="0" fontId="30" numFmtId="0" xfId="0" applyAlignment="1" applyBorder="1" applyFont="1">
      <alignment horizontal="left" readingOrder="0" shrinkToFit="0" vertical="center" wrapText="1"/>
    </xf>
    <xf borderId="60" fillId="0" fontId="27" numFmtId="0" xfId="0" applyAlignment="1" applyBorder="1" applyFont="1">
      <alignment shrinkToFit="0" vertical="bottom" wrapText="0"/>
    </xf>
    <xf borderId="63" fillId="0" fontId="27" numFmtId="0" xfId="0" applyAlignment="1" applyBorder="1" applyFont="1">
      <alignment horizontal="right" readingOrder="0" shrinkToFit="0" vertical="center" wrapText="1"/>
    </xf>
    <xf borderId="64" fillId="0" fontId="10" numFmtId="0" xfId="0" applyAlignment="1" applyBorder="1" applyFont="1">
      <alignment vertical="center"/>
    </xf>
    <xf borderId="65" fillId="0" fontId="10" numFmtId="0" xfId="0" applyAlignment="1" applyBorder="1" applyFont="1">
      <alignment vertical="center"/>
    </xf>
    <xf borderId="66" fillId="0" fontId="7" numFmtId="0" xfId="0" applyAlignment="1" applyBorder="1" applyFont="1">
      <alignment horizontal="center" vertical="center"/>
    </xf>
    <xf borderId="66" fillId="0" fontId="27" numFmtId="0" xfId="0" applyAlignment="1" applyBorder="1" applyFont="1">
      <alignment shrinkToFit="0" vertical="bottom" wrapText="0"/>
    </xf>
    <xf borderId="66" fillId="0" fontId="27" numFmtId="0" xfId="0" applyAlignment="1" applyBorder="1" applyFont="1">
      <alignment shrinkToFit="0" vertical="bottom" wrapText="0"/>
    </xf>
    <xf borderId="55" fillId="4" fontId="29" numFmtId="0" xfId="0" applyAlignment="1" applyBorder="1" applyFont="1">
      <alignment shrinkToFit="0" vertical="center" wrapText="0"/>
    </xf>
    <xf borderId="54" fillId="4" fontId="29" numFmtId="0" xfId="0" applyAlignment="1" applyBorder="1" applyFont="1">
      <alignment horizontal="right" textRotation="180" vertical="top"/>
    </xf>
    <xf borderId="56" fillId="4" fontId="29" numFmtId="0" xfId="0" applyAlignment="1" applyBorder="1" applyFont="1">
      <alignment shrinkToFit="0" vertical="center" wrapText="0"/>
    </xf>
    <xf borderId="6" fillId="0" fontId="27" numFmtId="0" xfId="0" applyAlignment="1" applyBorder="1" applyFont="1">
      <alignment shrinkToFit="0" vertical="bottom" wrapText="1"/>
    </xf>
    <xf borderId="56" fillId="4" fontId="29" numFmtId="0" xfId="0" applyAlignment="1" applyBorder="1" applyFont="1">
      <alignment shrinkToFit="0" vertical="top" wrapText="0"/>
    </xf>
    <xf borderId="60" fillId="0" fontId="27" numFmtId="167" xfId="0" applyAlignment="1" applyBorder="1" applyFont="1" applyNumberFormat="1">
      <alignment shrinkToFit="0" vertical="bottom" wrapText="1"/>
    </xf>
    <xf borderId="63" fillId="0" fontId="27" numFmtId="0" xfId="0" applyAlignment="1" applyBorder="1" applyFont="1">
      <alignment horizontal="right" readingOrder="0" shrinkToFit="0" vertical="center" wrapText="0"/>
    </xf>
    <xf borderId="60" fillId="0" fontId="27" numFmtId="0" xfId="0" applyAlignment="1" applyBorder="1" applyFont="1">
      <alignment horizontal="right" readingOrder="0" shrinkToFit="0" vertical="center" wrapText="1"/>
    </xf>
    <xf borderId="54" fillId="4" fontId="28" numFmtId="0" xfId="0" applyAlignment="1" applyBorder="1" applyFont="1">
      <alignment vertical="bottom"/>
    </xf>
    <xf borderId="2" fillId="0" fontId="30" numFmtId="0" xfId="0" applyAlignment="1" applyBorder="1" applyFont="1">
      <alignment horizontal="left" readingOrder="0" shrinkToFit="0" vertical="center" wrapText="0"/>
    </xf>
    <xf borderId="2" fillId="0" fontId="27" numFmtId="0" xfId="0" applyAlignment="1" applyBorder="1" applyFont="1">
      <alignment horizontal="right" readingOrder="0" shrinkToFit="0" vertical="center" wrapText="0"/>
    </xf>
    <xf borderId="57" fillId="0" fontId="30" numFmtId="0" xfId="0" applyAlignment="1" applyBorder="1" applyFont="1">
      <alignment horizontal="left" readingOrder="0" shrinkToFit="0" vertical="center" wrapText="0"/>
    </xf>
    <xf borderId="57" fillId="0" fontId="27" numFmtId="0" xfId="0" applyAlignment="1" applyBorder="1" applyFont="1">
      <alignment horizontal="left" readingOrder="0" shrinkToFit="0" vertical="center" wrapText="0"/>
    </xf>
    <xf borderId="2" fillId="0" fontId="27" numFmtId="0" xfId="0" applyAlignment="1" applyBorder="1" applyFont="1">
      <alignment horizontal="left" readingOrder="0" shrinkToFit="0" vertical="center" wrapText="0"/>
    </xf>
    <xf borderId="6" fillId="0" fontId="27" numFmtId="0" xfId="0" applyAlignment="1" applyBorder="1" applyFont="1">
      <alignment horizontal="right" readingOrder="0" shrinkToFit="0" vertical="center" wrapText="0"/>
    </xf>
    <xf borderId="2" fillId="0" fontId="34" numFmtId="0" xfId="0" applyAlignment="1" applyBorder="1" applyFont="1">
      <alignment shrinkToFit="0" vertical="center" wrapText="1"/>
    </xf>
    <xf borderId="6" fillId="0" fontId="28" numFmtId="0" xfId="0" applyAlignment="1" applyBorder="1" applyFont="1">
      <alignment vertical="bottom"/>
    </xf>
    <xf borderId="2" fillId="0" fontId="32" numFmtId="0" xfId="0" applyAlignment="1" applyBorder="1" applyFont="1">
      <alignment horizontal="right" shrinkToFit="0" vertical="center" wrapText="1"/>
    </xf>
    <xf borderId="63" fillId="0" fontId="32" numFmtId="0" xfId="0" applyAlignment="1" applyBorder="1" applyFont="1">
      <alignment horizontal="right" shrinkToFit="0" vertical="center" wrapText="1"/>
    </xf>
    <xf borderId="6" fillId="0" fontId="28" numFmtId="0" xfId="0" applyAlignment="1" applyBorder="1" applyFont="1">
      <alignment vertical="bottom"/>
    </xf>
    <xf borderId="63" fillId="0" fontId="32" numFmtId="0" xfId="0" applyAlignment="1" applyBorder="1" applyFont="1">
      <alignment horizontal="right" vertical="center"/>
    </xf>
    <xf borderId="60" fillId="0" fontId="32" numFmtId="0" xfId="0" applyAlignment="1" applyBorder="1" applyFont="1">
      <alignment horizontal="right" shrinkToFit="0" vertical="center" wrapText="1"/>
    </xf>
    <xf borderId="60" fillId="0" fontId="32" numFmtId="0" xfId="0" applyAlignment="1" applyBorder="1" applyFont="1">
      <alignment horizontal="right" shrinkToFit="0" vertical="center" wrapText="1"/>
    </xf>
    <xf borderId="6" fillId="0" fontId="32" numFmtId="0" xfId="0" applyAlignment="1" applyBorder="1" applyFont="1">
      <alignment horizontal="right" shrinkToFit="0" vertical="center" wrapText="1"/>
    </xf>
    <xf borderId="6" fillId="0" fontId="32" numFmtId="0" xfId="0" applyAlignment="1" applyBorder="1" applyFont="1">
      <alignment horizontal="right" shrinkToFit="0" vertical="center" wrapText="1"/>
    </xf>
    <xf borderId="6" fillId="0" fontId="28" numFmtId="0" xfId="0" applyAlignment="1" applyBorder="1" applyFont="1">
      <alignment vertical="center"/>
    </xf>
    <xf borderId="66" fillId="0" fontId="28" numFmtId="0" xfId="0" applyAlignment="1" applyBorder="1" applyFont="1">
      <alignment vertical="bottom"/>
    </xf>
    <xf borderId="57" fillId="0" fontId="34" numFmtId="0" xfId="0" applyAlignment="1" applyBorder="1" applyFont="1">
      <alignment shrinkToFit="0" vertical="center" wrapText="1"/>
    </xf>
    <xf borderId="60" fillId="0" fontId="28" numFmtId="167" xfId="0" applyAlignment="1" applyBorder="1" applyFont="1" applyNumberFormat="1">
      <alignment vertical="bottom"/>
    </xf>
    <xf borderId="60" fillId="0" fontId="28" numFmtId="0" xfId="0" applyAlignment="1" applyBorder="1" applyFont="1">
      <alignment vertical="bottom"/>
    </xf>
    <xf borderId="2" fillId="0" fontId="32" numFmtId="0" xfId="0" applyAlignment="1" applyBorder="1" applyFont="1">
      <alignment horizontal="right" vertical="center"/>
    </xf>
    <xf borderId="57" fillId="0" fontId="32" numFmtId="0" xfId="0" applyAlignment="1" applyBorder="1" applyFont="1">
      <alignment shrinkToFit="0" vertical="center" wrapText="1"/>
    </xf>
    <xf borderId="67" fillId="4" fontId="31" numFmtId="0" xfId="0" applyAlignment="1" applyBorder="1" applyFont="1">
      <alignment horizontal="center" readingOrder="0" shrinkToFit="0" vertical="center" wrapText="0"/>
    </xf>
    <xf borderId="66" fillId="0" fontId="28" numFmtId="167" xfId="0" applyAlignment="1" applyBorder="1" applyFont="1" applyNumberFormat="1">
      <alignment vertical="bottom"/>
    </xf>
    <xf borderId="6" fillId="0" fontId="28" numFmtId="167" xfId="0" applyAlignment="1" applyBorder="1" applyFont="1" applyNumberFormat="1">
      <alignment vertical="bottom"/>
    </xf>
    <xf borderId="2" fillId="0" fontId="34" numFmtId="0" xfId="0" applyAlignment="1" applyBorder="1" applyFont="1">
      <alignment vertical="center"/>
    </xf>
    <xf borderId="57" fillId="0" fontId="34" numFmtId="0" xfId="0" applyAlignment="1" applyBorder="1" applyFont="1">
      <alignment vertical="center"/>
    </xf>
    <xf borderId="57" fillId="0" fontId="32" numFmtId="0" xfId="0" applyAlignment="1" applyBorder="1" applyFont="1">
      <alignment vertical="center"/>
    </xf>
    <xf borderId="60" fillId="0" fontId="32" numFmtId="0" xfId="0" applyAlignment="1" applyBorder="1" applyFont="1">
      <alignment horizontal="right" vertical="center"/>
    </xf>
    <xf borderId="2" fillId="0" fontId="32" numFmtId="0" xfId="0" applyAlignment="1" applyBorder="1" applyFont="1">
      <alignment vertical="center"/>
    </xf>
    <xf borderId="6" fillId="0" fontId="32" numFmtId="0" xfId="0" applyAlignment="1" applyBorder="1" applyFont="1">
      <alignment horizontal="right" vertical="center"/>
    </xf>
    <xf borderId="66" fillId="0" fontId="28" numFmtId="0" xfId="0" applyAlignment="1" applyBorder="1" applyFont="1">
      <alignment vertical="center"/>
    </xf>
    <xf borderId="6" fillId="0" fontId="27" numFmtId="167" xfId="0" applyAlignment="1" applyBorder="1" applyFont="1" applyNumberFormat="1">
      <alignment shrinkToFit="0" vertical="bottom" wrapText="1"/>
    </xf>
    <xf borderId="66" fillId="0" fontId="27" numFmtId="0" xfId="0" applyAlignment="1" applyBorder="1" applyFont="1">
      <alignment shrinkToFit="0" vertical="bottom" wrapText="1"/>
    </xf>
    <xf borderId="66" fillId="0" fontId="27" numFmtId="0" xfId="0" applyAlignment="1" applyBorder="1" applyFont="1">
      <alignment shrinkToFit="0" vertical="bottom" wrapText="1"/>
    </xf>
    <xf borderId="60" fillId="0" fontId="27" numFmtId="0" xfId="0" applyAlignment="1" applyBorder="1" applyFont="1">
      <alignment shrinkToFit="0" vertical="bottom" wrapText="1"/>
    </xf>
    <xf borderId="60" fillId="0" fontId="27" numFmtId="0" xfId="0" applyAlignment="1" applyBorder="1" applyFont="1">
      <alignment shrinkToFit="0" vertical="bottom" wrapText="1"/>
    </xf>
    <xf borderId="6" fillId="0" fontId="28" numFmtId="0" xfId="0" applyAlignment="1" applyBorder="1" applyFont="1">
      <alignment vertical="center"/>
    </xf>
    <xf borderId="60" fillId="0" fontId="28" numFmtId="0" xfId="0" applyAlignment="1" applyBorder="1" applyFont="1">
      <alignment vertical="bottom"/>
    </xf>
    <xf borderId="6" fillId="0" fontId="28" numFmtId="167" xfId="0" applyAlignment="1" applyBorder="1" applyFont="1" applyNumberFormat="1">
      <alignment vertical="center"/>
    </xf>
    <xf borderId="6" fillId="0" fontId="27" numFmtId="167" xfId="0" applyAlignment="1" applyBorder="1" applyFont="1" applyNumberFormat="1">
      <alignment shrinkToFit="0" vertical="bottom" wrapText="0"/>
    </xf>
    <xf borderId="60" fillId="0" fontId="27" numFmtId="0" xfId="0" applyAlignment="1" applyBorder="1" applyFont="1">
      <alignment shrinkToFit="0" vertical="bottom" wrapText="0"/>
    </xf>
    <xf borderId="56" fillId="4" fontId="29" numFmtId="0" xfId="0" applyAlignment="1" applyBorder="1" applyFont="1">
      <alignment readingOrder="0" shrinkToFit="0" vertical="top" wrapText="0"/>
    </xf>
    <xf borderId="60" fillId="0" fontId="27" numFmtId="167" xfId="0" applyAlignment="1" applyBorder="1" applyFont="1" applyNumberFormat="1">
      <alignment shrinkToFit="0" vertical="bottom" wrapText="0"/>
    </xf>
    <xf borderId="0" fillId="4" fontId="31" numFmtId="0" xfId="0" applyAlignment="1" applyFont="1">
      <alignment horizontal="center" readingOrder="0" shrinkToFit="0" vertical="center" wrapText="0"/>
    </xf>
    <xf borderId="66" fillId="0" fontId="27" numFmtId="0" xfId="0" applyAlignment="1" applyBorder="1" applyFont="1">
      <alignment horizontal="right" readingOrder="0" shrinkToFit="0" vertical="center" wrapText="1"/>
    </xf>
    <xf borderId="68" fillId="0" fontId="27" numFmtId="0" xfId="0" applyAlignment="1" applyBorder="1" applyFont="1">
      <alignment shrinkToFit="0" vertical="bottom" wrapText="1"/>
    </xf>
    <xf borderId="68" fillId="0" fontId="27" numFmtId="0" xfId="0" applyAlignment="1" applyBorder="1" applyFont="1">
      <alignment horizontal="right" readingOrder="0" shrinkToFit="0" vertical="center" wrapText="1"/>
    </xf>
    <xf borderId="66" fillId="0" fontId="7" numFmtId="0" xfId="0" applyAlignment="1" applyBorder="1" applyFont="1">
      <alignment horizontal="center" vertical="center"/>
    </xf>
    <xf borderId="2" fillId="0" fontId="27" numFmtId="0" xfId="0" applyAlignment="1" applyBorder="1" applyFont="1">
      <alignment horizontal="right" readingOrder="0" shrinkToFit="0" vertical="center" wrapText="0"/>
    </xf>
    <xf borderId="66" fillId="0" fontId="27" numFmtId="0" xfId="0" applyAlignment="1" applyBorder="1" applyFont="1">
      <alignment horizontal="right" readingOrder="0" shrinkToFit="0" vertical="center" wrapText="0"/>
    </xf>
    <xf borderId="66" fillId="0" fontId="7" numFmtId="0" xfId="0" applyAlignment="1" applyBorder="1" applyFont="1">
      <alignment horizontal="center" shrinkToFit="0" vertical="center" wrapText="1"/>
    </xf>
    <xf borderId="66" fillId="0" fontId="27" numFmtId="167" xfId="0" applyAlignment="1" applyBorder="1" applyFont="1" applyNumberFormat="1">
      <alignment shrinkToFit="0" vertical="bottom" wrapText="1"/>
    </xf>
    <xf borderId="2" fillId="0" fontId="34" numFmtId="0" xfId="0" applyAlignment="1" applyBorder="1" applyFont="1">
      <alignment readingOrder="0" shrinkToFit="0" vertical="center" wrapText="1"/>
    </xf>
    <xf borderId="4" fillId="0" fontId="28" numFmtId="0" xfId="0" applyAlignment="1" applyBorder="1" applyFont="1">
      <alignment vertical="bottom"/>
    </xf>
    <xf borderId="69" fillId="0" fontId="32" numFmtId="0" xfId="0" applyAlignment="1" applyBorder="1" applyFont="1">
      <alignment horizontal="right" readingOrder="0" shrinkToFit="0" vertical="center" wrapText="1"/>
    </xf>
    <xf borderId="70" fillId="0" fontId="10" numFmtId="0" xfId="0" applyAlignment="1" applyBorder="1" applyFont="1">
      <alignment vertical="center"/>
    </xf>
    <xf borderId="71" fillId="0" fontId="10" numFmtId="0" xfId="0" applyAlignment="1" applyBorder="1" applyFont="1">
      <alignment vertical="center"/>
    </xf>
    <xf borderId="69" fillId="0" fontId="34" numFmtId="0" xfId="0" applyAlignment="1" applyBorder="1" applyFont="1">
      <alignment readingOrder="0" shrinkToFit="0" vertical="center" wrapText="1"/>
    </xf>
    <xf borderId="71" fillId="0" fontId="28" numFmtId="0" xfId="0" applyAlignment="1" applyBorder="1" applyFont="1">
      <alignment vertical="bottom"/>
    </xf>
    <xf borderId="71" fillId="0" fontId="28" numFmtId="0" xfId="0" applyAlignment="1" applyBorder="1" applyFont="1">
      <alignment vertical="center"/>
    </xf>
    <xf borderId="72" fillId="0" fontId="32" numFmtId="0" xfId="0" applyAlignment="1" applyBorder="1" applyFont="1">
      <alignment horizontal="right" readingOrder="0" shrinkToFit="0" vertical="center" wrapText="1"/>
    </xf>
    <xf borderId="67" fillId="0" fontId="10" numFmtId="0" xfId="0" applyAlignment="1" applyBorder="1" applyFont="1">
      <alignment vertical="center"/>
    </xf>
    <xf borderId="57" fillId="0" fontId="34" numFmtId="0" xfId="0" applyAlignment="1" applyBorder="1" applyFont="1">
      <alignment readingOrder="0" vertical="center"/>
    </xf>
    <xf borderId="59" fillId="0" fontId="28" numFmtId="0" xfId="0" applyAlignment="1" applyBorder="1" applyFont="1">
      <alignment vertical="bottom"/>
    </xf>
    <xf borderId="69" fillId="0" fontId="32" numFmtId="0" xfId="0" applyAlignment="1" applyBorder="1" applyFont="1">
      <alignment horizontal="right" readingOrder="0" vertical="center"/>
    </xf>
    <xf borderId="69" fillId="0" fontId="34" numFmtId="0" xfId="0" applyAlignment="1" applyBorder="1" applyFont="1">
      <alignment readingOrder="0" vertical="center"/>
    </xf>
    <xf borderId="72" fillId="0" fontId="32" numFmtId="0" xfId="0" applyAlignment="1" applyBorder="1" applyFont="1">
      <alignment horizontal="right" readingOrder="0" vertical="center"/>
    </xf>
    <xf borderId="67" fillId="0" fontId="28" numFmtId="0" xfId="0" applyAlignment="1" applyBorder="1" applyFont="1">
      <alignment vertical="center"/>
    </xf>
    <xf borderId="55" fillId="4" fontId="29" numFmtId="0" xfId="0" applyAlignment="1" applyBorder="1" applyFont="1">
      <alignment shrinkToFit="0" vertical="top" wrapText="0"/>
    </xf>
    <xf borderId="63" fillId="0" fontId="30" numFmtId="0" xfId="0" applyAlignment="1" applyBorder="1" applyFont="1">
      <alignment horizontal="left" readingOrder="0" shrinkToFit="0" vertical="center" wrapText="1"/>
    </xf>
    <xf borderId="2" fillId="0" fontId="30" numFmtId="0" xfId="0" applyAlignment="1" applyBorder="1" applyFont="1">
      <alignment horizontal="left" readingOrder="0" shrinkToFit="0" vertical="center" wrapText="1"/>
    </xf>
    <xf borderId="62" fillId="0" fontId="27" numFmtId="0" xfId="0" applyAlignment="1" applyBorder="1" applyFont="1">
      <alignment horizontal="right" readingOrder="0" shrinkToFit="0" vertical="center" wrapText="1"/>
    </xf>
    <xf borderId="2" fillId="0" fontId="32" numFmtId="167" xfId="0" applyAlignment="1" applyBorder="1" applyFont="1" applyNumberFormat="1">
      <alignment horizontal="right" shrinkToFit="0" vertical="center" wrapText="1"/>
    </xf>
    <xf borderId="66" fillId="0" fontId="28" numFmtId="0" xfId="0" applyAlignment="1" applyBorder="1" applyFont="1">
      <alignment vertical="bottom"/>
    </xf>
    <xf borderId="6" fillId="0" fontId="28" numFmtId="166" xfId="0" applyAlignment="1" applyBorder="1" applyFont="1" applyNumberFormat="1">
      <alignment vertical="bottom"/>
    </xf>
    <xf borderId="60" fillId="0" fontId="32" numFmtId="0" xfId="0" applyAlignment="1" applyBorder="1" applyFont="1">
      <alignment horizontal="right" vertical="center"/>
    </xf>
    <xf borderId="6" fillId="0" fontId="32" numFmtId="0" xfId="0" applyAlignment="1" applyBorder="1" applyFont="1">
      <alignment horizontal="right" vertical="center"/>
    </xf>
    <xf borderId="2" fillId="0" fontId="32" numFmtId="0" xfId="0" applyAlignment="1" applyBorder="1" applyFont="1">
      <alignment horizontal="right" readingOrder="0" shrinkToFit="0" vertical="center" wrapText="1"/>
    </xf>
    <xf borderId="63" fillId="0" fontId="32" numFmtId="0" xfId="0" applyAlignment="1" applyBorder="1" applyFont="1">
      <alignment horizontal="right" readingOrder="0" shrinkToFit="0" vertical="center" wrapText="1"/>
    </xf>
    <xf borderId="68" fillId="0" fontId="28" numFmtId="0" xfId="0" applyAlignment="1" applyBorder="1" applyFont="1">
      <alignment vertical="bottom"/>
    </xf>
    <xf borderId="62" fillId="4" fontId="31" numFmtId="0" xfId="0" applyAlignment="1" applyBorder="1" applyFont="1">
      <alignment horizontal="center" readingOrder="0" shrinkToFit="0" vertical="center" wrapText="1"/>
    </xf>
    <xf borderId="68" fillId="0" fontId="32" numFmtId="0" xfId="0" applyAlignment="1" applyBorder="1" applyFont="1">
      <alignment horizontal="right" shrinkToFit="0" vertical="center" wrapText="1"/>
    </xf>
    <xf borderId="60" fillId="0" fontId="32" numFmtId="0" xfId="0" applyAlignment="1" applyBorder="1" applyFont="1">
      <alignment horizontal="right" readingOrder="0" shrinkToFit="0" vertical="center" wrapText="1"/>
    </xf>
    <xf borderId="61" fillId="0" fontId="27" numFmtId="167" xfId="0" applyAlignment="1" applyBorder="1" applyFont="1" applyNumberFormat="1">
      <alignment shrinkToFit="0" vertical="bottom" wrapText="0"/>
    </xf>
    <xf borderId="6" fillId="0" fontId="7" numFmtId="0" xfId="0" applyAlignment="1" applyBorder="1" applyFont="1">
      <alignment horizontal="center" vertical="center"/>
    </xf>
    <xf borderId="54" fillId="4" fontId="29" numFmtId="0" xfId="0" applyAlignment="1" applyBorder="1" applyFont="1">
      <alignment horizontal="right" textRotation="180" vertical="top"/>
    </xf>
    <xf borderId="56" fillId="4" fontId="29" numFmtId="0" xfId="0" applyAlignment="1" applyBorder="1" applyFont="1">
      <alignment vertical="center"/>
    </xf>
    <xf borderId="67" fillId="4" fontId="28" numFmtId="0" xfId="0" applyAlignment="1" applyBorder="1" applyFont="1">
      <alignment vertical="center"/>
    </xf>
    <xf borderId="6" fillId="0" fontId="7" numFmtId="0" xfId="0" applyAlignment="1" applyBorder="1" applyFont="1">
      <alignment horizontal="center" shrinkToFit="0" vertical="center" wrapText="1"/>
    </xf>
    <xf borderId="66" fillId="0" fontId="7" numFmtId="0" xfId="0" applyAlignment="1" applyBorder="1" applyFont="1">
      <alignment horizontal="center" shrinkToFit="0" vertical="center" wrapText="1"/>
    </xf>
    <xf borderId="66" fillId="0" fontId="27" numFmtId="167" xfId="0" applyAlignment="1" applyBorder="1" applyFont="1" applyNumberFormat="1">
      <alignment shrinkToFit="0" vertical="bottom" wrapText="0"/>
    </xf>
    <xf borderId="69" fillId="0" fontId="30" numFmtId="0" xfId="0" applyAlignment="1" applyBorder="1" applyFont="1">
      <alignment horizontal="left" readingOrder="0" shrinkToFit="0" vertical="center" wrapText="0"/>
    </xf>
    <xf borderId="62" fillId="0" fontId="27" numFmtId="0" xfId="0" applyAlignment="1" applyBorder="1" applyFont="1">
      <alignment horizontal="right" readingOrder="0" shrinkToFit="0" vertical="center" wrapText="0"/>
    </xf>
    <xf borderId="6" fillId="0" fontId="24" numFmtId="0" xfId="0" applyAlignment="1" applyBorder="1" applyFont="1">
      <alignment horizontal="left" readingOrder="0" shrinkToFit="0" vertical="center" wrapText="1"/>
    </xf>
    <xf borderId="6" fillId="0" fontId="25" numFmtId="0" xfId="0" applyAlignment="1" applyBorder="1" applyFont="1">
      <alignment horizontal="left" readingOrder="0" shrinkToFit="0" vertical="center" wrapText="0"/>
    </xf>
    <xf borderId="2" fillId="0" fontId="25" numFmtId="0" xfId="0" applyAlignment="1" applyBorder="1" applyFont="1">
      <alignment horizontal="left" readingOrder="0" shrinkToFit="0" vertical="center" wrapText="0"/>
    </xf>
    <xf borderId="73" fillId="4" fontId="29" numFmtId="0" xfId="0" applyAlignment="1" applyBorder="1" applyFont="1">
      <alignment shrinkToFit="0" vertical="center" wrapText="0"/>
    </xf>
    <xf borderId="74" fillId="4" fontId="29" numFmtId="0" xfId="0" applyAlignment="1" applyBorder="1" applyFont="1">
      <alignment shrinkToFit="0" vertical="center" wrapText="0"/>
    </xf>
    <xf borderId="73" fillId="4" fontId="29" numFmtId="0" xfId="0" applyAlignment="1" applyBorder="1" applyFont="1">
      <alignment readingOrder="0" shrinkToFit="0" vertical="center" wrapText="0"/>
    </xf>
    <xf borderId="75" fillId="4" fontId="29" numFmtId="0" xfId="0" applyAlignment="1" applyBorder="1" applyFont="1">
      <alignment shrinkToFit="0" vertical="center" wrapText="0"/>
    </xf>
    <xf borderId="61" fillId="4" fontId="31" numFmtId="0" xfId="0" applyAlignment="1" applyBorder="1" applyFont="1">
      <alignment horizontal="center" readingOrder="0" shrinkToFit="0" vertical="center" wrapText="1"/>
    </xf>
    <xf borderId="66" fillId="4" fontId="31" numFmtId="0" xfId="0" applyAlignment="1" applyBorder="1" applyFont="1">
      <alignment horizontal="center" readingOrder="0" shrinkToFit="0" vertical="center" wrapText="1"/>
    </xf>
    <xf borderId="57" fillId="0" fontId="27" numFmtId="0" xfId="0" applyAlignment="1" applyBorder="1" applyFont="1">
      <alignment horizontal="right" readingOrder="0" shrinkToFit="0" vertical="center" wrapText="1"/>
    </xf>
    <xf borderId="60" fillId="0" fontId="7" numFmtId="0" xfId="0" applyAlignment="1" applyBorder="1" applyFont="1">
      <alignment horizontal="center" vertical="center"/>
    </xf>
    <xf borderId="63" fillId="0" fontId="27" numFmtId="168" xfId="0" applyAlignment="1" applyBorder="1" applyFont="1" applyNumberFormat="1">
      <alignment horizontal="righ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Relationship Id="sheet13" Type="http://schemas.openxmlformats.org/officeDocument/2006/relationships/worksheet" Target="worksheets/sheet13.xml"/><Relationship Id="sheet14" Type="http://schemas.openxmlformats.org/officeDocument/2006/relationships/worksheet" Target="worksheets/sheet14.xml"/><Relationship Id="sheet15" Type="http://schemas.openxmlformats.org/officeDocument/2006/relationships/worksheet" Target="worksheets/sheet15.xml"/><Relationship Id="sheet16" Type="http://schemas.openxmlformats.org/officeDocument/2006/relationships/worksheet" Target="worksheets/sheet16.xml"/><Relationship Id="sheet17" Type="http://schemas.openxmlformats.org/officeDocument/2006/relationships/worksheet" Target="worksheets/sheet17.xml"/><Relationship Id="sheet18" Type="http://schemas.openxmlformats.org/officeDocument/2006/relationships/worksheet" Target="worksheets/sheet18.xml"/><Relationship Id="sheet19" Type="http://schemas.openxmlformats.org/officeDocument/2006/relationships/worksheet" Target="worksheets/sheet19.xml"/><Relationship Id="sheet20" Type="http://schemas.openxmlformats.org/officeDocument/2006/relationships/worksheet" Target="worksheets/sheet20.xml"/><Relationship Id="sheet21" Type="http://schemas.openxmlformats.org/officeDocument/2006/relationships/worksheet" Target="worksheets/sheet21.xml"/><Relationship Id="sheet22" Type="http://schemas.openxmlformats.org/officeDocument/2006/relationships/worksheet" Target="worksheets/sheet22.xml"/><Relationship Id="sheet23" Type="http://schemas.openxmlformats.org/officeDocument/2006/relationships/worksheet" Target="worksheets/sheet23.xml"/><Relationship Id="sheet24" Type="http://schemas.openxmlformats.org/officeDocument/2006/relationships/worksheet" Target="worksheets/sheet24.xml"/><Relationship Id="sheet25" Type="http://schemas.openxmlformats.org/officeDocument/2006/relationships/worksheet" Target="worksheets/sheet25.xml"/><Relationship Id="sheet26" Type="http://schemas.openxmlformats.org/officeDocument/2006/relationships/worksheet" Target="worksheets/sheet26.xml"/><Relationship Id="sheet27" Type="http://schemas.openxmlformats.org/officeDocument/2006/relationships/worksheet" Target="worksheets/sheet27.xml"/><Relationship Id="sheet28" Type="http://schemas.openxmlformats.org/officeDocument/2006/relationships/worksheet" Target="worksheets/sheet28.xml"/><Relationship Id="sheet29" Type="http://schemas.openxmlformats.org/officeDocument/2006/relationships/worksheet" Target="worksheets/sheet29.xml"/><Relationship Id="sheet30" Type="http://schemas.openxmlformats.org/officeDocument/2006/relationships/worksheet" Target="worksheets/sheet30.xml"/><Relationship Id="sheet31" Type="http://schemas.openxmlformats.org/officeDocument/2006/relationships/worksheet" Target="worksheets/sheet31.xml"/><Relationship Id="sheet32" Type="http://schemas.openxmlformats.org/officeDocument/2006/relationships/worksheet" Target="worksheets/sheet32.xml"/><Relationship Id="sheet33" Type="http://schemas.openxmlformats.org/officeDocument/2006/relationships/worksheet" Target="worksheets/sheet33.xml"/><Relationship Id="sheet34" Type="http://schemas.openxmlformats.org/officeDocument/2006/relationships/worksheet" Target="worksheets/sheet34.xml"/><Relationship Id="sheet35" Type="http://schemas.openxmlformats.org/officeDocument/2006/relationships/worksheet" Target="worksheets/sheet35.xml"/><Relationship Id="sheet36" Type="http://schemas.openxmlformats.org/officeDocument/2006/relationships/worksheet" Target="worksheets/sheet36.xml"/><Relationship Id="sheet37" Type="http://schemas.openxmlformats.org/officeDocument/2006/relationships/worksheet" Target="worksheets/sheet37.xml"/><Relationship Id="sheet38" Type="http://schemas.openxmlformats.org/officeDocument/2006/relationships/worksheet" Target="worksheets/sheet38.xml"/><Relationship Id="sheet39" Type="http://schemas.openxmlformats.org/officeDocument/2006/relationships/worksheet" Target="worksheets/sheet39.xml"/><Relationship Id="sheet40" Type="http://schemas.openxmlformats.org/officeDocument/2006/relationships/worksheet" Target="worksheets/sheet40.xml"/><Relationship Id="sheet41" Type="http://schemas.openxmlformats.org/officeDocument/2006/relationships/worksheet" Target="worksheets/sheet41.xml"/><Relationship Id="sheet42" Type="http://schemas.openxmlformats.org/officeDocument/2006/relationships/worksheet" Target="worksheets/sheet42.xml"/><Relationship Id="sheet43" Type="http://schemas.openxmlformats.org/officeDocument/2006/relationships/worksheet" Target="worksheets/sheet43.xml"/><Relationship Id="sheet44" Type="http://schemas.openxmlformats.org/officeDocument/2006/relationships/worksheet" Target="worksheets/sheet44.xml"/><Relationship Id="sheet45" Type="http://schemas.openxmlformats.org/officeDocument/2006/relationships/worksheet" Target="worksheets/sheet45.xml"/><Relationship Id="sheet46" Type="http://schemas.openxmlformats.org/officeDocument/2006/relationships/worksheet" Target="worksheets/sheet46.xml"/><Relationship Id="sheet47" Type="http://schemas.openxmlformats.org/officeDocument/2006/relationships/worksheet" Target="worksheets/sheet47.xml"/><Relationship Id="sheet48" Type="http://schemas.openxmlformats.org/officeDocument/2006/relationships/worksheet" Target="worksheets/sheet48.xml"/><Relationship Id="sheet49" Type="http://schemas.openxmlformats.org/officeDocument/2006/relationships/worksheet" Target="worksheets/sheet49.xml"/><Relationship Id="sheet50" Type="http://schemas.openxmlformats.org/officeDocument/2006/relationships/worksheet" Target="worksheets/sheet50.xml"/><Relationship Id="sheet51" Type="http://schemas.openxmlformats.org/officeDocument/2006/relationships/worksheet" Target="worksheets/sheet51.xml"/><Relationship Id="sheet52" Type="http://schemas.openxmlformats.org/officeDocument/2006/relationships/worksheet" Target="worksheets/sheet52.xml"/><Relationship Id="sheet53" Type="http://schemas.openxmlformats.org/officeDocument/2006/relationships/worksheet" Target="worksheets/sheet53.xml"/><Relationship Id="sheet54" Type="http://schemas.openxmlformats.org/officeDocument/2006/relationships/worksheet" Target="worksheets/sheet54.xml"/><Relationship Id="sheet55" Type="http://schemas.openxmlformats.org/officeDocument/2006/relationships/worksheet" Target="worksheets/sheet55.xml"/><Relationship Id="sheet56" Type="http://schemas.openxmlformats.org/officeDocument/2006/relationships/worksheet" Target="worksheets/sheet56.xml"/><Relationship Id="sheet57" Type="http://schemas.openxmlformats.org/officeDocument/2006/relationships/worksheet" Target="worksheets/sheet57.xml"/><Relationship Id="sheet58" Type="http://schemas.openxmlformats.org/officeDocument/2006/relationships/worksheet" Target="worksheets/sheet58.xml"/><Relationship Id="sheet59" Type="http://schemas.openxmlformats.org/officeDocument/2006/relationships/worksheet" Target="worksheets/sheet59.xml"/><Relationship Id="sheet60" Type="http://schemas.openxmlformats.org/officeDocument/2006/relationships/worksheet" Target="worksheets/sheet60.xml"/><Relationship Id="sheet61" Type="http://schemas.openxmlformats.org/officeDocument/2006/relationships/worksheet" Target="worksheets/sheet61.xml"/><Relationship Id="sheet62" Type="http://schemas.openxmlformats.org/officeDocument/2006/relationships/worksheet" Target="worksheets/sheet62.xml"/><Relationship Id="sheet63" Type="http://schemas.openxmlformats.org/officeDocument/2006/relationships/worksheet" Target="worksheets/sheet63.xml"/><Relationship Id="sheet64" Type="http://schemas.openxmlformats.org/officeDocument/2006/relationships/worksheet" Target="worksheets/sheet64.xml"/><Relationship Id="sheet65" Type="http://schemas.openxmlformats.org/officeDocument/2006/relationships/worksheet" Target="worksheets/sheet65.xml"/><Relationship Id="sheet66" Type="http://schemas.openxmlformats.org/officeDocument/2006/relationships/worksheet" Target="worksheets/sheet66.xml"/><Relationship Id="sheet67" Type="http://schemas.openxmlformats.org/officeDocument/2006/relationships/worksheet" Target="worksheets/sheet67.xml"/><Relationship Id="sheet68" Type="http://schemas.openxmlformats.org/officeDocument/2006/relationships/worksheet" Target="worksheets/sheet68.xml"/><Relationship Id="sheet69" Type="http://schemas.openxmlformats.org/officeDocument/2006/relationships/worksheet" Target="worksheets/sheet69.xml"/><Relationship Id="sheet70" Type="http://schemas.openxmlformats.org/officeDocument/2006/relationships/worksheet" Target="worksheets/sheet70.xml"/><Relationship Id="sheet71" Type="http://schemas.openxmlformats.org/officeDocument/2006/relationships/worksheet" Target="worksheets/sheet71.xml"/><Relationship Id="sheet72" Type="http://schemas.openxmlformats.org/officeDocument/2006/relationships/worksheet" Target="worksheets/sheet72.xml"/><Relationship Id="sheet73" Type="http://schemas.openxmlformats.org/officeDocument/2006/relationships/worksheet" Target="worksheets/sheet73.xml"/><Relationship Id="sheet74" Type="http://schemas.openxmlformats.org/officeDocument/2006/relationships/worksheet" Target="worksheets/sheet74.xml"/><Relationship Id="sheet75" Type="http://schemas.openxmlformats.org/officeDocument/2006/relationships/worksheet" Target="worksheets/sheet75.xml"/><Relationship Id="sheet76" Type="http://schemas.openxmlformats.org/officeDocument/2006/relationships/worksheet" Target="worksheets/sheet76.xml"/><Relationship Id="sheet77" Type="http://schemas.openxmlformats.org/officeDocument/2006/relationships/worksheet" Target="worksheets/sheet77.xml"/><Relationship Id="sheet78" Type="http://schemas.openxmlformats.org/officeDocument/2006/relationships/worksheet" Target="worksheets/sheet78.xml"/><Relationship Id="sheet79" Type="http://schemas.openxmlformats.org/officeDocument/2006/relationships/worksheet" Target="worksheets/sheet79.xml"/><Relationship Id="sheet80" Type="http://schemas.openxmlformats.org/officeDocument/2006/relationships/worksheet" Target="worksheets/sheet80.xml"/><Relationship Id="sheet81" Type="http://schemas.openxmlformats.org/officeDocument/2006/relationships/worksheet" Target="worksheets/sheet81.xml"/><Relationship Id="sheet82" Type="http://schemas.openxmlformats.org/officeDocument/2006/relationships/worksheet" Target="worksheets/sheet82.xml"/><Relationship Id="sheet83" Type="http://schemas.openxmlformats.org/officeDocument/2006/relationships/worksheet" Target="worksheets/sheet83.xml"/><Relationship Id="sheet84" Type="http://schemas.openxmlformats.org/officeDocument/2006/relationships/worksheet" Target="worksheets/sheet84.xml"/><Relationship Id="sheet85" Type="http://schemas.openxmlformats.org/officeDocument/2006/relationships/worksheet" Target="worksheets/sheet85.xml"/><Relationship Id="sheet86" Type="http://schemas.openxmlformats.org/officeDocument/2006/relationships/worksheet" Target="worksheets/sheet86.xml"/><Relationship Id="sheet87" Type="http://schemas.openxmlformats.org/officeDocument/2006/relationships/worksheet" Target="worksheets/sheet87.xml"/><Relationship Id="sheet88" Type="http://schemas.openxmlformats.org/officeDocument/2006/relationships/worksheet" Target="worksheets/sheet88.xml"/><Relationship Id="sheet89" Type="http://schemas.openxmlformats.org/officeDocument/2006/relationships/worksheet" Target="worksheets/sheet89.xml"/><Relationship Id="sheet90" Type="http://schemas.openxmlformats.org/officeDocument/2006/relationships/worksheet" Target="worksheets/sheet90.xml"/><Relationship Id="sheet91" Type="http://schemas.openxmlformats.org/officeDocument/2006/relationships/worksheet" Target="worksheets/sheet91.xml"/><Relationship Id="sheet92" Type="http://schemas.openxmlformats.org/officeDocument/2006/relationships/worksheet" Target="worksheets/sheet92.xml"/><Relationship Id="sheet93" Type="http://schemas.openxmlformats.org/officeDocument/2006/relationships/worksheet" Target="worksheets/sheet93.xml"/><Relationship Id="sheet94" Type="http://schemas.openxmlformats.org/officeDocument/2006/relationships/worksheet" Target="worksheets/sheet94.xml"/><Relationship Id="sheet95" Type="http://schemas.openxmlformats.org/officeDocument/2006/relationships/worksheet" Target="worksheets/sheet95.xml"/><Relationship Id="sheet96" Type="http://schemas.openxmlformats.org/officeDocument/2006/relationships/worksheet" Target="worksheets/sheet96.xml"/><Relationship Id="sheet97" Type="http://schemas.openxmlformats.org/officeDocument/2006/relationships/worksheet" Target="worksheets/sheet97.xml"/><Relationship Id="sheet98" Type="http://schemas.openxmlformats.org/officeDocument/2006/relationships/worksheet" Target="worksheets/sheet98.xml"/><Relationship Id="sheet99" Type="http://schemas.openxmlformats.org/officeDocument/2006/relationships/worksheet" Target="worksheets/sheet99.xml"/><Relationship Id="sheet100" Type="http://schemas.openxmlformats.org/officeDocument/2006/relationships/worksheet" Target="worksheets/sheet100.xml"/><Relationship Id="sheet101" Type="http://schemas.openxmlformats.org/officeDocument/2006/relationships/worksheet" Target="worksheets/sheet101.xml"/><Relationship Id="sheet102" Type="http://schemas.openxmlformats.org/officeDocument/2006/relationships/worksheet" Target="worksheets/sheet102.xml"/><Relationship Id="sheet103" Type="http://schemas.openxmlformats.org/officeDocument/2006/relationships/worksheet" Target="worksheets/sheet103.xml"/><Relationship Id="sheet104" Type="http://schemas.openxmlformats.org/officeDocument/2006/relationships/worksheet" Target="worksheets/sheet104.xml"/><Relationship Id="sheet105" Type="http://schemas.openxmlformats.org/officeDocument/2006/relationships/worksheet" Target="worksheets/sheet105.xml"/><Relationship Id="sheet106" Type="http://schemas.openxmlformats.org/officeDocument/2006/relationships/worksheet" Target="worksheets/sheet106.xml"/><Relationship Id="sheet107" Type="http://schemas.openxmlformats.org/officeDocument/2006/relationships/worksheet" Target="worksheets/sheet107.xml"/><Relationship Id="sheet108" Type="http://schemas.openxmlformats.org/officeDocument/2006/relationships/worksheet" Target="worksheets/sheet108.xml"/><Relationship Id="sheet109" Type="http://schemas.openxmlformats.org/officeDocument/2006/relationships/worksheet" Target="worksheets/sheet109.xml"/><Relationship Id="sheet110" Type="http://schemas.openxmlformats.org/officeDocument/2006/relationships/worksheet" Target="worksheets/sheet110.xml"/><Relationship Id="sheet111" Type="http://schemas.openxmlformats.org/officeDocument/2006/relationships/worksheet" Target="worksheets/sheet111.xml"/><Relationship Id="sheet112" Type="http://schemas.openxmlformats.org/officeDocument/2006/relationships/worksheet" Target="worksheets/sheet112.xml"/><Relationship Id="sheet113" Type="http://schemas.openxmlformats.org/officeDocument/2006/relationships/worksheet" Target="worksheets/sheet113.xml"/><Relationship Id="sheet114" Type="http://schemas.openxmlformats.org/officeDocument/2006/relationships/worksheet" Target="worksheets/sheet114.xml"/><Relationship Id="sheet115" Type="http://schemas.openxmlformats.org/officeDocument/2006/relationships/worksheet" Target="worksheets/sheet115.xml"/><Relationship Id="sheet116" Type="http://schemas.openxmlformats.org/officeDocument/2006/relationships/worksheet" Target="worksheets/sheet116.xml"/><Relationship Id="sheet117" Type="http://schemas.openxmlformats.org/officeDocument/2006/relationships/worksheet" Target="worksheets/sheet117.xml"/><Relationship Id="sheet118" Type="http://schemas.openxmlformats.org/officeDocument/2006/relationships/worksheet" Target="worksheets/sheet118.xml"/><Relationship Id="sheet119" Type="http://schemas.openxmlformats.org/officeDocument/2006/relationships/worksheet" Target="worksheets/sheet119.xml"/><Relationship Id="sheet120" Type="http://schemas.openxmlformats.org/officeDocument/2006/relationships/worksheet" Target="worksheets/sheet120.xml"/><Relationship Id="sheet121" Type="http://schemas.openxmlformats.org/officeDocument/2006/relationships/worksheet" Target="worksheets/sheet121.xml"/><Relationship Id="sheet122" Type="http://schemas.openxmlformats.org/officeDocument/2006/relationships/worksheet" Target="worksheets/sheet122.xml"/><Relationship Id="sheet123" Type="http://schemas.openxmlformats.org/officeDocument/2006/relationships/worksheet" Target="worksheets/sheet123.xml"/><Relationship Id="sheet124" Type="http://schemas.openxmlformats.org/officeDocument/2006/relationships/worksheet" Target="worksheets/sheet124.xml"/><Relationship Id="sheet125" Type="http://schemas.openxmlformats.org/officeDocument/2006/relationships/worksheet" Target="worksheets/sheet125.xml"/><Relationship Id="sheet126" Type="http://schemas.openxmlformats.org/officeDocument/2006/relationships/worksheet" Target="worksheets/sheet126.xml"/><Relationship Id="sheet127" Type="http://schemas.openxmlformats.org/officeDocument/2006/relationships/worksheet" Target="worksheets/sheet127.xml"/><Relationship Id="sheet128" Type="http://schemas.openxmlformats.org/officeDocument/2006/relationships/worksheet" Target="worksheets/sheet128.xml"/><Relationship Id="sheet129" Type="http://schemas.openxmlformats.org/officeDocument/2006/relationships/worksheet" Target="worksheets/sheet129.xml"/><Relationship Id="sheet130" Type="http://schemas.openxmlformats.org/officeDocument/2006/relationships/worksheet" Target="worksheets/sheet130.xml"/><Relationship Id="sheet131" Type="http://schemas.openxmlformats.org/officeDocument/2006/relationships/worksheet" Target="worksheets/sheet131.xml"/><Relationship Id="sheet132" Type="http://schemas.openxmlformats.org/officeDocument/2006/relationships/worksheet" Target="worksheets/sheet132.xml"/><Relationship Id="sheet133" Type="http://schemas.openxmlformats.org/officeDocument/2006/relationships/worksheet" Target="worksheets/sheet133.xml"/><Relationship Id="sheet134" Type="http://schemas.openxmlformats.org/officeDocument/2006/relationships/worksheet" Target="worksheets/sheet134.xml"/><Relationship Id="sheet135" Type="http://schemas.openxmlformats.org/officeDocument/2006/relationships/worksheet" Target="worksheets/sheet135.xml"/><Relationship Id="sheet136" Type="http://schemas.openxmlformats.org/officeDocument/2006/relationships/worksheet" Target="worksheets/sheet136.xml"/><Relationship Id="sheet137" Type="http://schemas.openxmlformats.org/officeDocument/2006/relationships/worksheet" Target="worksheets/sheet137.xml"/><Relationship Id="sheet138" Type="http://schemas.openxmlformats.org/officeDocument/2006/relationships/worksheet" Target="worksheets/sheet138.xml"/><Relationship Id="sheet139" Type="http://schemas.openxmlformats.org/officeDocument/2006/relationships/worksheet" Target="worksheets/sheet139.xml"/><Relationship Id="sheet140" Type="http://schemas.openxmlformats.org/officeDocument/2006/relationships/worksheet" Target="worksheets/sheet140.xml"/><Relationship Id="sheet141" Type="http://schemas.openxmlformats.org/officeDocument/2006/relationships/worksheet" Target="worksheets/sheet141.xml"/><Relationship Id="sheet142" Type="http://schemas.openxmlformats.org/officeDocument/2006/relationships/worksheet" Target="worksheets/sheet142.xml"/><Relationship Id="sheet143" Type="http://schemas.openxmlformats.org/officeDocument/2006/relationships/worksheet" Target="worksheets/sheet143.xml"/><Relationship Id="sheet144" Type="http://schemas.openxmlformats.org/officeDocument/2006/relationships/worksheet" Target="worksheets/sheet144.xml"/><Relationship Id="sheet145" Type="http://schemas.openxmlformats.org/officeDocument/2006/relationships/worksheet" Target="worksheets/sheet145.xml"/><Relationship Id="sheet146" Type="http://schemas.openxmlformats.org/officeDocument/2006/relationships/worksheet" Target="worksheets/sheet146.xml"/><Relationship Id="sheet147" Type="http://schemas.openxmlformats.org/officeDocument/2006/relationships/worksheet" Target="worksheets/sheet147.xml"/><Relationship Id="sheet148" Type="http://schemas.openxmlformats.org/officeDocument/2006/relationships/worksheet" Target="worksheets/sheet148.xml"/><Relationship Id="sheet149" Type="http://schemas.openxmlformats.org/officeDocument/2006/relationships/worksheet" Target="worksheets/sheet149.xml"/><Relationship Id="sheet150" Type="http://schemas.openxmlformats.org/officeDocument/2006/relationships/worksheet" Target="worksheets/sheet150.xml"/><Relationship Id="sheet151" Type="http://schemas.openxmlformats.org/officeDocument/2006/relationships/worksheet" Target="worksheets/sheet151.xml"/><Relationship Id="sheet152" Type="http://schemas.openxmlformats.org/officeDocument/2006/relationships/worksheet" Target="worksheets/sheet152.xml"/><Relationship Id="sheet153" Type="http://schemas.openxmlformats.org/officeDocument/2006/relationships/worksheet" Target="worksheets/sheet153.xml"/><Relationship Id="sheet154" Type="http://schemas.openxmlformats.org/officeDocument/2006/relationships/worksheet" Target="worksheets/sheet154.xml"/><Relationship Id="sheet155" Type="http://schemas.openxmlformats.org/officeDocument/2006/relationships/worksheet" Target="worksheets/sheet155.xml"/><Relationship Id="sheet156" Type="http://schemas.openxmlformats.org/officeDocument/2006/relationships/worksheet" Target="worksheets/sheet156.xml"/><Relationship Id="sheet157" Type="http://schemas.openxmlformats.org/officeDocument/2006/relationships/worksheet" Target="worksheets/sheet157.xml"/><Relationship Id="sheet158" Type="http://schemas.openxmlformats.org/officeDocument/2006/relationships/worksheet" Target="worksheets/sheet158.xml"/><Relationship Id="sheet159" Type="http://schemas.openxmlformats.org/officeDocument/2006/relationships/worksheet" Target="worksheets/sheet159.xml"/><Relationship Id="sheet160" Type="http://schemas.openxmlformats.org/officeDocument/2006/relationships/worksheet" Target="worksheets/sheet160.xml"/><Relationship Id="sheet161" Type="http://schemas.openxmlformats.org/officeDocument/2006/relationships/worksheet" Target="worksheets/sheet161.xml"/><Relationship Id="sheet162" Type="http://schemas.openxmlformats.org/officeDocument/2006/relationships/worksheet" Target="worksheets/sheet162.xml"/><Relationship Id="sheet163" Type="http://schemas.openxmlformats.org/officeDocument/2006/relationships/worksheet" Target="worksheets/sheet163.xml"/><Relationship Id="sheet164" Type="http://schemas.openxmlformats.org/officeDocument/2006/relationships/worksheet" Target="worksheets/sheet164.xml"/><Relationship Id="sheet165" Type="http://schemas.openxmlformats.org/officeDocument/2006/relationships/worksheet" Target="worksheets/sheet165.xml"/><Relationship Id="sheet166" Type="http://schemas.openxmlformats.org/officeDocument/2006/relationships/worksheet" Target="worksheets/sheet166.xml"/><Relationship Id="sheet167" Type="http://schemas.openxmlformats.org/officeDocument/2006/relationships/worksheet" Target="worksheets/sheet167.xml"/><Relationship Id="sheet168" Type="http://schemas.openxmlformats.org/officeDocument/2006/relationships/worksheet" Target="worksheets/sheet168.xml"/><Relationship Id="sheet169" Type="http://schemas.openxmlformats.org/officeDocument/2006/relationships/worksheet" Target="worksheets/sheet169.xml"/><Relationship Id="sheet170" Type="http://schemas.openxmlformats.org/officeDocument/2006/relationships/worksheet" Target="worksheets/sheet170.xml"/><Relationship Id="sheet171" Type="http://schemas.openxmlformats.org/officeDocument/2006/relationships/worksheet" Target="worksheets/sheet171.xml"/><Relationship Id="sheet172" Type="http://schemas.openxmlformats.org/officeDocument/2006/relationships/worksheet" Target="worksheets/sheet172.xml"/><Relationship Id="sheet173" Type="http://schemas.openxmlformats.org/officeDocument/2006/relationships/worksheet" Target="worksheets/sheet173.xml"/><Relationship Id="sheet174" Type="http://schemas.openxmlformats.org/officeDocument/2006/relationships/worksheet" Target="worksheets/sheet174.xml"/><Relationship Id="sheet175" Type="http://schemas.openxmlformats.org/officeDocument/2006/relationships/worksheet" Target="worksheets/sheet175.xml"/><Relationship Id="sheet176" Type="http://schemas.openxmlformats.org/officeDocument/2006/relationships/worksheet" Target="worksheets/sheet176.xml"/><Relationship Id="sheet177" Type="http://schemas.openxmlformats.org/officeDocument/2006/relationships/worksheet" Target="worksheets/sheet177.xml"/><Relationship Id="sheet178" Type="http://schemas.openxmlformats.org/officeDocument/2006/relationships/worksheet" Target="worksheets/sheet178.xml"/><Relationship Id="sheet179" Type="http://schemas.openxmlformats.org/officeDocument/2006/relationships/worksheet" Target="worksheets/sheet179.xml"/><Relationship Id="sheet180" Type="http://schemas.openxmlformats.org/officeDocument/2006/relationships/worksheet" Target="worksheets/sheet180.xml"/><Relationship Id="sheet181" Type="http://schemas.openxmlformats.org/officeDocument/2006/relationships/worksheet" Target="worksheets/sheet181.xml"/><Relationship Id="sheet182" Type="http://schemas.openxmlformats.org/officeDocument/2006/relationships/worksheet" Target="worksheets/sheet182.xml"/><Relationship Id="sheet183" Type="http://schemas.openxmlformats.org/officeDocument/2006/relationships/worksheet" Target="worksheets/sheet183.xml"/><Relationship Id="sheet184" Type="http://schemas.openxmlformats.org/officeDocument/2006/relationships/worksheet" Target="worksheets/sheet184.xml"/><Relationship Id="sheet185" Type="http://schemas.openxmlformats.org/officeDocument/2006/relationships/worksheet" Target="worksheets/sheet185.xml"/><Relationship Id="sheet186" Type="http://schemas.openxmlformats.org/officeDocument/2006/relationships/worksheet" Target="worksheets/sheet186.xml"/><Relationship Id="sheet187" Type="http://schemas.openxmlformats.org/officeDocument/2006/relationships/worksheet" Target="worksheets/sheet187.xml"/><Relationship Id="sheet188" Type="http://schemas.openxmlformats.org/officeDocument/2006/relationships/worksheet" Target="worksheets/sheet188.xml"/><Relationship Id="sheet189" Type="http://schemas.openxmlformats.org/officeDocument/2006/relationships/worksheet" Target="worksheets/sheet189.xml"/><Relationship Id="sheet190" Type="http://schemas.openxmlformats.org/officeDocument/2006/relationships/worksheet" Target="worksheets/sheet190.xml"/><Relationship Id="sheet191" Type="http://schemas.openxmlformats.org/officeDocument/2006/relationships/worksheet" Target="worksheets/sheet191.xml"/><Relationship Id="sheet192" Type="http://schemas.openxmlformats.org/officeDocument/2006/relationships/worksheet" Target="worksheets/sheet192.xml"/><Relationship Id="sheet193" Type="http://schemas.openxmlformats.org/officeDocument/2006/relationships/worksheet" Target="worksheets/sheet193.xml"/><Relationship Id="sheet194" Type="http://schemas.openxmlformats.org/officeDocument/2006/relationships/worksheet" Target="worksheets/sheet194.xml"/><Relationship Id="sheet195" Type="http://schemas.openxmlformats.org/officeDocument/2006/relationships/worksheet" Target="worksheets/sheet195.xml"/><Relationship Id="sheet196" Type="http://schemas.openxmlformats.org/officeDocument/2006/relationships/worksheet" Target="worksheets/sheet196.xml"/><Relationship Id="sheet197" Type="http://schemas.openxmlformats.org/officeDocument/2006/relationships/worksheet" Target="worksheets/sheet197.xml"/><Relationship Id="sheet198" Type="http://schemas.openxmlformats.org/officeDocument/2006/relationships/worksheet" Target="worksheets/sheet198.xml"/><Relationship Id="sheet199" Type="http://schemas.openxmlformats.org/officeDocument/2006/relationships/worksheet" Target="worksheets/sheet199.xml"/><Relationship Id="sheet200" Type="http://schemas.openxmlformats.org/officeDocument/2006/relationships/worksheet" Target="worksheets/sheet200.xml"/><Relationship Id="sheet201" Type="http://schemas.openxmlformats.org/officeDocument/2006/relationships/worksheet" Target="worksheets/sheet201.xml"/><Relationship Id="sheet202" Type="http://schemas.openxmlformats.org/officeDocument/2006/relationships/worksheet" Target="worksheets/sheet202.xml"/><Relationship Id="sheet203" Type="http://schemas.openxmlformats.org/officeDocument/2006/relationships/worksheet" Target="worksheets/sheet203.xml"/><Relationship Id="sheet204" Type="http://schemas.openxmlformats.org/officeDocument/2006/relationships/worksheet" Target="worksheets/sheet204.xml"/><Relationship Id="sheet205" Type="http://schemas.openxmlformats.org/officeDocument/2006/relationships/worksheet" Target="worksheets/sheet205.xml"/><Relationship Id="sheet206" Type="http://schemas.openxmlformats.org/officeDocument/2006/relationships/worksheet" Target="worksheets/sheet206.xml"/><Relationship Id="sheet207" Type="http://schemas.openxmlformats.org/officeDocument/2006/relationships/worksheet" Target="worksheets/sheet207.xml"/><Relationship Id="sheet208" Type="http://schemas.openxmlformats.org/officeDocument/2006/relationships/worksheet" Target="worksheets/sheet208.xml"/><Relationship Id="sheet209" Type="http://schemas.openxmlformats.org/officeDocument/2006/relationships/worksheet" Target="worksheets/sheet209.xml"/><Relationship Id="sheet210" Type="http://schemas.openxmlformats.org/officeDocument/2006/relationships/worksheet" Target="worksheets/sheet210.xml"/><Relationship Id="sheet211" Type="http://schemas.openxmlformats.org/officeDocument/2006/relationships/worksheet" Target="worksheets/sheet211.xml"/><Relationship Id="sheet212" Type="http://schemas.openxmlformats.org/officeDocument/2006/relationships/worksheet" Target="worksheets/sheet212.xml"/><Relationship Id="sheet213" Type="http://schemas.openxmlformats.org/officeDocument/2006/relationships/worksheet" Target="worksheets/sheet213.xml"/><Relationship Id="sheet214" Type="http://schemas.openxmlformats.org/officeDocument/2006/relationships/worksheet" Target="worksheets/sheet214.xml"/><Relationship Id="sheet215" Type="http://schemas.openxmlformats.org/officeDocument/2006/relationships/worksheet" Target="worksheets/sheet215.xml"/><Relationship Id="sheet216" Type="http://schemas.openxmlformats.org/officeDocument/2006/relationships/worksheet" Target="worksheets/sheet216.xml"/><Relationship Id="sheet217" Type="http://schemas.openxmlformats.org/officeDocument/2006/relationships/worksheet" Target="worksheets/sheet217.xml"/><Relationship Id="sheet218" Type="http://schemas.openxmlformats.org/officeDocument/2006/relationships/worksheet" Target="worksheets/sheet218.xml"/><Relationship Id="sheet219" Type="http://schemas.openxmlformats.org/officeDocument/2006/relationships/worksheet" Target="worksheets/sheet219.xml"/><Relationship Id="sheet220" Type="http://schemas.openxmlformats.org/officeDocument/2006/relationships/worksheet" Target="worksheets/sheet220.xml"/><Relationship Id="sheet221" Type="http://schemas.openxmlformats.org/officeDocument/2006/relationships/worksheet" Target="worksheets/sheet221.xml"/><Relationship Id="sheet222" Type="http://schemas.openxmlformats.org/officeDocument/2006/relationships/worksheet" Target="worksheets/sheet222.xml"/><Relationship Id="sheet223" Type="http://schemas.openxmlformats.org/officeDocument/2006/relationships/worksheet" Target="worksheets/sheet223.xml"/><Relationship Id="sheet224" Type="http://schemas.openxmlformats.org/officeDocument/2006/relationships/worksheet" Target="worksheets/sheet224.xml"/><Relationship Id="sheet225" Type="http://schemas.openxmlformats.org/officeDocument/2006/relationships/worksheet" Target="worksheets/sheet225.xml"/><Relationship Id="sheet226" Type="http://schemas.openxmlformats.org/officeDocument/2006/relationships/worksheet" Target="worksheets/sheet226.xml"/><Relationship Id="sheet227" Type="http://schemas.openxmlformats.org/officeDocument/2006/relationships/worksheet" Target="worksheets/sheet227.xml"/><Relationship Id="sheet228" Type="http://schemas.openxmlformats.org/officeDocument/2006/relationships/worksheet" Target="worksheets/sheet228.xml"/><Relationship Id="sheet229" Type="http://schemas.openxmlformats.org/officeDocument/2006/relationships/worksheet" Target="worksheets/sheet229.xml"/><Relationship Id="sheet230" Type="http://schemas.openxmlformats.org/officeDocument/2006/relationships/worksheet" Target="worksheets/sheet230.xml"/><Relationship Id="sheet231" Type="http://schemas.openxmlformats.org/officeDocument/2006/relationships/worksheet" Target="worksheets/sheet231.xml"/><Relationship Id="sheet232" Type="http://schemas.openxmlformats.org/officeDocument/2006/relationships/worksheet" Target="worksheets/sheet232.xml"/><Relationship Id="sheet233" Type="http://schemas.openxmlformats.org/officeDocument/2006/relationships/worksheet" Target="worksheets/sheet233.xml"/><Relationship Id="sheet234" Type="http://schemas.openxmlformats.org/officeDocument/2006/relationships/worksheet" Target="worksheets/sheet234.xml"/><Relationship Id="sheet235" Type="http://schemas.openxmlformats.org/officeDocument/2006/relationships/worksheet" Target="worksheets/sheet235.xml"/><Relationship Id="sheet236" Type="http://schemas.openxmlformats.org/officeDocument/2006/relationships/worksheet" Target="worksheets/sheet236.xml"/><Relationship Id="sheet237" Type="http://schemas.openxmlformats.org/officeDocument/2006/relationships/worksheet" Target="worksheets/sheet237.xml"/><Relationship Id="sheet238" Type="http://schemas.openxmlformats.org/officeDocument/2006/relationships/worksheet" Target="worksheets/sheet238.xml"/><Relationship Id="sheet239" Type="http://schemas.openxmlformats.org/officeDocument/2006/relationships/worksheet" Target="worksheets/sheet239.xml"/><Relationship Id="sheet240" Type="http://schemas.openxmlformats.org/officeDocument/2006/relationships/worksheet" Target="worksheets/sheet240.xml"/><Relationship Id="sheet241" Type="http://schemas.openxmlformats.org/officeDocument/2006/relationships/worksheet" Target="worksheets/sheet241.xml"/><Relationship Id="sheet242" Type="http://schemas.openxmlformats.org/officeDocument/2006/relationships/worksheet" Target="worksheets/sheet242.xml"/><Relationship Id="sheet243" Type="http://schemas.openxmlformats.org/officeDocument/2006/relationships/worksheet" Target="worksheets/sheet243.xml"/><Relationship Id="sheet244" Type="http://schemas.openxmlformats.org/officeDocument/2006/relationships/worksheet" Target="worksheets/sheet244.xml"/><Relationship Id="sheet245" Type="http://schemas.openxmlformats.org/officeDocument/2006/relationships/worksheet" Target="worksheets/sheet245.xml"/><Relationship Id="sheet246" Type="http://schemas.openxmlformats.org/officeDocument/2006/relationships/worksheet" Target="worksheets/sheet246.xml"/><Relationship Id="sheet247" Type="http://schemas.openxmlformats.org/officeDocument/2006/relationships/worksheet" Target="worksheets/sheet247.xml"/><Relationship Id="sheet248" Type="http://schemas.openxmlformats.org/officeDocument/2006/relationships/worksheet" Target="worksheets/sheet248.xml"/><Relationship Id="sheet249" Type="http://schemas.openxmlformats.org/officeDocument/2006/relationships/worksheet" Target="worksheets/sheet249.xml"/><Relationship Id="sheet250" Type="http://schemas.openxmlformats.org/officeDocument/2006/relationships/worksheet" Target="worksheets/sheet250.xml"/><Relationship Id="sheet251" Type="http://schemas.openxmlformats.org/officeDocument/2006/relationships/worksheet" Target="worksheets/sheet251.xml"/><Relationship Id="sheet252" Type="http://schemas.openxmlformats.org/officeDocument/2006/relationships/worksheet" Target="worksheets/sheet252.xml"/><Relationship Id="sheet253" Type="http://schemas.openxmlformats.org/officeDocument/2006/relationships/worksheet" Target="worksheets/sheet253.xml"/><Relationship Id="sheet254" Type="http://schemas.openxmlformats.org/officeDocument/2006/relationships/worksheet" Target="worksheets/sheet254.xml"/><Relationship Id="sheet255" Type="http://schemas.openxmlformats.org/officeDocument/2006/relationships/worksheet" Target="worksheets/sheet255.xml"/><Relationship Id="sheet256" Type="http://schemas.openxmlformats.org/officeDocument/2006/relationships/worksheet" Target="worksheets/sheet256.xml"/><Relationship Id="sheet257" Type="http://schemas.openxmlformats.org/officeDocument/2006/relationships/worksheet" Target="worksheets/sheet257.xml"/><Relationship Id="sheet258" Type="http://schemas.openxmlformats.org/officeDocument/2006/relationships/worksheet" Target="worksheets/sheet258.xml"/><Relationship Id="sheet259" Type="http://schemas.openxmlformats.org/officeDocument/2006/relationships/worksheet" Target="worksheets/sheet259.xml"/><Relationship Id="sheet260" Type="http://schemas.openxmlformats.org/officeDocument/2006/relationships/worksheet" Target="worksheets/sheet260.xml"/><Relationship Id="sheet261" Type="http://schemas.openxmlformats.org/officeDocument/2006/relationships/worksheet" Target="worksheets/sheet261.xml"/><Relationship Id="sheet262" Type="http://schemas.openxmlformats.org/officeDocument/2006/relationships/worksheet" Target="worksheets/sheet262.xml"/><Relationship Id="sheet263" Type="http://schemas.openxmlformats.org/officeDocument/2006/relationships/worksheet" Target="worksheets/sheet263.xml"/><Relationship Id="sheet264" Type="http://schemas.openxmlformats.org/officeDocument/2006/relationships/worksheet" Target="worksheets/sheet264.xml"/><Relationship Id="sheet265" Type="http://schemas.openxmlformats.org/officeDocument/2006/relationships/worksheet" Target="worksheets/sheet265.xml"/><Relationship Id="sheet266" Type="http://schemas.openxmlformats.org/officeDocument/2006/relationships/worksheet" Target="worksheets/sheet266.xml"/><Relationship Id="sheet267" Type="http://schemas.openxmlformats.org/officeDocument/2006/relationships/worksheet" Target="worksheets/sheet267.xml"/><Relationship Id="sheet268" Type="http://schemas.openxmlformats.org/officeDocument/2006/relationships/worksheet" Target="worksheets/sheet268.xml"/><Relationship Id="sheet269" Type="http://schemas.openxmlformats.org/officeDocument/2006/relationships/worksheet" Target="worksheets/sheet269.xml"/><Relationship Id="sheet270" Type="http://schemas.openxmlformats.org/officeDocument/2006/relationships/worksheet" Target="worksheets/sheet270.xml"/><Relationship Id="sheet271" Type="http://schemas.openxmlformats.org/officeDocument/2006/relationships/worksheet" Target="worksheets/sheet271.xml"/><Relationship Id="sheet272" Type="http://schemas.openxmlformats.org/officeDocument/2006/relationships/worksheet" Target="worksheets/sheet272.xml"/><Relationship Id="sheet273" Type="http://schemas.openxmlformats.org/officeDocument/2006/relationships/worksheet" Target="worksheets/sheet273.xml"/><Relationship Id="sheet274" Type="http://schemas.openxmlformats.org/officeDocument/2006/relationships/worksheet" Target="worksheets/sheet274.xml"/><Relationship Id="sheet275" Type="http://schemas.openxmlformats.org/officeDocument/2006/relationships/worksheet" Target="worksheets/sheet275.xml"/><Relationship Id="sheet276" Type="http://schemas.openxmlformats.org/officeDocument/2006/relationships/worksheet" Target="worksheets/sheet276.xml"/><Relationship Id="sheet277" Type="http://schemas.openxmlformats.org/officeDocument/2006/relationships/worksheet" Target="worksheets/sheet277.xml"/><Relationship Id="sheet278" Type="http://schemas.openxmlformats.org/officeDocument/2006/relationships/worksheet" Target="worksheets/sheet278.xml"/><Relationship Id="sheet279" Type="http://schemas.openxmlformats.org/officeDocument/2006/relationships/worksheet" Target="worksheets/sheet279.xml"/><Relationship Id="sheet280" Type="http://schemas.openxmlformats.org/officeDocument/2006/relationships/worksheet" Target="worksheets/sheet280.xml"/><Relationship Id="sheet281" Type="http://schemas.openxmlformats.org/officeDocument/2006/relationships/worksheet" Target="worksheets/sheet281.xml"/><Relationship Id="sheet282" Type="http://schemas.openxmlformats.org/officeDocument/2006/relationships/worksheet" Target="worksheets/sheet282.xml"/><Relationship Id="sheet283" Type="http://schemas.openxmlformats.org/officeDocument/2006/relationships/worksheet" Target="worksheets/sheet283.xml"/><Relationship Id="sheet284" Type="http://schemas.openxmlformats.org/officeDocument/2006/relationships/worksheet" Target="worksheets/sheet284.xml"/><Relationship Id="sheet285" Type="http://schemas.openxmlformats.org/officeDocument/2006/relationships/worksheet" Target="worksheets/sheet285.xml"/><Relationship Id="sheet286" Type="http://schemas.openxmlformats.org/officeDocument/2006/relationships/worksheet" Target="worksheets/sheet286.xml"/><Relationship Id="sheet287" Type="http://schemas.openxmlformats.org/officeDocument/2006/relationships/worksheet" Target="worksheets/sheet287.xml"/><Relationship Id="sheet288" Type="http://schemas.openxmlformats.org/officeDocument/2006/relationships/worksheet" Target="worksheets/sheet288.xml"/><Relationship Id="sheet289" Type="http://schemas.openxmlformats.org/officeDocument/2006/relationships/worksheet" Target="worksheets/sheet289.xml"/><Relationship Id="sheet290" Type="http://schemas.openxmlformats.org/officeDocument/2006/relationships/worksheet" Target="worksheets/sheet290.xml"/><Relationship Id="sheet291" Type="http://schemas.openxmlformats.org/officeDocument/2006/relationships/worksheet" Target="worksheets/sheet291.xml"/><Relationship Id="sheet292" Type="http://schemas.openxmlformats.org/officeDocument/2006/relationships/worksheet" Target="worksheets/sheet292.xml"/><Relationship Id="sheet293" Type="http://schemas.openxmlformats.org/officeDocument/2006/relationships/worksheet" Target="worksheets/sheet293.xml"/><Relationship Id="sheet294" Type="http://schemas.openxmlformats.org/officeDocument/2006/relationships/worksheet" Target="worksheets/sheet294.xml"/><Relationship Id="sheet295" Type="http://schemas.openxmlformats.org/officeDocument/2006/relationships/worksheet" Target="worksheets/sheet295.xml"/><Relationship Id="sheet296" Type="http://schemas.openxmlformats.org/officeDocument/2006/relationships/worksheet" Target="worksheets/sheet296.xml"/><Relationship Id="sheet297" Type="http://schemas.openxmlformats.org/officeDocument/2006/relationships/worksheet" Target="worksheets/sheet297.xml"/><Relationship Id="sheet298" Type="http://schemas.openxmlformats.org/officeDocument/2006/relationships/worksheet" Target="worksheets/sheet298.xml"/><Relationship Id="sheet299" Type="http://schemas.openxmlformats.org/officeDocument/2006/relationships/worksheet" Target="worksheets/sheet299.xml"/><Relationship Id="sheet300" Type="http://schemas.openxmlformats.org/officeDocument/2006/relationships/worksheet" Target="worksheets/sheet300.xml"/><Relationship Id="sheet301" Type="http://schemas.openxmlformats.org/officeDocument/2006/relationships/worksheet" Target="worksheets/sheet301.xml"/><Relationship Id="sheet302" Type="http://schemas.openxmlformats.org/officeDocument/2006/relationships/worksheet" Target="worksheets/sheet302.xml"/><Relationship Id="sheet303" Type="http://schemas.openxmlformats.org/officeDocument/2006/relationships/worksheet" Target="worksheets/sheet303.xml"/><Relationship Id="sheet304" Type="http://schemas.openxmlformats.org/officeDocument/2006/relationships/worksheet" Target="worksheets/sheet304.xml"/><Relationship Id="sheet305" Type="http://schemas.openxmlformats.org/officeDocument/2006/relationships/worksheet" Target="worksheets/sheet305.xml"/><Relationship Id="sheet306" Type="http://schemas.openxmlformats.org/officeDocument/2006/relationships/worksheet" Target="worksheets/sheet306.xml"/><Relationship Id="sheet307" Type="http://schemas.openxmlformats.org/officeDocument/2006/relationships/worksheet" Target="worksheets/sheet307.xml"/><Relationship Id="sheet308" Type="http://schemas.openxmlformats.org/officeDocument/2006/relationships/worksheet" Target="worksheets/sheet308.xml"/><Relationship Id="sheet309" Type="http://schemas.openxmlformats.org/officeDocument/2006/relationships/worksheet" Target="worksheets/sheet309.xml"/><Relationship Id="sheet310" Type="http://schemas.openxmlformats.org/officeDocument/2006/relationships/worksheet" Target="worksheets/sheet310.xml"/><Relationship Id="sheet311" Type="http://schemas.openxmlformats.org/officeDocument/2006/relationships/worksheet" Target="worksheets/sheet311.xml"/><Relationship Id="sheet312" Type="http://schemas.openxmlformats.org/officeDocument/2006/relationships/worksheet" Target="worksheets/sheet312.xml"/><Relationship Id="sheet313" Type="http://schemas.openxmlformats.org/officeDocument/2006/relationships/worksheet" Target="worksheets/sheet313.xml"/><Relationship Id="sheet314" Type="http://schemas.openxmlformats.org/officeDocument/2006/relationships/worksheet" Target="worksheets/sheet314.xml"/><Relationship Id="sheet315" Type="http://schemas.openxmlformats.org/officeDocument/2006/relationships/worksheet" Target="worksheets/sheet315.xml"/><Relationship Id="sheet316" Type="http://schemas.openxmlformats.org/officeDocument/2006/relationships/worksheet" Target="worksheets/sheet316.xml"/><Relationship Id="sheet317" Type="http://schemas.openxmlformats.org/officeDocument/2006/relationships/worksheet" Target="worksheets/sheet317.xml"/><Relationship Id="sheet318" Type="http://schemas.openxmlformats.org/officeDocument/2006/relationships/worksheet" Target="worksheets/sheet318.xml"/><Relationship Id="sheet319" Type="http://schemas.openxmlformats.org/officeDocument/2006/relationships/worksheet" Target="worksheets/sheet319.xml"/><Relationship Id="sheet320" Type="http://schemas.openxmlformats.org/officeDocument/2006/relationships/worksheet" Target="worksheets/sheet32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900">
                <a:solidFill>
                  <a:srgbClr val="000000"/>
                </a:solidFill>
                <a:latin typeface="+mn-lt"/>
              </a:defRPr>
            </a:pPr>
            <a:r>
              <a:rPr b="1" i="0" sz="900">
                <a:solidFill>
                  <a:srgbClr val="000000"/>
                </a:solidFill>
                <a:latin typeface="+mn-lt"/>
              </a:rPr>
              <a:t>Test Type (pending review)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9999F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Statistics!$F$11:$H$11</c:f>
            </c:strRef>
          </c:cat>
          <c:val>
            <c:numRef>
              <c:f>Statistics!$F$328:$H$328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100">
                <a:solidFill>
                  <a:srgbClr val="000000"/>
                </a:solidFill>
                <a:latin typeface="+mn-lt"/>
              </a:defRPr>
            </a:pPr>
            <a:r>
              <a:rPr b="1" i="0" sz="1100">
                <a:solidFill>
                  <a:srgbClr val="000000"/>
                </a:solidFill>
                <a:latin typeface="+mn-lt"/>
              </a:rPr>
              <a:t>Test Result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9999FF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Statistics!$C$11:$E$11</c:f>
            </c:strRef>
          </c:cat>
          <c:val>
            <c:numRef>
              <c:f>Statistics!$C$328:$E$328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0</xdr:rowOff>
    </xdr:from>
    <xdr:ext cx="2143125" cy="7810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428625</xdr:colOff>
      <xdr:row>335</xdr:row>
      <xdr:rowOff>0</xdr:rowOff>
    </xdr:from>
    <xdr:ext cx="3714750" cy="2438400"/>
    <xdr:graphicFrame>
      <xdr:nvGraphicFramePr>
        <xdr:cNvPr descr="Chart 0" id="1903622493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335</xdr:row>
      <xdr:rowOff>19050</xdr:rowOff>
    </xdr:from>
    <xdr:ext cx="4248150" cy="2409825"/>
    <xdr:graphicFrame>
      <xdr:nvGraphicFramePr>
        <xdr:cNvPr descr="Chart 1" id="1226694159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19.38"/>
    <col customWidth="1" min="2" max="6" width="9.0"/>
    <col customWidth="1" min="7" max="26" width="8.0"/>
  </cols>
  <sheetData>
    <row r="1" ht="21.75" customHeight="1">
      <c r="A1" s="2" t="str">
        <v>Guideline to make and understand Unit Test Case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21.75" customHeight="1">
      <c r="A2" s="2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7.25" customHeight="1">
      <c r="A3" s="12" t="str">
        <v>1. Overview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5.0" customHeight="1">
      <c r="A4" s="19" t="str">
        <v> - Each method sheet documents one extracted xUnit test definition. All InlineData variants belong to that definition; execution count is tracked separately in inventory.json.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5.0" customHeight="1">
      <c r="A5" s="19" t="str">
        <v> - Cover: General information of the project and Unit Test cases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38.25" customHeight="1">
      <c r="A6" s="29" t="str">
        <v> - MethodList maps every definition to its source and matrix. No KLOC or code-coverage claim is inferred from the method count.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29.25" customHeight="1">
      <c r="A7" s="29" t="str">
        <v>     + Click on Function link to open the related Test cases of the function.  
     Note: You should create new Function sheet before creating the link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30.0" customHeight="1">
      <c r="A8" s="29" t="str">
        <v> - Statistics counts test definitions. Test coverage means execution rate here, not measured code coverage. N/A/B classifications remain blank until reviewed by the tester.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34" t="str">
        <v>     Note:  Should check the formula of "Sub Total" if you add more functions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16.5" customHeight="1">
      <c r="A10" s="19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7.25" customHeight="1">
      <c r="A11" s="12" t="str">
        <v>2. Content in Test function sheet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5.0" customHeight="1">
      <c r="A12" s="46" t="str">
        <v>2.1 Combination of test cases.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ht="38.25" customHeight="1">
      <c r="A13" s="19" t="str">
        <v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3.5" customHeight="1">
      <c r="A14" s="19" t="str">
        <v> - If the number of Unit TC does not meet the requirement, creator should explain the reasons.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3.5" customHeight="1">
      <c r="A15" s="29" t="str">
        <v> - If the number of  'Normal number test cases/KLOC' item in FunctionList sheet is not recorded, the number in 'Lack of test cases' is not calculated.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3.5" customHeight="1">
      <c r="A16" s="19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5.0" customHeight="1">
      <c r="A17" s="46" t="str">
        <v> 2.2 Condition and confirmation of Test cases.</v>
      </c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ht="13.5" customHeight="1">
      <c r="A18" s="19" t="str">
        <v> Each test case is the combination of condition and confirmation.</v>
      </c>
      <c r="B18" s="19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3.5" customHeight="1">
      <c r="A19" s="46" t="str">
        <v>a. Condition: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3.5" customHeight="1">
      <c r="A20" s="19" t="str">
        <v>        - Condition is combination of precondition and values of inputs.</v>
      </c>
      <c r="B20" s="19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25.5" customHeight="1">
      <c r="A21" s="29" t="str">
        <v>        - Precondition: it is setting condition that must exist before execution of the test case. 
                    Example: file A is precondition for the test case that needs to access file A.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3.5" customHeight="1">
      <c r="A22" s="19" t="str">
        <v>        - Values of inputs: it includes 3 types of values: normal, boundary and abnormal.</v>
      </c>
      <c r="B22" s="19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3.5" customHeight="1">
      <c r="A23" s="19" t="str">
        <v>                . Normal values are values of inputs used mainly and usually to ensure the function works.</v>
      </c>
      <c r="B23" s="19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3.5" customHeight="1">
      <c r="A24" s="19" t="str">
        <v>                . Boundary values are limited values that contain upper and lower values.</v>
      </c>
      <c r="B24" s="19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3.5" customHeight="1">
      <c r="A25" s="19" t="str">
        <v>                . Abnormal values are non-expected values. And normally it processes exception cases.   </v>
      </c>
      <c r="B25" s="19"/>
      <c r="C25" s="19" t="str">
        <v> </v>
      </c>
      <c r="D25" s="19" t="str">
        <v> 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3.5" customHeight="1">
      <c r="A26" s="19" t="str">
        <v>        - For examples: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3.5" customHeight="1">
      <c r="A27" s="19" t="str">
        <v>            Input value belongs to 5&lt;= input &lt;=10.</v>
      </c>
      <c r="B27" s="19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3.5" customHeight="1">
      <c r="A28" s="19" t="str">
        <v>               . 6,7,8,9 are normal values.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3.5" customHeight="1">
      <c r="A29" s="19" t="str">
        <v>               . 5, 10 are boundary values.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3.5" customHeight="1">
      <c r="A30" s="19" t="str">
        <v>               . -1, 11,... are abnormal values.   </v>
      </c>
      <c r="B30" s="19"/>
      <c r="C30" s="19" t="str">
        <v> 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3.5" customHeight="1">
      <c r="A31" s="46" t="str">
        <v>b. Confirmation: 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30.0" customHeight="1">
      <c r="A32" s="29" t="str">
        <v>        - It is combination of expected result to check output of each function. 
          If the results are the same with confirmation, the test case is passed, other case it is failed. 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3.5" customHeight="1">
      <c r="A33" s="19" t="str">
        <v>        - Confirmation can include: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3.5" customHeight="1">
      <c r="A34" s="19" t="str">
        <v>                + Output result of the function.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3.5" customHeight="1">
      <c r="A35" s="19" t="str">
        <v>                + Output log messages in log file.</v>
      </c>
      <c r="B35" s="19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3.5" customHeight="1">
      <c r="A36" s="19" t="str">
        <v>                + Output screen message...</v>
      </c>
      <c r="B36" s="19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3.5" customHeight="1">
      <c r="A37" s="46" t="str">
        <v>c. Type of test cases and result: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3.5" customHeight="1">
      <c r="A38" s="19" t="str">
        <v>        - Type of test case: It includes normal, boundary and abnormal test cases. User selects the type based on the type of input data.</v>
      </c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38.25" customHeight="1">
      <c r="A39" s="29" t="str">
        <v> - P = Passed, F = Failed. NotRun means no verified execution evidence. Partial, Skipped and Blocked remain untested for the summary. A Theory passes only with every expected variant verified.</v>
      </c>
      <c r="B39" s="19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3.5" customHeight="1">
      <c r="A40" s="29"/>
      <c r="B40" s="19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5.0" customHeight="1">
      <c r="A41" s="46" t="str">
        <v> 2.3. Other items: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ht="13.5" customHeight="1">
      <c r="A42" s="19" t="str">
        <v> - Code Module: name of the code module and updated automatically according to FunctionList sheet.</v>
      </c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3.5" customHeight="1">
      <c r="A43" s="19" t="str">
        <v> - Method: it is name  of the code method/component and updated automatically according to FunctionList sheet.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3.5" customHeight="1">
      <c r="A44" s="19" t="str">
        <v> - Created By: Name of creator.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3.5" customHeight="1">
      <c r="A45" s="19" t="str">
        <v> - Executed By: Name of person who executes the unit test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3.5" customHeight="1">
      <c r="A46" s="19" t="str">
        <v> - Test requirement: Brief description about requirements which are tested in this function, it is not mandatory.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3.5" customHeight="1">
      <c r="A47" s="19" t="str">
        <v>         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3.5" customHeight="1">
      <c r="A48" s="19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</sheetData>
  <printOptions/>
  <pageMargins bottom="0.75" footer="0.0" header="0.0" left="0.7" right="0.7" top="0.7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0.0"/>
    <col customWidth="1" min="3" max="3" width="29.75"/>
    <col customWidth="1" min="4" max="4" width="8.0"/>
    <col customWidth="1" min="5" max="5" width="38.0"/>
    <col customWidth="1" min="6" max="6" width="48.13"/>
    <col customWidth="1" min="7" max="26" width="8.0"/>
  </cols>
  <sheetData>
    <row r="1" ht="12.75" customHeight="1">
      <c r="A1" s="1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75.75" customHeight="1">
      <c r="A2" s="11"/>
      <c r="B2" s="15" t="str">
        <v>UNIT TEST DOCUMENT</v>
      </c>
      <c r="C2" s="16"/>
      <c r="D2" s="16"/>
      <c r="E2" s="16"/>
      <c r="F2" s="17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2.75" customHeight="1">
      <c r="A3" s="22"/>
      <c r="B3" s="24"/>
      <c r="C3" s="4"/>
      <c r="D3" s="4"/>
      <c r="E3" s="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4.25" customHeight="1">
      <c r="A4" s="25" t="str">
        <v>Project Name</v>
      </c>
      <c r="B4" s="26" t="str">
        <v>TrustCabinet</v>
      </c>
      <c r="C4" s="16"/>
      <c r="D4" s="17"/>
      <c r="E4" s="25" t="str">
        <v>Creator</v>
      </c>
      <c r="F4" s="27" t="str">
        <v>TrustCabinet Team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4.25" customHeight="1">
      <c r="A5" s="25" t="str">
        <v>Project Code</v>
      </c>
      <c r="B5" s="26" t="str">
        <v>SEP490-G116</v>
      </c>
      <c r="C5" s="16"/>
      <c r="D5" s="17"/>
      <c r="E5" s="25" t="str">
        <v>Issue Date</v>
      </c>
      <c r="F5" s="28" t="str">
        <v>2026-10-23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31" t="str">
        <v>Document Code</v>
      </c>
      <c r="B6" s="32" t="str">
        <f>B5&amp;"_"&amp;B2&amp;"_"&amp;F6</f>
        <v>SEP490-G116_UNIT TEST DOCUMENT_1</v>
      </c>
      <c r="C6" s="16"/>
      <c r="D6" s="17"/>
      <c r="E6" s="25" t="str">
        <v>Version</v>
      </c>
      <c r="F6" s="33" t="str">
        <v>1.0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2.75" customHeight="1">
      <c r="A7" s="35"/>
      <c r="B7" s="24"/>
      <c r="C7" s="4"/>
      <c r="D7" s="4"/>
      <c r="E7" s="36"/>
      <c r="F7" s="2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2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2.75" customHeight="1">
      <c r="A9" s="39" t="str">
        <v>Record of change</v>
      </c>
      <c r="B9" s="40"/>
      <c r="C9" s="40"/>
      <c r="D9" s="40"/>
      <c r="E9" s="40"/>
      <c r="F9" s="40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2.75" customHeight="1">
      <c r="A10" s="42" t="str">
        <v>Effective Date</v>
      </c>
      <c r="B10" s="45" t="str">
        <v>Version</v>
      </c>
      <c r="C10" s="47" t="str">
        <v>Change Item</v>
      </c>
      <c r="D10" s="45" t="str">
        <v>*A,D,M</v>
      </c>
      <c r="E10" s="45" t="str">
        <v>Change description</v>
      </c>
      <c r="F10" s="50" t="str">
        <v>Reference</v>
      </c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ht="26.25" customHeight="1">
      <c r="A11" s="54" t="str">
        <v>2026-10-23</v>
      </c>
      <c r="B11" s="56" t="str">
        <v>1.0</v>
      </c>
      <c r="C11" s="57"/>
      <c r="D11" s="58" t="str">
        <v>A</v>
      </c>
      <c r="E11" s="60" t="str">
        <v>Generate English test documentation from TrustCabinet source using the supplied template.</v>
      </c>
      <c r="F11" s="61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33.75" customHeight="1">
      <c r="A12" s="54"/>
      <c r="B12" s="56"/>
      <c r="C12" s="64"/>
      <c r="D12" s="57"/>
      <c r="E12" s="65"/>
      <c r="F12" s="66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28.5" customHeight="1">
      <c r="A13" s="54"/>
      <c r="B13" s="56"/>
      <c r="C13" s="64"/>
      <c r="D13" s="57"/>
      <c r="E13" s="65"/>
      <c r="F13" s="66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28.5" customHeight="1">
      <c r="A14" s="54"/>
      <c r="B14" s="56"/>
      <c r="C14" s="64"/>
      <c r="D14" s="57"/>
      <c r="E14" s="65"/>
      <c r="F14" s="66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30.0" customHeight="1">
      <c r="A15" s="54"/>
      <c r="B15" s="56"/>
      <c r="C15" s="64"/>
      <c r="D15" s="71"/>
      <c r="E15" s="65"/>
      <c r="F15" s="7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25.5" customHeight="1">
      <c r="A16" s="54"/>
      <c r="B16" s="56"/>
      <c r="C16" s="64"/>
      <c r="D16" s="71"/>
      <c r="E16" s="65"/>
      <c r="F16" s="7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2.75" customHeight="1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2.75" customHeight="1">
      <c r="A18" s="1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2.75" customHeight="1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2.75" customHeight="1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</sheetData>
  <mergeCells count="4">
    <mergeCell ref="B2:F2"/>
    <mergeCell ref="B4:D4"/>
    <mergeCell ref="B5:D5"/>
    <mergeCell ref="B6:D6"/>
  </mergeCell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7.13"/>
    <col customWidth="1" min="2" max="2" width="19.25"/>
    <col customWidth="1" min="3" max="3" width="24.13"/>
    <col customWidth="1" min="4" max="4" width="24.63"/>
    <col customWidth="1" min="5" max="5" width="62.75"/>
    <col customWidth="1" min="6" max="6" width="61.13"/>
    <col customWidth="1" min="7" max="26" width="8.0"/>
  </cols>
  <sheetData>
    <row r="1" ht="12.75" customHeight="1">
      <c r="A1" s="3"/>
      <c r="B1" s="3"/>
      <c r="C1" s="5"/>
      <c r="D1" s="7"/>
      <c r="E1" s="7"/>
      <c r="F1" s="7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24.0" customHeight="1">
      <c r="A2" s="3"/>
      <c r="B2" s="3"/>
      <c r="C2" s="9" t="str">
        <v>Method List</v>
      </c>
      <c r="D2" s="9"/>
      <c r="E2" s="10"/>
      <c r="F2" s="7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3.5" customHeight="1">
      <c r="A3" s="3"/>
      <c r="B3" s="3"/>
      <c r="C3" s="5"/>
      <c r="D3" s="14"/>
      <c r="E3" s="14"/>
      <c r="F3" s="7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4.25" customHeight="1">
      <c r="A4" s="20" t="str">
        <v>Project Name</v>
      </c>
      <c r="B4" s="23"/>
      <c r="C4" s="30" t="str">
        <f>Cover!B4</f>
        <v>TrustCabinet</v>
      </c>
      <c r="D4" s="16"/>
      <c r="E4" s="16"/>
      <c r="F4" s="17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4.25" customHeight="1">
      <c r="A5" s="20" t="str">
        <v>Project Code</v>
      </c>
      <c r="B5" s="23"/>
      <c r="C5" s="30" t="str">
        <f>Cover!B5</f>
        <v>SEP490-G116</v>
      </c>
      <c r="D5" s="16"/>
      <c r="E5" s="16"/>
      <c r="F5" s="1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42" customHeight="1">
      <c r="A6" s="38" t="str">
        <v>Test Environment Setup Description</v>
      </c>
      <c r="B6" s="17"/>
      <c r="C6" s="41" t="str">
        <v>.NET 10; xUnit; source fixtures; dedicated PostgreSQL/Redis when required.</v>
      </c>
      <c r="D6" s="16"/>
      <c r="E6" s="16"/>
      <c r="F6" s="17"/>
      <c r="G6" s="43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2.75" customHeight="1">
      <c r="A7" s="49"/>
      <c r="B7" s="52"/>
      <c r="C7" s="53"/>
      <c r="D7" s="55"/>
      <c r="E7" s="55"/>
      <c r="F7" s="55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4.0" customHeight="1">
      <c r="A8" s="59" t="str">
        <v>No</v>
      </c>
      <c r="B8" s="63" t="str">
        <v>Module Name</v>
      </c>
      <c r="C8" s="67" t="str">
        <v>Method Name</v>
      </c>
      <c r="D8" s="67" t="str">
        <v>Sheet Name</v>
      </c>
      <c r="E8" s="68" t="str">
        <v>Description</v>
      </c>
      <c r="F8" s="69" t="str">
        <v>Pre-Condition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75" customHeight="1">
      <c r="A9" s="73" t="n">
        <v>1</v>
      </c>
      <c r="B9" s="74" t="str">
        <v>Access</v>
      </c>
      <c r="C9" s="75" t="str">
        <v>Every_capability_in_the_enum_is_described</v>
      </c>
      <c r="D9" s="76" t="str">
        <v>U001-Every_capability_in_the_en</v>
      </c>
      <c r="E9" s="77" t="str">
        <v>TC-CE1F11C41481 | Every capability in the enum is described</v>
      </c>
      <c r="F9" s="78" t="str">
        <v>In-process logic; fakes/stubs as declared by the source fixture. Fixture: PermissionCatalogTests. 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75" customHeight="1">
      <c r="A10" s="73" t="n">
        <v>2</v>
      </c>
      <c r="B10" s="74" t="str">
        <v>Access</v>
      </c>
      <c r="C10" s="75" t="str">
        <v>Code_is_the_enum_name_so_the_api_and_the_table_agree</v>
      </c>
      <c r="D10" s="76" t="str">
        <v>U002-Code_is_the_enum_name_so_t</v>
      </c>
      <c r="E10" s="77" t="str">
        <v>TC-E85610830366 | Code is the enum name so the api and the table agree</v>
      </c>
      <c r="F10" s="78" t="str">
        <v>In-process logic; fakes/stubs as declared by the source fixture. Fixture: PermissionCatalogTests. 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75" customHeight="1">
      <c r="A11" s="73" t="n">
        <v>3</v>
      </c>
      <c r="B11" s="74" t="str">
        <v>Access</v>
      </c>
      <c r="C11" s="75" t="str">
        <v>Matrix_lists_every_role_even_one_with_no_capabilities</v>
      </c>
      <c r="D11" s="76" t="str">
        <v>U003-Matrix_lists_every_role_ev</v>
      </c>
      <c r="E11" s="77" t="str">
        <v>TC-5D0386BFA676 | Matrix lists every role even one with no capabilities</v>
      </c>
      <c r="F11" s="78" t="str">
        <v>In-process logic; fakes/stubs as declared by the source fixture. Fixture: RolePermissionServiceTests. 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75" customHeight="1">
      <c r="A12" s="73" t="n">
        <v>4</v>
      </c>
      <c r="B12" s="74" t="str">
        <v>Access</v>
      </c>
      <c r="C12" s="75" t="str">
        <v>Matrix_lists_built_in_roles_first_then_custom_roles_by_creation</v>
      </c>
      <c r="D12" s="76" t="str">
        <v>U004-Matrix_lists_built_in_role</v>
      </c>
      <c r="E12" s="77" t="str">
        <v>TC-193E4B62B3F7 | Matrix lists built in roles first then custom roles by creation</v>
      </c>
      <c r="F12" s="78" t="str">
        <v>In-process logic; fakes/stubs as declared by the source fixture. Fixture: RolePermissionServiceTests. 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75" customHeight="1">
      <c r="A13" s="73" t="n">
        <v>5</v>
      </c>
      <c r="B13" s="74" t="str">
        <v>Access</v>
      </c>
      <c r="C13" s="75" t="str">
        <v>Matrix_returns_the_seeded_defaults</v>
      </c>
      <c r="D13" s="76" t="str">
        <v>U005-Matrix_returns_the_seeded_</v>
      </c>
      <c r="E13" s="77" t="str">
        <v>TC-C2A03F055B99 | Matrix returns the seeded defaults</v>
      </c>
      <c r="F13" s="78" t="str">
        <v>In-process logic; fakes/stubs as declared by the source fixture. Fixture: RolePermissionServiceTests. 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75" customHeight="1">
      <c r="A14" s="73" t="n">
        <v>6</v>
      </c>
      <c r="B14" s="74" t="str">
        <v>Access</v>
      </c>
      <c r="C14" s="75" t="str">
        <v>Matrix_carries_the_whole_capability_catalogue</v>
      </c>
      <c r="D14" s="76" t="str">
        <v>U006-Matrix_carries_the_whole_c</v>
      </c>
      <c r="E14" s="77" t="str">
        <v>TC-8C5F919E974B | Matrix carries the whole capability catalogue</v>
      </c>
      <c r="F14" s="78" t="str">
        <v>In-process logic; fakes/stubs as declared by the source fixture. Fixture: RolePermissionServiceTests. 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75" customHeight="1">
      <c r="A15" s="73" t="n">
        <v>7</v>
      </c>
      <c r="B15" s="74" t="str">
        <v>Access</v>
      </c>
      <c r="C15" s="75" t="str">
        <v>Update_saves_the_requested_capabilities</v>
      </c>
      <c r="D15" s="76" t="str">
        <v>U007-Update_saves_the_requested</v>
      </c>
      <c r="E15" s="77" t="str">
        <v>TC-900892A9120F | Update saves the requested capabilities</v>
      </c>
      <c r="F15" s="78" t="str">
        <v>In-process logic; fakes/stubs as declared by the source fixture. Fixture: RolePermissionServiceTests. 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75" customHeight="1">
      <c r="A16" s="73" t="n">
        <v>8</v>
      </c>
      <c r="B16" s="74" t="str">
        <v>Access</v>
      </c>
      <c r="C16" s="75" t="str">
        <v>Update_can_remove_every_capability_from_a_role</v>
      </c>
      <c r="D16" s="76" t="str">
        <v>U008-Update_can_remove_every_ca</v>
      </c>
      <c r="E16" s="77" t="str">
        <v>TC-89DF07926FFA | Update can remove every capability from a role</v>
      </c>
      <c r="F16" s="78" t="str">
        <v>In-process logic; fakes/stubs as declared by the source fixture. Fixture: RolePermissionServiceTests. 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75" customHeight="1">
      <c r="A17" s="73" t="n">
        <v>9</v>
      </c>
      <c r="B17" s="74" t="str">
        <v>Access</v>
      </c>
      <c r="C17" s="75" t="str">
        <v>Update_records_the_change_with_before_and_after</v>
      </c>
      <c r="D17" s="76" t="str">
        <v>U009-Update_records_the_change_</v>
      </c>
      <c r="E17" s="77" t="str">
        <v>TC-C6E89DBA6CD9 | Update records the change with before and after</v>
      </c>
      <c r="F17" s="78" t="str">
        <v>In-process logic; fakes/stubs as declared by the source fixture. Fixture: RolePermissionServiceTests. 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75" customHeight="1">
      <c r="A18" s="73" t="n">
        <v>10</v>
      </c>
      <c r="B18" s="74" t="str">
        <v>Access</v>
      </c>
      <c r="C18" s="75" t="str">
        <v>Update_ends_the_sessions_of_everyone_holding_the_role</v>
      </c>
      <c r="D18" s="76" t="str">
        <v>U010-Update_ends_the_sessions_o</v>
      </c>
      <c r="E18" s="77" t="str">
        <v>TC-2BD8599237D5 | Update ends the sessions of everyone holding the role</v>
      </c>
      <c r="F18" s="78" t="str">
        <v>In-process logic; fakes/stubs as declared by the source fixture. Fixture: RolePermissionServiceTests. 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75" customHeight="1">
      <c r="A19" s="73" t="n">
        <v>11</v>
      </c>
      <c r="B19" s="74" t="str">
        <v>Access</v>
      </c>
      <c r="C19" s="75" t="str">
        <v>Update_ends_sessions_when_a_capability_is_granted_too</v>
      </c>
      <c r="D19" s="76" t="str">
        <v>U011-Update_ends_sessions_when_</v>
      </c>
      <c r="E19" s="77" t="str">
        <v>TC-3007D4650663 | Update ends sessions when a capability is granted too</v>
      </c>
      <c r="F19" s="78" t="str">
        <v>In-process logic; fakes/stubs as declared by the source fixture. Fixture: RolePermissionServiceTests. 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75" customHeight="1">
      <c r="A20" s="73" t="n">
        <v>12</v>
      </c>
      <c r="B20" s="74" t="str">
        <v>Access</v>
      </c>
      <c r="C20" s="75" t="str">
        <v>Sessions_are_ended_after_the_transaction_commits_not_inside_it</v>
      </c>
      <c r="D20" s="76" t="str">
        <v>U012-Sessions_are_ended_after_t</v>
      </c>
      <c r="E20" s="77" t="str">
        <v>TC-31424EFBC8FA | Sessions are ended after the transaction commits not inside it</v>
      </c>
      <c r="F20" s="78" t="str">
        <v>In-process logic; fakes/stubs as declared by the source fixture. Fixture: RolePermissionServiceTests. 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75" customHeight="1">
      <c r="A21" s="73" t="n">
        <v>13</v>
      </c>
      <c r="B21" s="74" t="str">
        <v>Access</v>
      </c>
      <c r="C21" s="75" t="str">
        <v>The_matrix_change_survives_the_session_store_being_down</v>
      </c>
      <c r="D21" s="76" t="str">
        <v>U013-The_matrix_change_survives</v>
      </c>
      <c r="E21" s="77" t="str">
        <v>TC-B3B893AA75DD | The matrix change survives the session store being down</v>
      </c>
      <c r="F21" s="78" t="str">
        <v>In-process logic; fakes/stubs as declared by the source fixture. Fixture: RolePermissionServiceTests. 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75" customHeight="1">
      <c r="A22" s="73" t="n">
        <v>14</v>
      </c>
      <c r="B22" s="74" t="str">
        <v>Access</v>
      </c>
      <c r="C22" s="75" t="str">
        <v>One_unreachable_session_does_not_stop_the_others_being_ended</v>
      </c>
      <c r="D22" s="76" t="str">
        <v>U014-One_unreachable_session_do</v>
      </c>
      <c r="E22" s="77" t="str">
        <v>TC-9C7DD6DB1A60 | One unreachable session does not stop the others being ended</v>
      </c>
      <c r="F22" s="78" t="str">
        <v>In-process logic; fakes/stubs as declared by the source fixture. Fixture: RolePermissionServiceTests. 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75" customHeight="1">
      <c r="A23" s="73" t="n">
        <v>15</v>
      </c>
      <c r="B23" s="74" t="str">
        <v>Access</v>
      </c>
      <c r="C23" s="75" t="str">
        <v>The_update_runs_under_the_shared_invariant_lock</v>
      </c>
      <c r="D23" s="76" t="str">
        <v>U015-The_update_runs_under_the_</v>
      </c>
      <c r="E23" s="77" t="str">
        <v>TC-3A921AA12799 | The update runs under the shared invariant lock</v>
      </c>
      <c r="F23" s="78" t="str">
        <v>In-process logic; fakes/stubs as declared by the source fixture. Fixture: RolePermissionServiceTests. </v>
      </c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75" customHeight="1">
      <c r="A24" s="73" t="n">
        <v>16</v>
      </c>
      <c r="B24" s="74" t="str">
        <v>Access</v>
      </c>
      <c r="C24" s="75" t="str">
        <v>Update_that_changes_nothing_writes_nothing</v>
      </c>
      <c r="D24" s="76" t="str">
        <v>U016-Update_that_changes_nothin</v>
      </c>
      <c r="E24" s="77" t="str">
        <v>TC-E0319581521D | Update that changes nothing writes nothing</v>
      </c>
      <c r="F24" s="78" t="str">
        <v>In-process logic; fakes/stubs as declared by the source fixture. Fixture: RolePermissionServiceTests. 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75" customHeight="1">
      <c r="A25" s="73" t="n">
        <v>17</v>
      </c>
      <c r="B25" s="74" t="str">
        <v>Access</v>
      </c>
      <c r="C25" s="75" t="str">
        <v>Update_ignores_duplicates_in_the_request</v>
      </c>
      <c r="D25" s="76" t="str">
        <v>U017-Update_ignores_duplicates_</v>
      </c>
      <c r="E25" s="77" t="str">
        <v>TC-0183BF3F4986 | Update ignores duplicates in the request</v>
      </c>
      <c r="F25" s="78" t="str">
        <v>In-process logic; fakes/stubs as declared by the source fixture. Fixture: RolePermissionServiceTests. 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75" customHeight="1">
      <c r="A26" s="73" t="n">
        <v>18</v>
      </c>
      <c r="B26" s="74" t="str">
        <v>Access</v>
      </c>
      <c r="C26" s="75" t="str">
        <v>Update_refuses_to_remove_admin_users_from_the_last_role_holding_it</v>
      </c>
      <c r="D26" s="76" t="str">
        <v>U018-Update_refuses_to_remove_a</v>
      </c>
      <c r="E26" s="77" t="str">
        <v>TC-81BB7FE91B69 | Update refuses to remove admin users from the last role holding it</v>
      </c>
      <c r="F26" s="78" t="str">
        <v>In-process logic; fakes/stubs as declared by the source fixture. Fixture: RolePermissionServiceTests. 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75" customHeight="1">
      <c r="A27" s="73" t="n">
        <v>19</v>
      </c>
      <c r="B27" s="74" t="str">
        <v>Access</v>
      </c>
      <c r="C27" s="75" t="str">
        <v>Update_allows_moving_admin_users_to_a_role_that_has_active_users</v>
      </c>
      <c r="D27" s="76" t="str">
        <v>U019-Update_allows_moving_admin</v>
      </c>
      <c r="E27" s="77" t="str">
        <v>TC-CC897497965C | Update allows moving admin users to a role that has active users</v>
      </c>
      <c r="F27" s="78" t="str">
        <v>In-process logic; fakes/stubs as declared by the source fixture. Fixture: RolePermissionServiceTests. 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75" customHeight="1">
      <c r="A28" s="73" t="n">
        <v>20</v>
      </c>
      <c r="B28" s="74" t="str">
        <v>Access</v>
      </c>
      <c r="C28" s="75" t="str">
        <v>Update_refuses_to_move_admin_users_to_a_role_nobody_holds</v>
      </c>
      <c r="D28" s="76" t="str">
        <v>U020-Update_refuses_to_move_adm</v>
      </c>
      <c r="E28" s="77" t="str">
        <v>TC-787B61D0FF82 | Update refuses to move admin users to a role nobody holds</v>
      </c>
      <c r="F28" s="78" t="str">
        <v>In-process logic; fakes/stubs as declared by the source fixture. Fixture: RolePermissionServiceTests. 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75" customHeight="1">
      <c r="A29" s="73" t="n">
        <v>21</v>
      </c>
      <c r="B29" s="74" t="str">
        <v>Access</v>
      </c>
      <c r="C29" s="75" t="str">
        <v>Update_refuses_when_the_only_administrator_account_is_inactive</v>
      </c>
      <c r="D29" s="76" t="str">
        <v>U021-Update_refuses_when_the_on</v>
      </c>
      <c r="E29" s="77" t="str">
        <v>TC-2FB41A5CCCC7 | Update refuses when the only administrator account is inactive</v>
      </c>
      <c r="F29" s="78" t="str">
        <v>In-process logic; fakes/stubs as declared by the source fixture. Fixture: RolePermissionServiceTests. 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75" customHeight="1">
      <c r="A30" s="73" t="n">
        <v>22</v>
      </c>
      <c r="B30" s="74" t="str">
        <v>Access</v>
      </c>
      <c r="C30" s="75" t="str">
        <v>Granting_admin_users_to_a_role_with_users_is_allowed</v>
      </c>
      <c r="D30" s="76" t="str">
        <v>U022-Granting_admin_users_to_a_</v>
      </c>
      <c r="E30" s="77" t="str">
        <v>TC-140DE33FC935 | Granting admin users to a role with users is allowed</v>
      </c>
      <c r="F30" s="78" t="str">
        <v>In-process logic; fakes/stubs as declared by the source fixture. Fixture: RolePermissionServiceTests. 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75" customHeight="1">
      <c r="A31" s="73" t="n">
        <v>23</v>
      </c>
      <c r="B31" s="74" t="str">
        <v>Access</v>
      </c>
      <c r="C31" s="75" t="str">
        <v>Update_refuses_an_unknown_role</v>
      </c>
      <c r="D31" s="76" t="str">
        <v>U023-Update_refuses_an_unknown_</v>
      </c>
      <c r="E31" s="77" t="str">
        <v>TC-7711E4A95EB7 | Update refuses an unknown role</v>
      </c>
      <c r="F31" s="78" t="str">
        <v>In-process logic; fakes/stubs as declared by the source fixture. Fixture: RolePermissionServiceTests. </v>
      </c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75" customHeight="1">
      <c r="A32" s="73" t="n">
        <v>24</v>
      </c>
      <c r="B32" s="74" t="str">
        <v>Access</v>
      </c>
      <c r="C32" s="75" t="str">
        <v>Update_configures_a_custom_role_like_any_other</v>
      </c>
      <c r="D32" s="76" t="str">
        <v>U024-Update_configures_a_custom</v>
      </c>
      <c r="E32" s="77" t="str">
        <v>TC-FAECB506BC41 | Update configures a custom role like any other</v>
      </c>
      <c r="F32" s="78" t="str">
        <v>In-process logic; fakes/stubs as declared by the source fixture. Fixture: RolePermissionServiceTests. </v>
      </c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75" customHeight="1">
      <c r="A33" s="73" t="n">
        <v>25</v>
      </c>
      <c r="B33" s="74" t="str">
        <v>Access</v>
      </c>
      <c r="C33" s="75" t="str">
        <v>A_custom_role_can_take_over_administration</v>
      </c>
      <c r="D33" s="76" t="str">
        <v>U025-A_custom_role_can_take_ove</v>
      </c>
      <c r="E33" s="77" t="str">
        <v>TC-78D98A44D0CB | A custom role can take over administration</v>
      </c>
      <c r="F33" s="78" t="str">
        <v>In-process logic; fakes/stubs as declared by the source fixture. Fixture: RolePermissionServiceTests. 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75" customHeight="1">
      <c r="A34" s="73" t="n">
        <v>26</v>
      </c>
      <c r="B34" s="74" t="str">
        <v>Access</v>
      </c>
      <c r="C34" s="75" t="str">
        <v>Update_refuses_an_unknown_capability</v>
      </c>
      <c r="D34" s="76" t="str">
        <v>U026-Update_refuses_an_unknown_</v>
      </c>
      <c r="E34" s="77" t="str">
        <v>TC-C4FB87F98FB4 | Update refuses an unknown capability</v>
      </c>
      <c r="F34" s="78" t="str">
        <v>In-process logic; fakes/stubs as declared by the source fixture. Fixture: RolePermissionServiceTests. 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75" customHeight="1">
      <c r="A35" s="73" t="n">
        <v>27</v>
      </c>
      <c r="B35" s="74" t="str">
        <v>Access</v>
      </c>
      <c r="C35" s="75" t="str">
        <v>Update_answers_save_failed_when_the_database_refuses</v>
      </c>
      <c r="D35" s="76" t="str">
        <v>U027-Update_answers_save_failed</v>
      </c>
      <c r="E35" s="77" t="str">
        <v>TC-18974E58AF4C | Update answers save failed when the database refuses</v>
      </c>
      <c r="F35" s="78" t="str">
        <v>In-process logic; fakes/stubs as declared by the source fixture. Fixture: RolePermissionServiceTests. 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75" customHeight="1">
      <c r="A36" s="73" t="n">
        <v>28</v>
      </c>
      <c r="B36" s="74" t="str">
        <v>Access</v>
      </c>
      <c r="C36" s="75" t="str">
        <v>List_puts_built_in_roles_first_then_custom_roles_by_creation</v>
      </c>
      <c r="D36" s="76" t="str">
        <v>U028-List_puts_built_in_roles_f</v>
      </c>
      <c r="E36" s="77" t="str">
        <v>TC-F385CF1EB64D | List puts built in roles first then custom roles by creation</v>
      </c>
      <c r="F36" s="78" t="str">
        <v>In-process logic; fakes/stubs as declared by the source fixture. Fixture: RoleServiceTests. 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75" customHeight="1">
      <c r="A37" s="73" t="n">
        <v>29</v>
      </c>
      <c r="B37" s="74" t="str">
        <v>Access</v>
      </c>
      <c r="C37" s="75" t="str">
        <v>Create_saves_the_role_with_its_capabilities_and_answers_with_it</v>
      </c>
      <c r="D37" s="76" t="str">
        <v>U029-Create_saves_the_role_with</v>
      </c>
      <c r="E37" s="77" t="str">
        <v>TC-7F66B7AF90DF | Create saves the role with its capabilities and answers with it</v>
      </c>
      <c r="F37" s="78" t="str">
        <v>In-process logic; fakes/stubs as declared by the source fixture. Fixture: RoleServiceTests. </v>
      </c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75" customHeight="1">
      <c r="A38" s="73" t="n">
        <v>30</v>
      </c>
      <c r="B38" s="74" t="str">
        <v>Access</v>
      </c>
      <c r="C38" s="75" t="str">
        <v>Create_records_role_created_with_what_was_created</v>
      </c>
      <c r="D38" s="76" t="str">
        <v>U030-Create_records_role_create</v>
      </c>
      <c r="E38" s="77" t="str">
        <v>TC-3EE5C1591BA1 | Create records role created with what was created</v>
      </c>
      <c r="F38" s="78" t="str">
        <v>In-process logic; fakes/stubs as declared by the source fixture. Fixture: RoleServiceTests. 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75" customHeight="1">
      <c r="A39" s="73" t="n">
        <v>31</v>
      </c>
      <c r="B39" s="74" t="str">
        <v>Access</v>
      </c>
      <c r="C39" s="75" t="str">
        <v>Create_goes_through_the_administrator_invariant_guard</v>
      </c>
      <c r="D39" s="76" t="str">
        <v>U031-Create_goes_through_the_ad</v>
      </c>
      <c r="E39" s="77" t="str">
        <v>TC-5B0C75409E86 | Create goes through the administrator invariant guard</v>
      </c>
      <c r="F39" s="78" t="str">
        <v>In-process logic; fakes/stubs as declared by the source fixture. Fixture: RoleServiceTests. 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75" customHeight="1">
      <c r="A40" s="73" t="n">
        <v>32</v>
      </c>
      <c r="B40" s="74" t="str">
        <v>Access</v>
      </c>
      <c r="C40" s="75" t="str">
        <v>Create_without_capabilities_is_valid</v>
      </c>
      <c r="D40" s="76" t="str">
        <v>U032-Create_without_capabilitie</v>
      </c>
      <c r="E40" s="77" t="str">
        <v>TC-FD215F099D9F | Create without capabilities is valid</v>
      </c>
      <c r="F40" s="78" t="str">
        <v>In-process logic; fakes/stubs as declared by the source fixture. Fixture: RoleServiceTests. 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75" customHeight="1">
      <c r="A41" s="73" t="n">
        <v>33</v>
      </c>
      <c r="B41" s="74" t="str">
        <v>Access</v>
      </c>
      <c r="C41" s="75" t="str">
        <v>Create_trims_the_name_and_collapses_inner_whitespace</v>
      </c>
      <c r="D41" s="76" t="str">
        <v>U033-Create_trims_the_name_and_</v>
      </c>
      <c r="E41" s="77" t="str">
        <v>TC-36ECB0645A06 | Create trims the name and collapses inner whitespace</v>
      </c>
      <c r="F41" s="78" t="str">
        <v>In-process logic; fakes/stubs as declared by the source fixture. Fixture: RoleServiceTests. 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75" customHeight="1">
      <c r="A42" s="73" t="n">
        <v>34</v>
      </c>
      <c r="B42" s="74" t="str">
        <v>Access</v>
      </c>
      <c r="C42" s="75" t="str">
        <v>Create_stores_a_blank_description_as_null</v>
      </c>
      <c r="D42" s="76" t="str">
        <v>U034-Create_stores_a_blank_desc</v>
      </c>
      <c r="E42" s="77" t="str">
        <v>TC-7D443EFC307A | Create stores a blank description as null</v>
      </c>
      <c r="F42" s="78" t="str">
        <v>In-process logic; fakes/stubs as declared by the source fixture. Fixture: RoleServiceTests. 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75" customHeight="1">
      <c r="A43" s="73" t="n">
        <v>35</v>
      </c>
      <c r="B43" s="74" t="str">
        <v>Access</v>
      </c>
      <c r="C43" s="75" t="str">
        <v>Create_answers_MSG20_for_a_missing_name</v>
      </c>
      <c r="D43" s="76" t="str">
        <v>U035-Create_answers_MSG20_for_a</v>
      </c>
      <c r="E43" s="77" t="str">
        <v>TC-EBA458CD04E8 | Create answers MSG20 for a missing name</v>
      </c>
      <c r="F43" s="78" t="str">
        <v>In-process logic; fakes/stubs as declared by the source fixture. Fixture: RoleServiceTests. 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75" customHeight="1">
      <c r="A44" s="73" t="n">
        <v>36</v>
      </c>
      <c r="B44" s="74" t="str">
        <v>Access</v>
      </c>
      <c r="C44" s="75" t="str">
        <v>Create_accepts_64_characters_and_refuses_65</v>
      </c>
      <c r="D44" s="76" t="str">
        <v>U036-Create_accepts_64_characte</v>
      </c>
      <c r="E44" s="77" t="str">
        <v>TC-1CAE1F25AC41 | Create accepts 64 characters and refuses 65</v>
      </c>
      <c r="F44" s="78" t="str">
        <v>In-process logic; fakes/stubs as declared by the source fixture. Fixture: RoleServiceTests. 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75" customHeight="1">
      <c r="A45" s="73" t="n">
        <v>37</v>
      </c>
      <c r="B45" s="74" t="str">
        <v>Access</v>
      </c>
      <c r="C45" s="75" t="str">
        <v>Create_measures_the_name_after_collapsing_whitespace</v>
      </c>
      <c r="D45" s="76" t="str">
        <v>U037-Create_measures_the_name_a</v>
      </c>
      <c r="E45" s="77" t="str">
        <v>TC-2DA476EB37FC | Create measures the name after collapsing whitespace</v>
      </c>
      <c r="F45" s="78" t="str">
        <v>In-process logic; fakes/stubs as declared by the source fixture. Fixture: RoleServiceTests. 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75" customHeight="1">
      <c r="A46" s="73" t="n">
        <v>38</v>
      </c>
      <c r="B46" s="74" t="str">
        <v>Access</v>
      </c>
      <c r="C46" s="75" t="str">
        <v>Create_refuses_a_description_over_256_characters</v>
      </c>
      <c r="D46" s="76" t="str">
        <v>U038-Create_refuses_a_descripti</v>
      </c>
      <c r="E46" s="77" t="str">
        <v>TC-4DD51518FAD9 | Create refuses a description over 256 characters</v>
      </c>
      <c r="F46" s="78" t="str">
        <v>In-process logic; fakes/stubs as declared by the source fixture. Fixture: RoleServiceTests. 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75" customHeight="1">
      <c r="A47" s="73" t="n">
        <v>39</v>
      </c>
      <c r="B47" s="74" t="str">
        <v>Access</v>
      </c>
      <c r="C47" s="75" t="str">
        <v>Create_names_every_unknown_capability</v>
      </c>
      <c r="D47" s="76" t="str">
        <v>U039-Create_names_every_unknown</v>
      </c>
      <c r="E47" s="77" t="str">
        <v>TC-40326138D80A | Create names every unknown capability</v>
      </c>
      <c r="F47" s="78" t="str">
        <v>In-process logic; fakes/stubs as declared by the source fixture. Fixture: RoleServiceTests. 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75" customHeight="1">
      <c r="A48" s="73" t="n">
        <v>40</v>
      </c>
      <c r="B48" s="74" t="str">
        <v>Access</v>
      </c>
      <c r="C48" s="75" t="str">
        <v>Create_refuses_a_capability_given_as_a_number</v>
      </c>
      <c r="D48" s="76" t="str">
        <v>U040-Create_refuses_a_capabilit</v>
      </c>
      <c r="E48" s="77" t="str">
        <v>TC-978A93613C7D | Create refuses a capability given as a number</v>
      </c>
      <c r="F48" s="78" t="str">
        <v>In-process logic; fakes/stubs as declared by the source fixture. Fixture: RoleServiceTests. 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75" customHeight="1">
      <c r="A49" s="73" t="n">
        <v>41</v>
      </c>
      <c r="B49" s="74" t="str">
        <v>Access</v>
      </c>
      <c r="C49" s="75" t="str">
        <v>Create_names_a_null_capability_rather_than_leaving_a_blank</v>
      </c>
      <c r="D49" s="76" t="str">
        <v>U041-Create_names_a_null_capabi</v>
      </c>
      <c r="E49" s="77" t="str">
        <v>TC-F964F9E9711A | Create names a null capability rather than leaving a blank</v>
      </c>
      <c r="F49" s="78" t="str">
        <v>In-process logic; fakes/stubs as declared by the source fixture. Fixture: RoleServiceTests. 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75" customHeight="1">
      <c r="A50" s="73" t="n">
        <v>42</v>
      </c>
      <c r="B50" s="74" t="str">
        <v>Access</v>
      </c>
      <c r="C50" s="75" t="str">
        <v>Create_reports_every_invalid_field_at_once</v>
      </c>
      <c r="D50" s="76" t="str">
        <v>U042-Create_reports_every_inval</v>
      </c>
      <c r="E50" s="77" t="str">
        <v>TC-EFA26A675C05 | Create reports every invalid field at once</v>
      </c>
      <c r="F50" s="78" t="str">
        <v>In-process logic; fakes/stubs as declared by the source fixture. Fixture: RoleServiceTests. 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75" customHeight="1">
      <c r="A51" s="73" t="n">
        <v>43</v>
      </c>
      <c r="B51" s="74" t="str">
        <v>Access</v>
      </c>
      <c r="C51" s="75" t="str">
        <v>Create_accepts_capability_codes_in_any_casing_and_ignores_repeats</v>
      </c>
      <c r="D51" s="76" t="str">
        <v>U043-Create_accepts_capability_</v>
      </c>
      <c r="E51" s="77" t="str">
        <v>TC-8004B9AC46E4 | Create accepts capability codes in any casing and ignores repeats</v>
      </c>
      <c r="F51" s="78" t="str">
        <v>In-process logic; fakes/stubs as declared by the source fixture. Fixture: RoleServiceTests. </v>
      </c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75" customHeight="1">
      <c r="A52" s="73" t="n">
        <v>44</v>
      </c>
      <c r="B52" s="74" t="str">
        <v>Access</v>
      </c>
      <c r="C52" s="75" t="str">
        <v>Create_answers_MSG21_for_a_name_already_used_in_any_casing</v>
      </c>
      <c r="D52" s="76" t="str">
        <v>U044-Create_answers_MSG21_for_a</v>
      </c>
      <c r="E52" s="77" t="str">
        <v>TC-9FF62E218DAF | Create answers MSG21 for a name already used in any casing</v>
      </c>
      <c r="F52" s="78" t="str">
        <v>In-process logic; fakes/stubs as declared by the source fixture. Fixture: RoleServiceTests. </v>
      </c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75" customHeight="1">
      <c r="A53" s="73" t="n">
        <v>45</v>
      </c>
      <c r="B53" s="74" t="str">
        <v>Access</v>
      </c>
      <c r="C53" s="75" t="str">
        <v>Create_answers_MSG21_for_the_same_name_typed_with_combining_marks</v>
      </c>
      <c r="D53" s="76" t="str">
        <v>U045-Create_answers_MSG21_for_t</v>
      </c>
      <c r="E53" s="77" t="str">
        <v>TC-29D83636374E | Create answers MSG21 for the same name typed with combining marks</v>
      </c>
      <c r="F53" s="78" t="str">
        <v>In-process logic; fakes/stubs as declared by the source fixture. Fixture: RoleServiceTests. </v>
      </c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75" customHeight="1">
      <c r="A54" s="73" t="n">
        <v>46</v>
      </c>
      <c r="B54" s="74" t="str">
        <v>Access</v>
      </c>
      <c r="C54" s="75" t="str">
        <v>Create_stores_the_name_in_NFC_and_measures_it_that_way</v>
      </c>
      <c r="D54" s="76" t="str">
        <v>U046-Create_stores_the_name_in_</v>
      </c>
      <c r="E54" s="77" t="str">
        <v>TC-B96F5BD4331D | Create stores the name in NFC and measures it that way</v>
      </c>
      <c r="F54" s="78" t="str">
        <v>In-process logic; fakes/stubs as declared by the source fixture. Fixture: RoleServiceTests. </v>
      </c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75" customHeight="1">
      <c r="A55" s="73" t="n">
        <v>47</v>
      </c>
      <c r="B55" s="74" t="str">
        <v>Access</v>
      </c>
      <c r="C55" s="75" t="str">
        <v>Create_answers_MSG21_for_the_name_of_a_built_in_role</v>
      </c>
      <c r="D55" s="76" t="str">
        <v>U047-Create_answers_MSG21_for_t</v>
      </c>
      <c r="E55" s="77" t="str">
        <v>TC-9A491412051D | Create answers MSG21 for the name of a built in role</v>
      </c>
      <c r="F55" s="78" t="str">
        <v>In-process logic; fakes/stubs as declared by the source fixture. Fixture: RoleServiceTests. </v>
      </c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75" customHeight="1">
      <c r="A56" s="73" t="n">
        <v>48</v>
      </c>
      <c r="B56" s="74" t="str">
        <v>Access</v>
      </c>
      <c r="C56" s="75" t="str">
        <v>Create_answers_MSG21_when_the_unique_index_catches_a_race</v>
      </c>
      <c r="D56" s="76" t="str">
        <v>U048-Create_answers_MSG21_when_</v>
      </c>
      <c r="E56" s="77" t="str">
        <v>TC-383D6C9A6A0E | Create answers MSG21 when the unique index catches a race</v>
      </c>
      <c r="F56" s="78" t="str">
        <v>In-process logic; fakes/stubs as declared by the source fixture. Fixture: RoleServiceTests. 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75" customHeight="1">
      <c r="A57" s="73" t="n">
        <v>49</v>
      </c>
      <c r="B57" s="74" t="str">
        <v>Access</v>
      </c>
      <c r="C57" s="75" t="str">
        <v>Create_answers_save_failed_when_the_database_refuses_for_another_reason</v>
      </c>
      <c r="D57" s="76" t="str">
        <v>U049-Create_answers_save_failed</v>
      </c>
      <c r="E57" s="77" t="str">
        <v>TC-6320F062716B | Create answers save failed when the database refuses for another reason</v>
      </c>
      <c r="F57" s="78" t="str">
        <v>In-process logic; fakes/stubs as declared by the source fixture. Fixture: RoleServiceTests. 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75" customHeight="1">
      <c r="A58" s="73" t="n">
        <v>50</v>
      </c>
      <c r="B58" s="74" t="str">
        <v>Access</v>
      </c>
      <c r="C58" s="75" t="str">
        <v>Update_renames_a_custom_role_and_answers_with_it</v>
      </c>
      <c r="D58" s="76" t="str">
        <v>U050-Update_renames_a_custom_ro</v>
      </c>
      <c r="E58" s="77" t="str">
        <v>TC-BAAA276793AA | Update renames a custom role and answers with it</v>
      </c>
      <c r="F58" s="78" t="str">
        <v>In-process logic; fakes/stubs as declared by the source fixture. Fixture: RoleServiceTests. </v>
      </c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75" customHeight="1">
      <c r="A59" s="73" t="n">
        <v>51</v>
      </c>
      <c r="B59" s="74" t="str">
        <v>Access</v>
      </c>
      <c r="C59" s="75" t="str">
        <v>Update_records_before_and_after</v>
      </c>
      <c r="D59" s="76" t="str">
        <v>U051-Update_records_before_and_</v>
      </c>
      <c r="E59" s="77" t="str">
        <v>TC-93F6D2AA0432 | Update records before and after</v>
      </c>
      <c r="F59" s="78" t="str">
        <v>In-process logic; fakes/stubs as declared by the source fixture. Fixture: RoleServiceTests. </v>
      </c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75" customHeight="1">
      <c r="A60" s="73" t="n">
        <v>52</v>
      </c>
      <c r="B60" s="74" t="str">
        <v>Access</v>
      </c>
      <c r="C60" s="75" t="str">
        <v>Update_does_not_take_the_invariant_guard</v>
      </c>
      <c r="D60" s="76" t="str">
        <v>U052-Update_does_not_take_the_i</v>
      </c>
      <c r="E60" s="77" t="str">
        <v>TC-7D2BFE2A44E6 | Update does not take the invariant guard</v>
      </c>
      <c r="F60" s="78" t="str">
        <v>In-process logic; fakes/stubs as declared by the source fixture. Fixture: RoleServiceTests. 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75" customHeight="1">
      <c r="A61" s="73" t="n">
        <v>53</v>
      </c>
      <c r="B61" s="74" t="str">
        <v>Access</v>
      </c>
      <c r="C61" s="75" t="str">
        <v>Update_answers_not_found_for_an_unknown_role</v>
      </c>
      <c r="D61" s="76" t="str">
        <v>U053-Update_answers_not_found_f</v>
      </c>
      <c r="E61" s="77" t="str">
        <v>TC-734C7F5728A9 | Update answers not found for an unknown role</v>
      </c>
      <c r="F61" s="78" t="str">
        <v>In-process logic; fakes/stubs as declared by the source fixture. Fixture: RoleServiceTests. </v>
      </c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75" customHeight="1">
      <c r="A62" s="73" t="n">
        <v>54</v>
      </c>
      <c r="B62" s="74" t="str">
        <v>Access</v>
      </c>
      <c r="C62" s="75" t="str">
        <v>Update_answers_MSG24_for_every_built_in_role</v>
      </c>
      <c r="D62" s="76" t="str">
        <v>U054-Update_answers_MSG24_for_e</v>
      </c>
      <c r="E62" s="77" t="str">
        <v>TC-4425E215DCC9 | Update answers MSG24 for every built in role</v>
      </c>
      <c r="F62" s="78" t="str">
        <v>In-process logic; fakes/stubs as declared by the source fixture. Fixture: RoleServiceTests. </v>
      </c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75" customHeight="1">
      <c r="A63" s="73" t="n">
        <v>55</v>
      </c>
      <c r="B63" s="74" t="str">
        <v>Access</v>
      </c>
      <c r="C63" s="75" t="str">
        <v>Update_answers_MSG24_before_validating</v>
      </c>
      <c r="D63" s="76" t="str">
        <v>U055-Update_answers_MSG24_befor</v>
      </c>
      <c r="E63" s="77" t="str">
        <v>TC-E07C252FCC8C | Update answers MSG24 before validating</v>
      </c>
      <c r="F63" s="78" t="str">
        <v>In-process logic; fakes/stubs as declared by the source fixture. Fixture: RoleServiceTests. </v>
      </c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75" customHeight="1">
      <c r="A64" s="73" t="n">
        <v>56</v>
      </c>
      <c r="B64" s="74" t="str">
        <v>Access</v>
      </c>
      <c r="C64" s="75" t="str">
        <v>Update_answers_MSG20_for_invalid_information</v>
      </c>
      <c r="D64" s="76" t="str">
        <v>U056-Update_answers_MSG20_for_i</v>
      </c>
      <c r="E64" s="77" t="str">
        <v>TC-82A806443069 | Update answers MSG20 for invalid information</v>
      </c>
      <c r="F64" s="78" t="str">
        <v>In-process logic; fakes/stubs as declared by the source fixture. Fixture: RoleServiceTests. </v>
      </c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75" customHeight="1">
      <c r="A65" s="73" t="n">
        <v>57</v>
      </c>
      <c r="B65" s="74" t="str">
        <v>Access</v>
      </c>
      <c r="C65" s="75" t="str">
        <v>Update_answers_MSG21_for_the_name_of_another_role</v>
      </c>
      <c r="D65" s="76" t="str">
        <v>U057-Update_answers_MSG21_for_t</v>
      </c>
      <c r="E65" s="77" t="str">
        <v>TC-B8AF2F3A46F5 | Update answers MSG21 for the name of another role</v>
      </c>
      <c r="F65" s="78" t="str">
        <v>In-process logic; fakes/stubs as declared by the source fixture. Fixture: RoleServiceTests. </v>
      </c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75" customHeight="1">
      <c r="A66" s="73" t="n">
        <v>58</v>
      </c>
      <c r="B66" s="74" t="str">
        <v>Access</v>
      </c>
      <c r="C66" s="75" t="str">
        <v>Update_may_change_only_the_case_of_its_own_name</v>
      </c>
      <c r="D66" s="76" t="str">
        <v>U058-Update_may_change_only_the</v>
      </c>
      <c r="E66" s="77" t="str">
        <v>TC-9782E7837947 | Update may change only the case of its own name</v>
      </c>
      <c r="F66" s="78" t="str">
        <v>In-process logic; fakes/stubs as declared by the source fixture. Fixture: RoleServiceTests. </v>
      </c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75" customHeight="1">
      <c r="A67" s="73" t="n">
        <v>59</v>
      </c>
      <c r="B67" s="74" t="str">
        <v>Access</v>
      </c>
      <c r="C67" s="75" t="str">
        <v>Update_with_nothing_changed_answers_MSG22_but_writes_nothing</v>
      </c>
      <c r="D67" s="76" t="str">
        <v>U059-Update_with_nothing_change</v>
      </c>
      <c r="E67" s="77" t="str">
        <v>TC-4C1129FE73F2 | Update with nothing changed answers MSG22 but writes nothing</v>
      </c>
      <c r="F67" s="78" t="str">
        <v>In-process logic; fakes/stubs as declared by the source fixture. Fixture: RoleServiceTests. </v>
      </c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75" customHeight="1">
      <c r="A68" s="73" t="n">
        <v>60</v>
      </c>
      <c r="B68" s="74" t="str">
        <v>Access</v>
      </c>
      <c r="C68" s="75" t="str">
        <v>Update_answers_MSG21_when_the_unique_index_catches_a_race</v>
      </c>
      <c r="D68" s="76" t="str">
        <v>U060-Update_answers_MSG21_when_</v>
      </c>
      <c r="E68" s="77" t="str">
        <v>TC-1936661D68DC | Update answers MSG21 when the unique index catches a race</v>
      </c>
      <c r="F68" s="78" t="str">
        <v>In-process logic; fakes/stubs as declared by the source fixture. Fixture: RoleServiceTests. </v>
      </c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75" customHeight="1">
      <c r="A69" s="73" t="n">
        <v>61</v>
      </c>
      <c r="B69" s="74" t="str">
        <v>Access</v>
      </c>
      <c r="C69" s="75" t="str">
        <v>Update_answers_not_found_when_the_role_was_deleted_before_the_save</v>
      </c>
      <c r="D69" s="76" t="str">
        <v>U061-Update_answers_not_found_w</v>
      </c>
      <c r="E69" s="77" t="str">
        <v>TC-CEBBE2B17BAC | Update answers not found when the role was deleted before the save</v>
      </c>
      <c r="F69" s="78" t="str">
        <v>In-process logic; fakes/stubs as declared by the source fixture. Fixture: RoleServiceTests. </v>
      </c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75" customHeight="1">
      <c r="A70" s="73" t="n">
        <v>62</v>
      </c>
      <c r="B70" s="74" t="str">
        <v>Access</v>
      </c>
      <c r="C70" s="75" t="str">
        <v>Update_answers_save_failed_when_the_database_refuses</v>
      </c>
      <c r="D70" s="76" t="str">
        <v>U062-Update_answers_save_failed</v>
      </c>
      <c r="E70" s="77" t="str">
        <v>TC-9896ADF19818 | Update answers save failed when the database refuses</v>
      </c>
      <c r="F70" s="78" t="str">
        <v>In-process logic; fakes/stubs as declared by the source fixture. Fixture: RoleServiceTests. </v>
      </c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75" customHeight="1">
      <c r="A71" s="73" t="n">
        <v>63</v>
      </c>
      <c r="B71" s="74" t="str">
        <v>Access</v>
      </c>
      <c r="C71" s="75" t="str">
        <v>Delete_removes_a_custom_role_nobody_holds_and_its_capabilities</v>
      </c>
      <c r="D71" s="76" t="str">
        <v>U063-Delete_removes_a_custom_ro</v>
      </c>
      <c r="E71" s="77" t="str">
        <v>TC-D44C74D10F41 | Delete removes a custom role nobody holds and its capabilities</v>
      </c>
      <c r="F71" s="78" t="str">
        <v>In-process logic; fakes/stubs as declared by the source fixture. Fixture: RoleServiceTests. 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75" customHeight="1">
      <c r="A72" s="73" t="n">
        <v>64</v>
      </c>
      <c r="B72" s="74" t="str">
        <v>Access</v>
      </c>
      <c r="C72" s="75" t="str">
        <v>Delete_records_the_name_and_capabilities_that_are_about_to_disappear</v>
      </c>
      <c r="D72" s="76" t="str">
        <v>U064-Delete_records_the_name_an</v>
      </c>
      <c r="E72" s="77" t="str">
        <v>TC-0B31637156BF | Delete records the name and capabilities that are about to disappear</v>
      </c>
      <c r="F72" s="78" t="str">
        <v>In-process logic; fakes/stubs as declared by the source fixture. Fixture: RoleServiceTests. 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75" customHeight="1">
      <c r="A73" s="73" t="n">
        <v>65</v>
      </c>
      <c r="B73" s="74" t="str">
        <v>Access</v>
      </c>
      <c r="C73" s="75" t="str">
        <v>Delete_goes_through_the_administrator_invariant_guard</v>
      </c>
      <c r="D73" s="76" t="str">
        <v>U065-Delete_goes_through_the_ad</v>
      </c>
      <c r="E73" s="77" t="str">
        <v>TC-271664B7144D | Delete goes through the administrator invariant guard</v>
      </c>
      <c r="F73" s="78" t="str">
        <v>In-process logic; fakes/stubs as declared by the source fixture. Fixture: RoleServiceTests. 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75" customHeight="1">
      <c r="A74" s="73" t="n">
        <v>66</v>
      </c>
      <c r="B74" s="74" t="str">
        <v>Access</v>
      </c>
      <c r="C74" s="75" t="str">
        <v>Delete_answers_not_found_for_an_unknown_role</v>
      </c>
      <c r="D74" s="76" t="str">
        <v>U066-Delete_answers_not_found_f</v>
      </c>
      <c r="E74" s="77" t="str">
        <v>TC-2FF48754DF47 | Delete answers not found for an unknown role</v>
      </c>
      <c r="F74" s="78" t="str">
        <v>In-process logic; fakes/stubs as declared by the source fixture. Fixture: RoleServiceTests. 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75" customHeight="1">
      <c r="A75" s="73" t="n">
        <v>67</v>
      </c>
      <c r="B75" s="74" t="str">
        <v>Access</v>
      </c>
      <c r="C75" s="75" t="str">
        <v>Delete_answers_MSG24_for_every_built_in_role_even_one_nobody_holds</v>
      </c>
      <c r="D75" s="76" t="str">
        <v>U067-Delete_answers_MSG24_for_e</v>
      </c>
      <c r="E75" s="77" t="str">
        <v>TC-C0714420CB3D | Delete answers MSG24 for every built in role even one nobody holds</v>
      </c>
      <c r="F75" s="78" t="str">
        <v>In-process logic; fakes/stubs as declared by the source fixture. Fixture: RoleServiceTests. 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75" customHeight="1">
      <c r="A76" s="73" t="n">
        <v>68</v>
      </c>
      <c r="B76" s="74" t="str">
        <v>Access</v>
      </c>
      <c r="C76" s="75" t="str">
        <v>Delete_answers_MSG25_with_the_count_while_accounts_hold_the_role</v>
      </c>
      <c r="D76" s="76" t="str">
        <v>U068-Delete_answers_MSG25_with_</v>
      </c>
      <c r="E76" s="77" t="str">
        <v>TC-B567CB2E9DCA | Delete answers MSG25 with the count while accounts hold the role</v>
      </c>
      <c r="F76" s="78" t="str">
        <v>In-process logic; fakes/stubs as declared by the source fixture. Fixture: RoleServiceTests. 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75" customHeight="1">
      <c r="A77" s="73" t="n">
        <v>69</v>
      </c>
      <c r="B77" s="74" t="str">
        <v>Access</v>
      </c>
      <c r="C77" s="75" t="str">
        <v>Delete_answers_MSG25_when_someone_was_given_the_role_in_the_meantime</v>
      </c>
      <c r="D77" s="76" t="str">
        <v>U069-Delete_answers_MSG25_when_</v>
      </c>
      <c r="E77" s="77" t="str">
        <v>TC-91AF41DB00BA | Delete answers MSG25 when someone was given the role in the meantime</v>
      </c>
      <c r="F77" s="78" t="str">
        <v>In-process logic; fakes/stubs as declared by the source fixture. Fixture: RoleServiceTests. 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75" customHeight="1">
      <c r="A78" s="73" t="n">
        <v>70</v>
      </c>
      <c r="B78" s="74" t="str">
        <v>Access</v>
      </c>
      <c r="C78" s="75" t="str">
        <v>Delete_answers_save_failed_when_the_database_refuses_for_another_reason</v>
      </c>
      <c r="D78" s="76" t="str">
        <v>U070-Delete_answers_save_failed</v>
      </c>
      <c r="E78" s="77" t="str">
        <v>TC-8477C4188074 | Delete answers save failed when the database refuses for another reason</v>
      </c>
      <c r="F78" s="78" t="str">
        <v>In-process logic; fakes/stubs as declared by the source fixture. Fixture: RoleServiceTests. 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75" customHeight="1">
      <c r="A79" s="73" t="n">
        <v>71</v>
      </c>
      <c r="B79" s="74" t="str">
        <v>Agenda</v>
      </c>
      <c r="C79" s="75" t="str">
        <v>Actual_duration_is_independent_of_planned_duration</v>
      </c>
      <c r="D79" s="76" t="str">
        <v>U071-Actual_duration_is_indepen</v>
      </c>
      <c r="E79" s="77" t="str">
        <v>TC-9AEA8B3511D3 | Actual duration is independent of planned duration</v>
      </c>
      <c r="F79" s="78" t="str">
        <v>In-process logic; fakes/stubs as declared by the source fixture. Fixture: AgendaRulesTests. 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75" customHeight="1">
      <c r="A80" s="73" t="n">
        <v>72</v>
      </c>
      <c r="B80" s="74" t="str">
        <v>Agenda</v>
      </c>
      <c r="C80" s="75" t="str">
        <v>Missing_start_or_backwards_clock_never_fabricates_completion</v>
      </c>
      <c r="D80" s="76" t="str">
        <v>U072-Missing_start_or_backwards</v>
      </c>
      <c r="E80" s="77" t="str">
        <v>TC-332C3BAEA9C0 | Missing start or backwards clock never fabricates completion</v>
      </c>
      <c r="F80" s="78" t="str">
        <v>In-process logic; fakes/stubs as declared by the source fixture. Fixture: AgendaRulesTests. 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75" customHeight="1">
      <c r="A81" s="73" t="n">
        <v>73</v>
      </c>
      <c r="B81" s="74" t="str">
        <v>Agenda</v>
      </c>
      <c r="C81" s="75" t="str">
        <v>Order_token_is_deterministic_ignores_content_and_detects_status_or_position</v>
      </c>
      <c r="D81" s="76" t="str">
        <v>U073-Order_token_is_determinist</v>
      </c>
      <c r="E81" s="77" t="str">
        <v>TC-A22BB8FD53C6 | Order token is deterministic ignores content and detects status or position</v>
      </c>
      <c r="F81" s="78" t="str">
        <v>In-process logic; fakes/stubs as declared by the source fixture. Fixture: AgendaRulesTests. 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75" customHeight="1">
      <c r="A82" s="73" t="n">
        <v>74</v>
      </c>
      <c r="B82" s="74" t="str">
        <v>Agenda</v>
      </c>
      <c r="C82" s="75" t="str">
        <v>Normalization_preserves_newlines_and_validates_boundaries</v>
      </c>
      <c r="D82" s="76" t="str">
        <v>U074-Normalization_preserves_ne</v>
      </c>
      <c r="E82" s="77" t="str">
        <v>TC-0C6C0B4D6834 | Normalization preserves newlines and validates boundaries</v>
      </c>
      <c r="F82" s="78" t="str">
        <v>In-process logic; fakes/stubs as declared by the source fixture. Fixture: AgendaRulesTests. </v>
      </c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75" customHeight="1">
      <c r="A83" s="73" t="n">
        <v>75</v>
      </c>
      <c r="B83" s="74" t="str">
        <v>Authentication</v>
      </c>
      <c r="C83" s="75" t="str">
        <v>An_active_user_with_the_right_password_signs_in</v>
      </c>
      <c r="D83" s="76" t="str">
        <v>U075-An_active_user_with_the_ri</v>
      </c>
      <c r="E83" s="77" t="str">
        <v>TC-4375B997D831 | An active user with the right password signs in</v>
      </c>
      <c r="F83" s="78" t="str">
        <v>In-process logic; fakes/stubs as declared by the source fixture. Fixture: AuthenticationServiceTests. 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75" customHeight="1">
      <c r="A84" s="73" t="n">
        <v>76</v>
      </c>
      <c r="B84" s="74" t="str">
        <v>Authentication</v>
      </c>
      <c r="C84" s="75" t="str">
        <v>Signing_in_issues_an_access_token_and_a_stored_refresh_token</v>
      </c>
      <c r="D84" s="76" t="str">
        <v>U076-Signing_in_issues_an_acces</v>
      </c>
      <c r="E84" s="77" t="str">
        <v>TC-DBAA27E9A6E5 | Signing in issues an access token and a stored refresh token</v>
      </c>
      <c r="F84" s="78" t="str">
        <v>In-process logic; fakes/stubs as declared by the source fixture. Fixture: AuthenticationServiceTests. </v>
      </c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75" customHeight="1">
      <c r="A85" s="73" t="n">
        <v>77</v>
      </c>
      <c r="B85" s="74" t="str">
        <v>Authentication</v>
      </c>
      <c r="C85" s="75" t="str">
        <v>Capabilities_come_from_the_database_not_from_the_role_name</v>
      </c>
      <c r="D85" s="76" t="str">
        <v>U077-Capabilities_come_from_the</v>
      </c>
      <c r="E85" s="77" t="str">
        <v>TC-57AEFCC4ABC7 | Capabilities come from the database not from the role name</v>
      </c>
      <c r="F85" s="78" t="str">
        <v>In-process logic; fakes/stubs as declared by the source fixture. Fixture: AuthenticationServiceTests. 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75" customHeight="1">
      <c r="A86" s="73" t="n">
        <v>78</v>
      </c>
      <c r="B86" s="74" t="str">
        <v>Authentication</v>
      </c>
      <c r="C86" s="75" t="str">
        <v>A_member_signs_in_although_they_have_no_capability</v>
      </c>
      <c r="D86" s="76" t="str">
        <v>U078-A_member_signs_in_although</v>
      </c>
      <c r="E86" s="77" t="str">
        <v>TC-DC46319922EB | A member signs in although they have no capability</v>
      </c>
      <c r="F86" s="78" t="str">
        <v>In-process logic; fakes/stubs as declared by the source fixture. Fixture: AuthenticationServiceTests. 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75" customHeight="1">
      <c r="A87" s="73" t="n">
        <v>79</v>
      </c>
      <c r="B87" s="74" t="str">
        <v>Authentication</v>
      </c>
      <c r="C87" s="75" t="str">
        <v>Email_case_and_surrounding_spaces_do_not_prevent_sign_in</v>
      </c>
      <c r="D87" s="76" t="str">
        <v>U079-Email_case_and_surrounding</v>
      </c>
      <c r="E87" s="77" t="str">
        <v>TC-EF339F0F6EA8 | Email case and surrounding spaces do not prevent sign in</v>
      </c>
      <c r="F87" s="78" t="str">
        <v>In-process logic; fakes/stubs as declared by the source fixture. Fixture: AuthenticationServiceTests. </v>
      </c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75" customHeight="1">
      <c r="A88" s="73" t="n">
        <v>80</v>
      </c>
      <c r="B88" s="74" t="str">
        <v>Authentication</v>
      </c>
      <c r="C88" s="75" t="str">
        <v>An_unknown_email_is_rejected</v>
      </c>
      <c r="D88" s="76" t="str">
        <v>U080-An_unknown_email_is_reject</v>
      </c>
      <c r="E88" s="77" t="str">
        <v>TC-12FBE879DD1C | An unknown email is rejected</v>
      </c>
      <c r="F88" s="78" t="str">
        <v>In-process logic; fakes/stubs as declared by the source fixture. Fixture: AuthenticationServiceTests. </v>
      </c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75" customHeight="1">
      <c r="A89" s="73" t="n">
        <v>81</v>
      </c>
      <c r="B89" s="74" t="str">
        <v>Authentication</v>
      </c>
      <c r="C89" s="75" t="str">
        <v>A_wrong_password_is_rejected</v>
      </c>
      <c r="D89" s="76" t="str">
        <v>U081-A_wrong_password_is_reject</v>
      </c>
      <c r="E89" s="77" t="str">
        <v>TC-56A537F972D8 | A wrong password is rejected</v>
      </c>
      <c r="F89" s="78" t="str">
        <v>In-process logic; fakes/stubs as declared by the source fixture. Fixture: AuthenticationServiceTests. </v>
      </c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75" customHeight="1">
      <c r="A90" s="73" t="n">
        <v>82</v>
      </c>
      <c r="B90" s="74" t="str">
        <v>Authentication</v>
      </c>
      <c r="C90" s="75" t="str">
        <v>An_unknown_email_and_a_wrong_password_are_indistinguishable</v>
      </c>
      <c r="D90" s="76" t="str">
        <v>U082-An_unknown_email_and_a_wro</v>
      </c>
      <c r="E90" s="77" t="str">
        <v>TC-C36E7BF0AA96 | An unknown email and a wrong password are indistinguishable</v>
      </c>
      <c r="F90" s="78" t="str">
        <v>In-process logic; fakes/stubs as declared by the source fixture. Fixture: AuthenticationServiceTests. </v>
      </c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75" customHeight="1">
      <c r="A91" s="73" t="n">
        <v>83</v>
      </c>
      <c r="B91" s="74" t="str">
        <v>Authentication</v>
      </c>
      <c r="C91" s="75" t="str">
        <v>An_unknown_email_still_costs_one_password_verification</v>
      </c>
      <c r="D91" s="76" t="str">
        <v>U083-An_unknown_email_still_cos</v>
      </c>
      <c r="E91" s="77" t="str">
        <v>TC-95D0DBFE17C7 | An unknown email still costs one password verification</v>
      </c>
      <c r="F91" s="78" t="str">
        <v>In-process logic; fakes/stubs as declared by the source fixture. Fixture: AuthenticationServiceTests. </v>
      </c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75" customHeight="1">
      <c r="A92" s="73" t="n">
        <v>84</v>
      </c>
      <c r="B92" s="74" t="str">
        <v>Authentication</v>
      </c>
      <c r="C92" s="75" t="str">
        <v>The_dummy_hash_comes_from_the_injected_hasher</v>
      </c>
      <c r="D92" s="76" t="str">
        <v>U084-The_dummy_hash_comes_from_</v>
      </c>
      <c r="E92" s="77" t="str">
        <v>TC-9FD780E1540C | The dummy hash comes from the injected hasher</v>
      </c>
      <c r="F92" s="78" t="str">
        <v>In-process logic; fakes/stubs as declared by the source fixture. Fixture: AuthenticationServiceTests. </v>
      </c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75" customHeight="1">
      <c r="A93" s="73" t="n">
        <v>85</v>
      </c>
      <c r="B93" s="74" t="str">
        <v>Authentication</v>
      </c>
      <c r="C93" s="75" t="str">
        <v>The_dummy_hash_never_matches_a_password</v>
      </c>
      <c r="D93" s="76" t="str">
        <v>U085-The_dummy_hash_never_match</v>
      </c>
      <c r="E93" s="77" t="str">
        <v>TC-9AD601D57040 | The dummy hash never matches a password</v>
      </c>
      <c r="F93" s="78" t="str">
        <v>In-process logic; fakes/stubs as declared by the source fixture. Fixture: AuthenticationServiceTests. </v>
      </c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75" customHeight="1">
      <c r="A94" s="73" t="n">
        <v>86</v>
      </c>
      <c r="B94" s="74" t="str">
        <v>Authentication</v>
      </c>
      <c r="C94" s="75" t="str">
        <v>A_known_email_and_an_unknown_one_cost_the_same</v>
      </c>
      <c r="D94" s="76" t="str">
        <v>U086-A_known_email_and_an_unkno</v>
      </c>
      <c r="E94" s="77" t="str">
        <v>TC-E2B37C91E5D5 | A known email and an unknown one cost the same</v>
      </c>
      <c r="F94" s="78" t="str">
        <v>In-process logic; fakes/stubs as declared by the source fixture. Fixture: AuthenticationServiceTests. </v>
      </c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75" customHeight="1">
      <c r="A95" s="73" t="n">
        <v>87</v>
      </c>
      <c r="B95" s="74" t="str">
        <v>Authentication</v>
      </c>
      <c r="C95" s="75" t="str">
        <v>Blank_input_is_rejected_without_touching_the_database</v>
      </c>
      <c r="D95" s="76" t="str">
        <v>U087-Blank_input_is_rejected_wi</v>
      </c>
      <c r="E95" s="77" t="str">
        <v>TC-668CA47ADF88 | Blank input is rejected without touching the database</v>
      </c>
      <c r="F95" s="78" t="str">
        <v>In-process logic; fakes/stubs as declared by the source fixture. Fixture: AuthenticationServiceTests. </v>
      </c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75" customHeight="1">
      <c r="A96" s="73" t="n">
        <v>88</v>
      </c>
      <c r="B96" s="74" t="str">
        <v>Authentication</v>
      </c>
      <c r="C96" s="75" t="str">
        <v>A_failed_attempt_issues_nothing</v>
      </c>
      <c r="D96" s="76" t="str">
        <v>U088-A_failed_attempt_issues_no</v>
      </c>
      <c r="E96" s="77" t="str">
        <v>TC-DAF31F20FF3C | A failed attempt issues nothing</v>
      </c>
      <c r="F96" s="78" t="str">
        <v>In-process logic; fakes/stubs as declared by the source fixture. Fixture: AuthenticationServiceTests. 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75" customHeight="1">
      <c r="A97" s="73" t="n">
        <v>89</v>
      </c>
      <c r="B97" s="74" t="str">
        <v>Authentication</v>
      </c>
      <c r="C97" s="75" t="str">
        <v>A_placeholder_password_hash_cannot_be_signed_into</v>
      </c>
      <c r="D97" s="76" t="str">
        <v>U089-A_placeholder_password_has</v>
      </c>
      <c r="E97" s="77" t="str">
        <v>TC-4B7A72D5CB98 | A placeholder password hash cannot be signed into</v>
      </c>
      <c r="F97" s="78" t="str">
        <v>In-process logic; fakes/stubs as declared by the source fixture. Fixture: AuthenticationServiceTests. </v>
      </c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75" customHeight="1">
      <c r="A98" s="73" t="n">
        <v>90</v>
      </c>
      <c r="B98" s="74" t="str">
        <v>Authentication</v>
      </c>
      <c r="C98" s="75" t="str">
        <v>A_deactivated_account_is_told_so_only_after_the_password_matched</v>
      </c>
      <c r="D98" s="76" t="str">
        <v>U090-A_deactivated_account_is_t</v>
      </c>
      <c r="E98" s="77" t="str">
        <v>TC-32971F93CB1D | A deactivated account is told so only after the password matched</v>
      </c>
      <c r="F98" s="78" t="str">
        <v>In-process logic; fakes/stubs as declared by the source fixture. Fixture: AuthenticationServiceTests. </v>
      </c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75" customHeight="1">
      <c r="A99" s="73" t="n">
        <v>91</v>
      </c>
      <c r="B99" s="74" t="str">
        <v>Authentication</v>
      </c>
      <c r="C99" s="75" t="str">
        <v>A_deactivated_account_with_a_wrong_password_reveals_nothing</v>
      </c>
      <c r="D99" s="76" t="str">
        <v>U091-A_deactivated_account_with</v>
      </c>
      <c r="E99" s="77" t="str">
        <v>TC-E178FBE5055E | A deactivated account with a wrong password reveals nothing</v>
      </c>
      <c r="F99" s="78" t="str">
        <v>In-process logic; fakes/stubs as declared by the source fixture. Fixture: AuthenticationServiceTests. 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75" customHeight="1">
      <c r="A100" s="73" t="n">
        <v>92</v>
      </c>
      <c r="B100" s="74" t="str">
        <v>Authentication</v>
      </c>
      <c r="C100" s="75" t="str">
        <v>A_role_that_grants_nothing_still_signs_in</v>
      </c>
      <c r="D100" s="76" t="str">
        <v>U092-A_role_that_grants_nothing</v>
      </c>
      <c r="E100" s="77" t="str">
        <v>TC-0E668806771F | A role that grants nothing still signs in</v>
      </c>
      <c r="F100" s="78" t="str">
        <v>In-process logic; fakes/stubs as declared by the source fixture. Fixture: AuthenticationServiceTests. 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75" customHeight="1">
      <c r="A101" s="73" t="n">
        <v>93</v>
      </c>
      <c r="B101" s="74" t="str">
        <v>Authentication</v>
      </c>
      <c r="C101" s="75" t="str">
        <v>A_custom_role_signs_in_with_its_name_and_capabilities</v>
      </c>
      <c r="D101" s="76" t="str">
        <v>U093-A_custom_role_signs_in_wit</v>
      </c>
      <c r="E101" s="77" t="str">
        <v>TC-D44C9252504B | A custom role signs in with its name and capabilities</v>
      </c>
      <c r="F101" s="78" t="str">
        <v>In-process logic; fakes/stubs as declared by the source fixture. Fixture: AuthenticationServiceTests. </v>
      </c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75" customHeight="1">
      <c r="A102" s="73" t="n">
        <v>94</v>
      </c>
      <c r="B102" s="74" t="str">
        <v>Authentication</v>
      </c>
      <c r="C102" s="75" t="str">
        <v>A_refresh_token_can_be_exchanged_for_a_new_pair</v>
      </c>
      <c r="D102" s="76" t="str">
        <v>U094-A_refresh_token_can_be_exc</v>
      </c>
      <c r="E102" s="77" t="str">
        <v>TC-049E4F5056E1 | A refresh token can be exchanged for a new pair</v>
      </c>
      <c r="F102" s="78" t="str">
        <v>In-process logic; fakes/stubs as declared by the source fixture. Fixture: AuthenticationServiceTests. 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75" customHeight="1">
      <c r="A103" s="73" t="n">
        <v>95</v>
      </c>
      <c r="B103" s="74" t="str">
        <v>Authentication</v>
      </c>
      <c r="C103" s="75" t="str">
        <v>A_refresh_token_works_only_once</v>
      </c>
      <c r="D103" s="76" t="str">
        <v>U095-A_refresh_token_works_only</v>
      </c>
      <c r="E103" s="77" t="str">
        <v>TC-E18DC7045BCD | A refresh token works only once</v>
      </c>
      <c r="F103" s="78" t="str">
        <v>In-process logic; fakes/stubs as declared by the source fixture. Fixture: AuthenticationServiceTests. </v>
      </c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75" customHeight="1">
      <c r="A104" s="73" t="n">
        <v>96</v>
      </c>
      <c r="B104" s="74" t="str">
        <v>Authentication</v>
      </c>
      <c r="C104" s="75" t="str">
        <v>A_database_error_during_refresh_leaves_the_token_usable</v>
      </c>
      <c r="D104" s="76" t="str">
        <v>U096-A_database_error_during_re</v>
      </c>
      <c r="E104" s="77" t="str">
        <v>TC-16188D94DEFF | A database error during refresh leaves the token usable</v>
      </c>
      <c r="F104" s="78" t="str">
        <v>In-process logic; fakes/stubs as declared by the source fixture. Fixture: AuthenticationServiceTests. </v>
      </c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75" customHeight="1">
      <c r="A105" s="73" t="n">
        <v>97</v>
      </c>
      <c r="B105" s="74" t="str">
        <v>Authentication</v>
      </c>
      <c r="C105" s="75" t="str">
        <v>An_expired_refresh_token_is_rejected</v>
      </c>
      <c r="D105" s="76" t="str">
        <v>U097-An_expired_refresh_token_i</v>
      </c>
      <c r="E105" s="77" t="str">
        <v>TC-DF4B63868228 | An expired refresh token is rejected</v>
      </c>
      <c r="F105" s="78" t="str">
        <v>In-process logic; fakes/stubs as declared by the source fixture. Fixture: AuthenticationServiceTests. </v>
      </c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75" customHeight="1">
      <c r="A106" s="73" t="n">
        <v>98</v>
      </c>
      <c r="B106" s="74" t="str">
        <v>Authentication</v>
      </c>
      <c r="C106" s="75" t="str">
        <v>A_missing_or_unknown_refresh_token_is_rejected</v>
      </c>
      <c r="D106" s="76" t="str">
        <v>U098-A_missing_or_unknown_refre</v>
      </c>
      <c r="E106" s="77" t="str">
        <v>TC-FF4959BF1E99 | A missing or unknown refresh token is rejected</v>
      </c>
      <c r="F106" s="78" t="str">
        <v>In-process logic; fakes/stubs as declared by the source fixture. Fixture: AuthenticationServiceTests. </v>
      </c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75" customHeight="1">
      <c r="A107" s="73" t="n">
        <v>99</v>
      </c>
      <c r="B107" s="74" t="str">
        <v>Authentication</v>
      </c>
      <c r="C107" s="75" t="str">
        <v>Deactivating_an_account_ends_its_session_at_the_next_refresh</v>
      </c>
      <c r="D107" s="76" t="str">
        <v>U099-Deactivating_an_account_en</v>
      </c>
      <c r="E107" s="77" t="str">
        <v>TC-C8215C53256B | Deactivating an account ends its session at the next refresh</v>
      </c>
      <c r="F107" s="78" t="str">
        <v>In-process logic; fakes/stubs as declared by the source fixture. Fixture: AuthenticationServiceTests. </v>
      </c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75" customHeight="1">
      <c r="A108" s="73" t="n">
        <v>100</v>
      </c>
      <c r="B108" s="74" t="str">
        <v>Authentication</v>
      </c>
      <c r="C108" s="75" t="str">
        <v>Losing_every_capability_reaches_the_next_access_token</v>
      </c>
      <c r="D108" s="76" t="str">
        <v>U100-Losing_every_capability_re</v>
      </c>
      <c r="E108" s="77" t="str">
        <v>TC-F54667EAF2B5 | Losing every capability reaches the next access token</v>
      </c>
      <c r="F108" s="78" t="str">
        <v>In-process logic; fakes/stubs as declared by the source fixture. Fixture: AuthenticationServiceTests. 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75" customHeight="1">
      <c r="A109" s="73" t="n">
        <v>101</v>
      </c>
      <c r="B109" s="74" t="str">
        <v>Authentication</v>
      </c>
      <c r="C109" s="75" t="str">
        <v>A_capability_granted_meanwhile_arrives_with_the_next_access_token</v>
      </c>
      <c r="D109" s="76" t="str">
        <v>U101-A_capability_granted_meanw</v>
      </c>
      <c r="E109" s="77" t="str">
        <v>TC-AC49578447B4 | A capability granted meanwhile arrives with the next access token</v>
      </c>
      <c r="F109" s="78" t="str">
        <v>In-process logic; fakes/stubs as declared by the source fixture. Fixture: AuthenticationServiceTests. </v>
      </c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75" customHeight="1">
      <c r="A110" s="73" t="n">
        <v>102</v>
      </c>
      <c r="B110" s="74" t="str">
        <v>Authentication</v>
      </c>
      <c r="C110" s="75" t="str">
        <v>Signing_out_destroys_the_session_on_the_server</v>
      </c>
      <c r="D110" s="76" t="str">
        <v>U102-Signing_out_destroys_the_s</v>
      </c>
      <c r="E110" s="77" t="str">
        <v>TC-C908BCE09A62 | Signing out destroys the session on the server</v>
      </c>
      <c r="F110" s="78" t="str">
        <v>In-process logic; fakes/stubs as declared by the source fixture. Fixture: AuthenticationServiceTests. </v>
      </c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75" customHeight="1">
      <c r="A111" s="73" t="n">
        <v>103</v>
      </c>
      <c r="B111" s="74" t="str">
        <v>Authentication</v>
      </c>
      <c r="C111" s="75" t="str">
        <v>Signing_out_twice_is_not_an_error</v>
      </c>
      <c r="D111" s="76" t="str">
        <v>U103-Signing_out_twice_is_not_a</v>
      </c>
      <c r="E111" s="77" t="str">
        <v>TC-7539232A9EAE | Signing out twice is not an error</v>
      </c>
      <c r="F111" s="78" t="str">
        <v>In-process logic; fakes/stubs as declared by the source fixture. Fixture: AuthenticationServiceTests. </v>
      </c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75" customHeight="1">
      <c r="A112" s="73" t="n">
        <v>104</v>
      </c>
      <c r="B112" s="74" t="str">
        <v>Authentication</v>
      </c>
      <c r="C112" s="75" t="str">
        <v>Signing_out_one_session_leaves_the_others_alone</v>
      </c>
      <c r="D112" s="76" t="str">
        <v>U104-Signing_out_one_session_le</v>
      </c>
      <c r="E112" s="77" t="str">
        <v>TC-422969057C79 | Signing out one session leaves the others alone</v>
      </c>
      <c r="F112" s="78" t="str">
        <v>In-process logic; fakes/stubs as declared by the source fixture. Fixture: AuthenticationServiceTests. </v>
      </c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75" customHeight="1">
      <c r="A113" s="73" t="n">
        <v>105</v>
      </c>
      <c r="B113" s="74" t="str">
        <v>Authentication</v>
      </c>
      <c r="C113" s="75" t="str">
        <v>A_linked_active_account_signs_in</v>
      </c>
      <c r="D113" s="76" t="str">
        <v>U105-A_linked_active_account_si</v>
      </c>
      <c r="E113" s="77" t="str">
        <v>TC-248CA4679D9C | A linked active account signs in</v>
      </c>
      <c r="F113" s="78" t="str">
        <v>In-process logic; fakes/stubs as declared by the source fixture. Fixture: GoogleSignInServiceTests. </v>
      </c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75" customHeight="1">
      <c r="A114" s="73" t="n">
        <v>106</v>
      </c>
      <c r="B114" s="74" t="str">
        <v>Authentication</v>
      </c>
      <c r="C114" s="75" t="str">
        <v>Google_sign_in_issues_the_same_token_pair_as_a_password_sign_in</v>
      </c>
      <c r="D114" s="76" t="str">
        <v>U106-Google_sign_in_issues_the_</v>
      </c>
      <c r="E114" s="77" t="str">
        <v>TC-E6F0DBC13F5C | Google sign in issues the same token pair as a password sign in</v>
      </c>
      <c r="F114" s="78" t="str">
        <v>In-process logic; fakes/stubs as declared by the source fixture. Fixture: GoogleSignInServiceTests. </v>
      </c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75" customHeight="1">
      <c r="A115" s="73" t="n">
        <v>107</v>
      </c>
      <c r="B115" s="74" t="str">
        <v>Authentication</v>
      </c>
      <c r="C115" s="75" t="str">
        <v>An_account_with_both_a_password_and_a_google_link_can_use_either</v>
      </c>
      <c r="D115" s="76" t="str">
        <v>U107-An_account_with_both_a_pas</v>
      </c>
      <c r="E115" s="77" t="str">
        <v>TC-2F1B8A3A8F14 | An account with both a password and a google link can use either</v>
      </c>
      <c r="F115" s="78" t="str">
        <v>In-process logic; fakes/stubs as declared by the source fixture. Fixture: GoogleSignInServiceTests. </v>
      </c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75" customHeight="1">
      <c r="A116" s="73" t="n">
        <v>108</v>
      </c>
      <c r="B116" s="74" t="str">
        <v>Authentication</v>
      </c>
      <c r="C116" s="75" t="str">
        <v>A_member_signs_in_with_google_although_they_have_no_capability</v>
      </c>
      <c r="D116" s="76" t="str">
        <v>U108-A_member_signs_in_with_goo</v>
      </c>
      <c r="E116" s="77" t="str">
        <v>TC-0725E610421C | A member signs in with google although they have no capability</v>
      </c>
      <c r="F116" s="78" t="str">
        <v>In-process logic; fakes/stubs as declared by the source fixture. Fixture: GoogleSignInServiceTests. </v>
      </c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75" customHeight="1">
      <c r="A117" s="73" t="n">
        <v>109</v>
      </c>
      <c r="B117" s="74" t="str">
        <v>Authentication</v>
      </c>
      <c r="C117" s="75" t="str">
        <v>A_token_that_does_not_verify_is_rejected</v>
      </c>
      <c r="D117" s="76" t="str">
        <v>U109-A_token_that_does_not_veri</v>
      </c>
      <c r="E117" s="77" t="str">
        <v>TC-F3BCF87E7FCB | A token that does not verify is rejected</v>
      </c>
      <c r="F117" s="78" t="str">
        <v>In-process logic; fakes/stubs as declared by the source fixture. Fixture: GoogleSignInServiceTests. </v>
      </c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75" customHeight="1">
      <c r="A118" s="73" t="n">
        <v>110</v>
      </c>
      <c r="B118" s="74" t="str">
        <v>Authentication</v>
      </c>
      <c r="C118" s="75" t="str">
        <v>The_database_is_not_consulted_when_the_token_does_not_verify</v>
      </c>
      <c r="D118" s="76" t="str">
        <v>U110-The_database_is_not_consul</v>
      </c>
      <c r="E118" s="77" t="str">
        <v>TC-2C84887217F9 | The database is not consulted when the token does not verify</v>
      </c>
      <c r="F118" s="78" t="str">
        <v>In-process logic; fakes/stubs as declared by the source fixture. Fixture: GoogleSignInServiceTests. </v>
      </c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75" customHeight="1">
      <c r="A119" s="73" t="n">
        <v>111</v>
      </c>
      <c r="B119" s="74" t="str">
        <v>Authentication</v>
      </c>
      <c r="C119" s="75" t="str">
        <v>A_google_account_nobody_linked_is_refused</v>
      </c>
      <c r="D119" s="76" t="str">
        <v>U111-A_google_account_nobody_li</v>
      </c>
      <c r="E119" s="77" t="str">
        <v>TC-03C3991E0C10 | A google account nobody linked is refused</v>
      </c>
      <c r="F119" s="78" t="str">
        <v>In-process logic; fakes/stubs as declared by the source fixture. Fixture: GoogleSignInServiceTests. 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75" customHeight="1">
      <c r="A120" s="73" t="n">
        <v>112</v>
      </c>
      <c r="B120" s="74" t="str">
        <v>Authentication</v>
      </c>
      <c r="C120" s="75" t="str">
        <v>An_account_created_with_that_email_is_linked_at_its_first_google_sign_in</v>
      </c>
      <c r="D120" s="76" t="str">
        <v>U112-An_account_created_with_th</v>
      </c>
      <c r="E120" s="77" t="str">
        <v>TC-D2C512BE03F4 | An account created with that email is linked at its first google sign in</v>
      </c>
      <c r="F120" s="78" t="str">
        <v>In-process logic; fakes/stubs as declared by the source fixture. Fixture: GoogleSignInServiceTests. </v>
      </c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75" customHeight="1">
      <c r="A121" s="73" t="n">
        <v>113</v>
      </c>
      <c r="B121" s="74" t="str">
        <v>Authentication</v>
      </c>
      <c r="C121" s="75" t="str">
        <v>An_account_already_linked_to_another_google_identity_is_not_relinked</v>
      </c>
      <c r="D121" s="76" t="str">
        <v>U113-An_account_already_linked_</v>
      </c>
      <c r="E121" s="77" t="str">
        <v>TC-F1BADD1147CE | An account already linked to another google identity is not relinked</v>
      </c>
      <c r="F121" s="78" t="str">
        <v>In-process logic; fakes/stubs as declared by the source fixture. Fixture: GoogleSignInServiceTests. </v>
      </c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75" customHeight="1">
      <c r="A122" s="73" t="n">
        <v>114</v>
      </c>
      <c r="B122" s="74" t="str">
        <v>Authentication</v>
      </c>
      <c r="C122" s="75" t="str">
        <v>An_account_deactivated_before_its_first_google_sign_in_is_refused_as_deactivated</v>
      </c>
      <c r="D122" s="76" t="str">
        <v>U114-An_account_deactivated_bef</v>
      </c>
      <c r="E122" s="77" t="str">
        <v>TC-7BF1C75C7DD3 | An account deactivated before its first google sign in is refused as deactivated</v>
      </c>
      <c r="F122" s="78" t="str">
        <v>In-process logic; fakes/stubs as declared by the source fixture. Fixture: GoogleSignInServiceTests. </v>
      </c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75" customHeight="1">
      <c r="A123" s="73" t="n">
        <v>115</v>
      </c>
      <c r="B123" s="74" t="str">
        <v>Authentication</v>
      </c>
      <c r="C123" s="75" t="str">
        <v>A_deactivated_account_linked_to_another_google_identity_stays_not_linked</v>
      </c>
      <c r="D123" s="76" t="str">
        <v>U115-A_deactivated_account_link</v>
      </c>
      <c r="E123" s="77" t="str">
        <v>TC-90C096940FB3 | A deactivated account linked to another google identity stays not linked</v>
      </c>
      <c r="F123" s="78" t="str">
        <v>In-process logic; fakes/stubs as declared by the source fixture. Fixture: GoogleSignInServiceTests. </v>
      </c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75" customHeight="1">
      <c r="A124" s="73" t="n">
        <v>116</v>
      </c>
      <c r="B124" s="74" t="str">
        <v>Authentication</v>
      </c>
      <c r="C124" s="75" t="str">
        <v>A_deactivated_linked_account_is_refused</v>
      </c>
      <c r="D124" s="76" t="str">
        <v>U116-A_deactivated_linked_accou</v>
      </c>
      <c r="E124" s="77" t="str">
        <v>TC-2AF9AE2E4A91 | A deactivated linked account is refused</v>
      </c>
      <c r="F124" s="78" t="str">
        <v>In-process logic; fakes/stubs as declared by the source fixture. Fixture: GoogleSignInServiceTests. </v>
      </c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75" customHeight="1">
      <c r="A125" s="73" t="n">
        <v>117</v>
      </c>
      <c r="B125" s="74" t="str">
        <v>Authentication</v>
      </c>
      <c r="C125" s="75" t="str">
        <v>A_linked_account_whose_role_grants_nothing_signs_in</v>
      </c>
      <c r="D125" s="76" t="str">
        <v>U117-A_linked_account_whose_rol</v>
      </c>
      <c r="E125" s="77" t="str">
        <v>TC-1B18D5FB6F38 | A linked account whose role grants nothing signs in</v>
      </c>
      <c r="F125" s="78" t="str">
        <v>In-process logic; fakes/stubs as declared by the source fixture. Fixture: GoogleSignInServiceTests. </v>
      </c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75" customHeight="1">
      <c r="A126" s="73" t="n">
        <v>118</v>
      </c>
      <c r="B126" s="74" t="str">
        <v>Authentication</v>
      </c>
      <c r="C126" s="75" t="str">
        <v>A_google_only_account_cannot_be_signed_into_with_a_password</v>
      </c>
      <c r="D126" s="76" t="str">
        <v>U118-A_google_only_account_cann</v>
      </c>
      <c r="E126" s="77" t="str">
        <v>TC-AB580C287486 | A google only account cannot be signed into with a password</v>
      </c>
      <c r="F126" s="78" t="str">
        <v>In-process logic; fakes/stubs as declared by the source fixture. Fixture: GoogleSignInServiceTests. </v>
      </c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75" customHeight="1">
      <c r="A127" s="73" t="n">
        <v>119</v>
      </c>
      <c r="B127" s="74" t="str">
        <v>Authentication</v>
      </c>
      <c r="C127" s="75" t="str">
        <v>A_session_started_with_google_refreshes_like_any_other</v>
      </c>
      <c r="D127" s="76" t="str">
        <v>U119-A_session_started_with_goo</v>
      </c>
      <c r="E127" s="77" t="str">
        <v>TC-07E220DFCDB3 | A session started with google refreshes like any other</v>
      </c>
      <c r="F127" s="78" t="str">
        <v>In-process logic; fakes/stubs as declared by the source fixture. Fixture: GoogleSignInServiceTests. </v>
      </c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75" customHeight="1">
      <c r="A128" s="73" t="n">
        <v>120</v>
      </c>
      <c r="B128" s="74" t="str">
        <v>Authentication</v>
      </c>
      <c r="C128" s="75" t="str">
        <v>Signing_out_of_a_google_session_destroys_it_server_side</v>
      </c>
      <c r="D128" s="76" t="str">
        <v>U120-Signing_out_of_a_google_se</v>
      </c>
      <c r="E128" s="77" t="str">
        <v>TC-311C5FB8F6FE | Signing out of a google session destroys it server side</v>
      </c>
      <c r="F128" s="78" t="str">
        <v>In-process logic; fakes/stubs as declared by the source fixture. Fixture: GoogleSignInServiceTests. </v>
      </c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75" customHeight="1">
      <c r="A129" s="73" t="n">
        <v>121</v>
      </c>
      <c r="B129" s="74" t="str">
        <v>Authentication</v>
      </c>
      <c r="C129" s="75" t="str">
        <v>Deactivating_a_google_account_ends_its_session_at_the_next_refresh</v>
      </c>
      <c r="D129" s="76" t="str">
        <v>U121-Deactivating_a_google_acco</v>
      </c>
      <c r="E129" s="77" t="str">
        <v>TC-2883DDA02C5C | Deactivating a google account ends its session at the next refresh</v>
      </c>
      <c r="F129" s="78" t="str">
        <v>In-process logic; fakes/stubs as declared by the source fixture. Fixture: GoogleSignInServiceTests. 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75" customHeight="1">
      <c r="A130" s="73" t="n">
        <v>122</v>
      </c>
      <c r="B130" s="74" t="str">
        <v>Authentication</v>
      </c>
      <c r="C130" s="75" t="str">
        <v>A_payload_with_a_verified_email_and_a_subject_identifies_the_holder</v>
      </c>
      <c r="D130" s="76" t="str">
        <v>U122-A_payload_with_a_verified_</v>
      </c>
      <c r="E130" s="77" t="str">
        <v>TC-0B31690C1E01 | A payload with a verified email and a subject identifies the holder</v>
      </c>
      <c r="F130" s="78" t="str">
        <v>In-process logic; fakes/stubs as declared by the source fixture. Fixture: GoogleTokenVerifierTests. </v>
      </c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75" customHeight="1">
      <c r="A131" s="73" t="n">
        <v>123</v>
      </c>
      <c r="B131" s="74" t="str">
        <v>Authentication</v>
      </c>
      <c r="C131" s="75" t="str">
        <v>A_payload_whose_email_is_not_verified_is_refused</v>
      </c>
      <c r="D131" s="76" t="str">
        <v>U123-A_payload_whose_email_is_n</v>
      </c>
      <c r="E131" s="77" t="str">
        <v>TC-C846F1345D1F | A payload whose email is not verified is refused</v>
      </c>
      <c r="F131" s="78" t="str">
        <v>In-process logic; fakes/stubs as declared by the source fixture. Fixture: GoogleTokenVerifierTests. </v>
      </c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75" customHeight="1">
      <c r="A132" s="73" t="n">
        <v>124</v>
      </c>
      <c r="B132" s="74" t="str">
        <v>Authentication</v>
      </c>
      <c r="C132" s="75" t="str">
        <v>A_payload_without_a_usable_subject_is_refused</v>
      </c>
      <c r="D132" s="76" t="str">
        <v>U124-A_payload_without_a_usable</v>
      </c>
      <c r="E132" s="77" t="str">
        <v>TC-C37CA782CA9D | A payload without a usable subject is refused</v>
      </c>
      <c r="F132" s="78" t="str">
        <v>In-process logic; fakes/stubs as declared by the source fixture. Fixture: GoogleTokenVerifierTests. </v>
      </c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75" customHeight="1">
      <c r="A133" s="73" t="n">
        <v>125</v>
      </c>
      <c r="B133" s="74" t="str">
        <v>Authentication</v>
      </c>
      <c r="C133" s="75" t="str">
        <v>A_blank_token_is_refused_without_calling_google</v>
      </c>
      <c r="D133" s="76" t="str">
        <v>U125-A_blank_token_is_refused_w</v>
      </c>
      <c r="E133" s="77" t="str">
        <v>TC-E8A941351F9B | A blank token is refused without calling google</v>
      </c>
      <c r="F133" s="78" t="str">
        <v>In-process logic; fakes/stubs as declared by the source fixture. Fixture: GoogleTokenVerifierTests. </v>
      </c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75" customHeight="1">
      <c r="A134" s="73" t="n">
        <v>126</v>
      </c>
      <c r="B134" s="74" t="str">
        <v>Authentication</v>
      </c>
      <c r="C134" s="75" t="str">
        <v>A_malformed_token_returns_null_instead_of_throwing</v>
      </c>
      <c r="D134" s="76" t="str">
        <v>U126-A_malformed_token_returns_</v>
      </c>
      <c r="E134" s="77" t="str">
        <v>TC-78AF46A5F294 | A malformed token returns null instead of throwing</v>
      </c>
      <c r="F134" s="78" t="str">
        <v>In-process logic; fakes/stubs as declared by the source fixture. Fixture: GoogleTokenVerifierTests. 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75" customHeight="1">
      <c r="A135" s="73" t="n">
        <v>127</v>
      </c>
      <c r="B135" s="74" t="str">
        <v>Authentication</v>
      </c>
      <c r="C135" s="75" t="str">
        <v>A_well_formed_but_forged_token_is_refused</v>
      </c>
      <c r="D135" s="76" t="str">
        <v>U127-A_well_formed_but_forged_t</v>
      </c>
      <c r="E135" s="77" t="str">
        <v>TC-285475D2B8FB | A well formed but forged token is refused</v>
      </c>
      <c r="F135" s="78" t="str">
        <v>In-process logic; fakes/stubs as declared by the source fixture. Fixture: GoogleTokenVerifierTests. </v>
      </c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75" customHeight="1">
      <c r="A136" s="73" t="n">
        <v>128</v>
      </c>
      <c r="B136" s="74" t="str">
        <v>Authentication</v>
      </c>
      <c r="C136" s="75" t="str">
        <v>The_access_token_identifies_the_user</v>
      </c>
      <c r="D136" s="76" t="str">
        <v>U128-The_access_token_identifie</v>
      </c>
      <c r="E136" s="77" t="str">
        <v>TC-74392C2FDF46 | The access token identifies the user</v>
      </c>
      <c r="F136" s="78" t="str">
        <v>In-process logic; fakes/stubs as declared by the source fixture. Fixture: JwtTokenIssuerTests. </v>
      </c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75" customHeight="1">
      <c r="A137" s="73" t="n">
        <v>129</v>
      </c>
      <c r="B137" s="74" t="str">
        <v>Authentication</v>
      </c>
      <c r="C137" s="75" t="str">
        <v>The_access_token_carries_one_claim_per_capability</v>
      </c>
      <c r="D137" s="76" t="str">
        <v>U129-The_access_token_carries_o</v>
      </c>
      <c r="E137" s="77" t="str">
        <v>TC-FEAC829E1FB2 | The access token carries one claim per capability</v>
      </c>
      <c r="F137" s="78" t="str">
        <v>In-process logic; fakes/stubs as declared by the source fixture. Fixture: JwtTokenIssuerTests. </v>
      </c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75" customHeight="1">
      <c r="A138" s="73" t="n">
        <v>130</v>
      </c>
      <c r="B138" s="74" t="str">
        <v>Authentication</v>
      </c>
      <c r="C138" s="75" t="str">
        <v>An_access_token_for_a_member_carries_no_capability_claim</v>
      </c>
      <c r="D138" s="76" t="str">
        <v>U130-An_access_token_for_a_memb</v>
      </c>
      <c r="E138" s="77" t="str">
        <v>TC-079308033E5A | An access token for a member carries no capability claim</v>
      </c>
      <c r="F138" s="78" t="str">
        <v>In-process logic; fakes/stubs as declared by the source fixture. Fixture: JwtTokenIssuerTests. 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75" customHeight="1">
      <c r="A139" s="73" t="n">
        <v>131</v>
      </c>
      <c r="B139" s="74" t="str">
        <v>Authentication</v>
      </c>
      <c r="C139" s="75" t="str">
        <v>The_access_token_never_carries_the_password_hash</v>
      </c>
      <c r="D139" s="76" t="str">
        <v>U131-The_access_token_never_car</v>
      </c>
      <c r="E139" s="77" t="str">
        <v>TC-F7E782889DEB | The access token never carries the password hash</v>
      </c>
      <c r="F139" s="78" t="str">
        <v>In-process logic; fakes/stubs as declared by the source fixture. Fixture: JwtTokenIssuerTests. </v>
      </c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75" customHeight="1">
      <c r="A140" s="73" t="n">
        <v>132</v>
      </c>
      <c r="B140" s="74" t="str">
        <v>Authentication</v>
      </c>
      <c r="C140" s="75" t="str">
        <v>Every_access_token_has_its_own_id</v>
      </c>
      <c r="D140" s="76" t="str">
        <v>U132-Every_access_token_has_its</v>
      </c>
      <c r="E140" s="77" t="str">
        <v>TC-408CBEAE3431 | Every access token has its own id</v>
      </c>
      <c r="F140" s="78" t="str">
        <v>In-process logic; fakes/stubs as declared by the source fixture. Fixture: JwtTokenIssuerTests. </v>
      </c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75" customHeight="1">
      <c r="A141" s="73" t="n">
        <v>133</v>
      </c>
      <c r="B141" s="74" t="str">
        <v>Authentication</v>
      </c>
      <c r="C141" s="75" t="str">
        <v>The_access_token_expires_after_the_configured_lifetime</v>
      </c>
      <c r="D141" s="76" t="str">
        <v>U133-The_access_token_expires_a</v>
      </c>
      <c r="E141" s="77" t="str">
        <v>TC-5C8F24B798B3 | The access token expires after the configured lifetime</v>
      </c>
      <c r="F141" s="78" t="str">
        <v>In-process logic; fakes/stubs as declared by the source fixture. Fixture: JwtTokenIssuerTests. </v>
      </c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75" customHeight="1">
      <c r="A142" s="73" t="n">
        <v>134</v>
      </c>
      <c r="B142" s="74" t="str">
        <v>Authentication</v>
      </c>
      <c r="C142" s="75" t="str">
        <v>The_access_token_validates_under_the_key_that_signed_it</v>
      </c>
      <c r="D142" s="76" t="str">
        <v>U134-The_access_token_validates</v>
      </c>
      <c r="E142" s="77" t="str">
        <v>TC-061CEFB01C49 | The access token validates under the key that signed it</v>
      </c>
      <c r="F142" s="78" t="str">
        <v>In-process logic; fakes/stubs as declared by the source fixture. Fixture: JwtTokenIssuerTests. </v>
      </c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75" customHeight="1">
      <c r="A143" s="73" t="n">
        <v>135</v>
      </c>
      <c r="B143" s="74" t="str">
        <v>Authentication</v>
      </c>
      <c r="C143" s="75" t="str">
        <v>A_token_signed_with_another_key_is_rejected</v>
      </c>
      <c r="D143" s="76" t="str">
        <v>U135-A_token_signed_with_anothe</v>
      </c>
      <c r="E143" s="77" t="str">
        <v>TC-A21D01EE1DE6 | A token signed with another key is rejected</v>
      </c>
      <c r="F143" s="78" t="str">
        <v>In-process logic; fakes/stubs as declared by the source fixture. Fixture: JwtTokenIssuerTests. </v>
      </c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75" customHeight="1">
      <c r="A144" s="73" t="n">
        <v>136</v>
      </c>
      <c r="B144" s="74" t="str">
        <v>Authentication</v>
      </c>
      <c r="C144" s="75" t="str">
        <v>A_tampered_token_is_rejected</v>
      </c>
      <c r="D144" s="76" t="str">
        <v>U136-A_tampered_token_is_reject</v>
      </c>
      <c r="E144" s="77" t="str">
        <v>TC-7989C3629FCA | A tampered token is rejected</v>
      </c>
      <c r="F144" s="78" t="str">
        <v>In-process logic; fakes/stubs as declared by the source fixture. Fixture: JwtTokenIssuerTests. </v>
      </c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75" customHeight="1">
      <c r="A145" s="73" t="n">
        <v>137</v>
      </c>
      <c r="B145" s="74" t="str">
        <v>Authentication</v>
      </c>
      <c r="C145" s="75" t="str">
        <v>A_token_from_another_issuer_is_rejected</v>
      </c>
      <c r="D145" s="76" t="str">
        <v>U137-A_token_from_another_issue</v>
      </c>
      <c r="E145" s="77" t="str">
        <v>TC-96DB03C7F90C | A token from another issuer is rejected</v>
      </c>
      <c r="F145" s="78" t="str">
        <v>In-process logic; fakes/stubs as declared by the source fixture. Fixture: JwtTokenIssuerTests. </v>
      </c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75" customHeight="1">
      <c r="A146" s="73" t="n">
        <v>138</v>
      </c>
      <c r="B146" s="74" t="str">
        <v>Authentication</v>
      </c>
      <c r="C146" s="75" t="str">
        <v>A_fresh_token_carries_no_notBefore</v>
      </c>
      <c r="D146" s="76" t="str">
        <v>U138-A_fresh_token_carries_no_n</v>
      </c>
      <c r="E146" s="77" t="str">
        <v>TC-243315E97075 | A fresh token carries no notBefore</v>
      </c>
      <c r="F146" s="78" t="str">
        <v>In-process logic; fakes/stubs as declared by the source fixture. Fixture: JwtTokenIssuerTests. </v>
      </c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75" customHeight="1">
      <c r="A147" s="73" t="n">
        <v>139</v>
      </c>
      <c r="B147" s="74" t="str">
        <v>Authentication</v>
      </c>
      <c r="C147" s="75" t="str">
        <v>A_token_validates_against_a_validator_whose_clock_is_behind</v>
      </c>
      <c r="D147" s="76" t="str">
        <v>U139-A_token_validates_against_</v>
      </c>
      <c r="E147" s="77" t="str">
        <v>TC-222189B1CC9C | A token validates against a validator whose clock is behind</v>
      </c>
      <c r="F147" s="78" t="str">
        <v>In-process logic; fakes/stubs as declared by the source fixture. Fixture: JwtTokenIssuerTests. </v>
      </c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75" customHeight="1">
      <c r="A148" s="73" t="n">
        <v>140</v>
      </c>
      <c r="B148" s="74" t="str">
        <v>Authentication</v>
      </c>
      <c r="C148" s="75" t="str">
        <v>Refresh_tokens_are_unique_and_opaque</v>
      </c>
      <c r="D148" s="76" t="str">
        <v>U140-Refresh_tokens_are_unique_</v>
      </c>
      <c r="E148" s="77" t="str">
        <v>TC-4FE99E3BED84 | Refresh tokens are unique and opaque</v>
      </c>
      <c r="F148" s="78" t="str">
        <v>In-process logic; fakes/stubs as declared by the source fixture. Fixture: JwtTokenIssuerTests. 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75" customHeight="1">
      <c r="A149" s="73" t="n">
        <v>141</v>
      </c>
      <c r="B149" s="74" t="str">
        <v>Authentication</v>
      </c>
      <c r="C149" s="75" t="str">
        <v>The_refresh_token_lifetime_comes_from_configuration</v>
      </c>
      <c r="D149" s="76" t="str">
        <v>U141-The_refresh_token_lifetime</v>
      </c>
      <c r="E149" s="77" t="str">
        <v>TC-45102BE5EB33 | The refresh token lifetime comes from configuration</v>
      </c>
      <c r="F149" s="78" t="str">
        <v>In-process logic; fakes/stubs as declared by the source fixture. Fixture: JwtTokenIssuerTests. </v>
      </c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75" customHeight="1">
      <c r="A150" s="73" t="n">
        <v>142</v>
      </c>
      <c r="B150" s="74" t="str">
        <v>Authentication</v>
      </c>
      <c r="C150" s="75" t="str">
        <v>A_password_verifies_against_its_own_hash</v>
      </c>
      <c r="D150" s="76" t="str">
        <v>U142-A_password_verifies_agains</v>
      </c>
      <c r="E150" s="77" t="str">
        <v>TC-62DE576FE48A | A password verifies against its own hash</v>
      </c>
      <c r="F150" s="78" t="str">
        <v>In-process logic; fakes/stubs as declared by the source fixture. Fixture: PasswordHasherTests. </v>
      </c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75" customHeight="1">
      <c r="A151" s="73" t="n">
        <v>143</v>
      </c>
      <c r="B151" s="74" t="str">
        <v>Authentication</v>
      </c>
      <c r="C151" s="75" t="str">
        <v>A_different_password_does_not_verify</v>
      </c>
      <c r="D151" s="76" t="str">
        <v>U143-A_different_password_does_</v>
      </c>
      <c r="E151" s="77" t="str">
        <v>TC-E74015667D23 | A different password does not verify</v>
      </c>
      <c r="F151" s="78" t="str">
        <v>In-process logic; fakes/stubs as declared by the source fixture. Fixture: PasswordHasherTests. 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75" customHeight="1">
      <c r="A152" s="73" t="n">
        <v>144</v>
      </c>
      <c r="B152" s="74" t="str">
        <v>Authentication</v>
      </c>
      <c r="C152" s="75" t="str">
        <v>Password_comparison_is_case_sensitive</v>
      </c>
      <c r="D152" s="76" t="str">
        <v>U144-Password_comparison_is_cas</v>
      </c>
      <c r="E152" s="77" t="str">
        <v>TC-7CB892DE2C2C | Password comparison is case sensitive</v>
      </c>
      <c r="F152" s="78" t="str">
        <v>In-process logic; fakes/stubs as declared by the source fixture. Fixture: PasswordHasherTests. 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75" customHeight="1">
      <c r="A153" s="73" t="n">
        <v>145</v>
      </c>
      <c r="B153" s="74" t="str">
        <v>Authentication</v>
      </c>
      <c r="C153" s="75" t="str">
        <v>The_hash_does_not_contain_the_password</v>
      </c>
      <c r="D153" s="76" t="str">
        <v>U145-The_hash_does_not_contain_</v>
      </c>
      <c r="E153" s="77" t="str">
        <v>TC-B474D2753E8E | The hash does not contain the password</v>
      </c>
      <c r="F153" s="78" t="str">
        <v>In-process logic; fakes/stubs as declared by the source fixture. Fixture: PasswordHasherTests. 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75" customHeight="1">
      <c r="A154" s="73" t="n">
        <v>146</v>
      </c>
      <c r="B154" s="74" t="str">
        <v>Authentication</v>
      </c>
      <c r="C154" s="75" t="str">
        <v>The_same_password_hashes_differently_every_time</v>
      </c>
      <c r="D154" s="76" t="str">
        <v>U146-The_same_password_hashes_d</v>
      </c>
      <c r="E154" s="77" t="str">
        <v>TC-9C3AC7148F20 | The same password hashes differently every time</v>
      </c>
      <c r="F154" s="78" t="str">
        <v>In-process logic; fakes/stubs as declared by the source fixture. Fixture: PasswordHasherTests. 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75" customHeight="1">
      <c r="A155" s="73" t="n">
        <v>147</v>
      </c>
      <c r="B155" s="74" t="str">
        <v>Authentication</v>
      </c>
      <c r="C155" s="75" t="str">
        <v>The_hash_fits_the_column</v>
      </c>
      <c r="D155" s="76" t="str">
        <v>U147-The_hash_fits_the_column</v>
      </c>
      <c r="E155" s="77" t="str">
        <v>TC-4F943C9453A4 | The hash fits the column</v>
      </c>
      <c r="F155" s="78" t="str">
        <v>In-process logic; fakes/stubs as declared by the source fixture. Fixture: PasswordHasherTests. </v>
      </c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75" customHeight="1">
      <c r="A156" s="73" t="n">
        <v>148</v>
      </c>
      <c r="B156" s="74" t="str">
        <v>Authentication</v>
      </c>
      <c r="C156" s="75" t="str">
        <v>A_malformed_stored_hash_fails_verification_instead_of_throwing</v>
      </c>
      <c r="D156" s="76" t="str">
        <v>U148-A_malformed_stored_hash_fa</v>
      </c>
      <c r="E156" s="77" t="str">
        <v>TC-DA024FBF2528 | A malformed stored hash fails verification instead of throwing</v>
      </c>
      <c r="F156" s="78" t="str">
        <v>In-process logic; fakes/stubs as declared by the source fixture. Fixture: PasswordHasherTests. </v>
      </c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75" customHeight="1">
      <c r="A157" s="73" t="n">
        <v>149</v>
      </c>
      <c r="B157" s="74" t="str">
        <v>Authentication</v>
      </c>
      <c r="C157" s="75" t="str">
        <v>A_long_passphrase_is_supported</v>
      </c>
      <c r="D157" s="76" t="str">
        <v>U149-A_long_passphrase_is_suppo</v>
      </c>
      <c r="E157" s="77" t="str">
        <v>TC-BB4427A53A34 | A long passphrase is supported</v>
      </c>
      <c r="F157" s="78" t="str">
        <v>In-process logic; fakes/stubs as declared by the source fixture. Fixture: PasswordHasherTests. </v>
      </c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75" customHeight="1">
      <c r="A158" s="73" t="n">
        <v>150</v>
      </c>
      <c r="B158" s="74" t="str">
        <v>Email</v>
      </c>
      <c r="C158" s="75" t="str">
        <v>Reconciliation_failures_are_retried_without_blocking_processing_in_fresh_scopes</v>
      </c>
      <c r="D158" s="76" t="str">
        <v>U150-Reconciliation_failures_ar</v>
      </c>
      <c r="E158" s="77" t="str">
        <v>TC-DDDB2F41A81D | Reconciliation failures are retried without blocking processing in fresh scopes</v>
      </c>
      <c r="F158" s="78" t="str">
        <v>In-process logic; fakes/stubs as declared by the source fixture. Fixture: EmailDeliveryWorkerTests. </v>
      </c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75" customHeight="1">
      <c r="A159" s="73" t="n">
        <v>151</v>
      </c>
      <c r="B159" s="74" t="str">
        <v>Email</v>
      </c>
      <c r="C159" s="75" t="str">
        <v>Host_cancellation_during_reconciliation_stops_before_processing</v>
      </c>
      <c r="D159" s="76" t="str">
        <v>U151-Host_cancellation_during_r</v>
      </c>
      <c r="E159" s="77" t="str">
        <v>TC-F62C0FB3EDD0 | Host cancellation during reconciliation stops before processing</v>
      </c>
      <c r="F159" s="78" t="str">
        <v>In-process logic; fakes/stubs as declared by the source fixture. Fixture: EmailDeliveryWorkerTests. </v>
      </c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75" customHeight="1">
      <c r="A160" s="73" t="n">
        <v>152</v>
      </c>
      <c r="B160" s="74" t="str">
        <v>Email</v>
      </c>
      <c r="C160" s="75" t="str">
        <v>Sends_the_link_to_the_registered_address</v>
      </c>
      <c r="D160" s="76" t="str">
        <v>U152-Sends_the_link_to_the_regi</v>
      </c>
      <c r="E160" s="77" t="str">
        <v>TC-AD41950FE9BD | Sends the link to the registered address</v>
      </c>
      <c r="F160" s="78" t="str">
        <v>In-process logic; fakes/stubs as declared by the source fixture. Fixture: PasswordResetEmailSenderTests. </v>
      </c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75" customHeight="1">
      <c r="A161" s="73" t="n">
        <v>153</v>
      </c>
      <c r="B161" s="74" t="str">
        <v>Email</v>
      </c>
      <c r="C161" s="75" t="str">
        <v>The_token_travels_in_the_fragment_not_the_query_string</v>
      </c>
      <c r="D161" s="76" t="str">
        <v>U153-The_token_travels_in_the_f</v>
      </c>
      <c r="E161" s="77" t="str">
        <v>TC-EDE60E60FF27 | The token travels in the fragment not the query string</v>
      </c>
      <c r="F161" s="78" t="str">
        <v>In-process logic; fakes/stubs as declared by the source fixture. Fixture: PasswordResetEmailSenderTests. </v>
      </c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75" customHeight="1">
      <c r="A162" s="73" t="n">
        <v>154</v>
      </c>
      <c r="B162" s="74" t="str">
        <v>Email</v>
      </c>
      <c r="C162" s="75" t="str">
        <v>Disabled_email_delivery_is_a_failed_send</v>
      </c>
      <c r="D162" s="76" t="str">
        <v>U154-Disabled_email_delivery_is</v>
      </c>
      <c r="E162" s="77" t="str">
        <v>TC-4B17656AD9B6 | Disabled email delivery is a failed send</v>
      </c>
      <c r="F162" s="78" t="str">
        <v>In-process logic; fakes/stubs as declared by the source fixture. Fixture: PasswordResetEmailSenderTests. </v>
      </c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75" customHeight="1">
      <c r="A163" s="73" t="n">
        <v>155</v>
      </c>
      <c r="B163" s="74" t="str">
        <v>Email</v>
      </c>
      <c r="C163" s="75" t="str">
        <v>A_server_error_is_a_failed_send_not_an_exception</v>
      </c>
      <c r="D163" s="76" t="str">
        <v>U155-A_server_error_is_a_failed</v>
      </c>
      <c r="E163" s="77" t="str">
        <v>TC-41672ECEEC5B | A server error is a failed send not an exception</v>
      </c>
      <c r="F163" s="78" t="str">
        <v>In-process logic; fakes/stubs as declared by the source fixture. Fixture: PasswordResetEmailSenderTests. </v>
      </c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75" customHeight="1">
      <c r="A164" s="73" t="n">
        <v>156</v>
      </c>
      <c r="B164" s="74" t="str">
        <v>Email</v>
      </c>
      <c r="C164" s="75" t="str">
        <v>A_server_that_never_answers_is_a_failed_send_after_the_timeout</v>
      </c>
      <c r="D164" s="76" t="str">
        <v>U156-A_server_that_never_answer</v>
      </c>
      <c r="E164" s="77" t="str">
        <v>TC-735CD336217A | A server that never answers is a failed send after the timeout</v>
      </c>
      <c r="F164" s="78" t="str">
        <v>In-process logic; fakes/stubs as declared by the source fixture. Fixture: PasswordResetEmailSenderTests. </v>
      </c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75" customHeight="1">
      <c r="A165" s="73" t="n">
        <v>157</v>
      </c>
      <c r="B165" s="74" t="str">
        <v>Email</v>
      </c>
      <c r="C165" s="75" t="str">
        <v>A_cancelled_request_is_not_reported_as_a_failed_send</v>
      </c>
      <c r="D165" s="76" t="str">
        <v>U157-A_cancelled_request_is_not</v>
      </c>
      <c r="E165" s="77" t="str">
        <v>TC-9DFDFEA4F9CB | A cancelled request is not reported as a failed send</v>
      </c>
      <c r="F165" s="78" t="str">
        <v>In-process logic; fakes/stubs as declared by the source fixture. Fixture: PasswordResetEmailSenderTests. </v>
      </c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75" customHeight="1">
      <c r="A166" s="73" t="n">
        <v>158</v>
      </c>
      <c r="B166" s="74" t="str">
        <v>Meetings</v>
      </c>
      <c r="C166" s="75" t="str">
        <v>Delegate_is_not_added_by_reference_but_qualifies_with_own_active_non_delegated_row</v>
      </c>
      <c r="D166" s="76" t="str">
        <v>U158-Delegate_is_not_added_by_r</v>
      </c>
      <c r="E166" s="77" t="str">
        <v>TC-34CB8A2E76BB | Delegate is not added by reference but qualifies with own active non delegated row</v>
      </c>
      <c r="F166" s="78" t="str">
        <v>In-process logic; fakes/stubs as declared by the source fixture. Fixture: MeetingInvitationRecipientPolicyTests. </v>
      </c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75" customHeight="1">
      <c r="A167" s="73" t="n">
        <v>159</v>
      </c>
      <c r="B167" s="74" t="str">
        <v>Meetings</v>
      </c>
      <c r="C167" s="75" t="str">
        <v>Snapshot_excludes_inactive_users_and_duplicate_rows_by_user_id</v>
      </c>
      <c r="D167" s="76" t="str">
        <v>U159-Snapshot_excludes_inactive</v>
      </c>
      <c r="E167" s="77" t="str">
        <v>TC-D4FE92810E70 | Snapshot excludes inactive users and duplicate rows by user id</v>
      </c>
      <c r="F167" s="78" t="str">
        <v>In-process logic; fakes/stubs as declared by the source fixture. Fixture: MeetingInvitationRecipientPolicyTests. </v>
      </c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75" customHeight="1">
      <c r="A168" s="73" t="n">
        <v>160</v>
      </c>
      <c r="B168" s="74" t="str">
        <v>Meetings</v>
      </c>
      <c r="C168" s="75" t="str">
        <v>Empty_query_uses_defaults</v>
      </c>
      <c r="D168" s="76" t="str">
        <v>U160-Empty_query_uses_defaults</v>
      </c>
      <c r="E168" s="77" t="str">
        <v>TC-4D9A02F6DD68 | Empty query uses defaults</v>
      </c>
      <c r="F168" s="78" t="str">
        <v>In-process logic; fakes/stubs as declared by the source fixture. Fixture: MeetingListQueryParserTests. </v>
      </c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75" customHeight="1">
      <c r="A169" s="73" t="n">
        <v>161</v>
      </c>
      <c r="B169" s="74" t="str">
        <v>Meetings</v>
      </c>
      <c r="C169" s="75" t="str">
        <v>Valid_query_normalizes_dates_search_and_sort</v>
      </c>
      <c r="D169" s="76" t="str">
        <v>U161-Valid_query_normalizes_dat</v>
      </c>
      <c r="E169" s="77" t="str">
        <v>TC-677FF6DD51FB | Valid query normalizes dates search and sort</v>
      </c>
      <c r="F169" s="78" t="str">
        <v>In-process logic; fakes/stubs as declared by the source fixture. Fixture: MeetingListQueryParserTests. </v>
      </c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75" customHeight="1">
      <c r="A170" s="73" t="n">
        <v>162</v>
      </c>
      <c r="B170" s="74" t="str">
        <v>Meetings</v>
      </c>
      <c r="C170" s="75" t="str">
        <v>Timestamp_with_timezone_is_normalized_to_utc</v>
      </c>
      <c r="D170" s="76" t="str">
        <v>U162-Timestamp_with_timezone_is</v>
      </c>
      <c r="E170" s="77" t="str">
        <v>TC-279B77B0D987 | Timestamp with timezone is normalized to utc</v>
      </c>
      <c r="F170" s="78" t="str">
        <v>In-process logic; fakes/stubs as declared by the source fixture. Fixture: MeetingListQueryParserTests. </v>
      </c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75" customHeight="1">
      <c r="A171" s="73" t="n">
        <v>163</v>
      </c>
      <c r="B171" s="74" t="str">
        <v>Meetings</v>
      </c>
      <c r="C171" s="75" t="str">
        <v>Sort_field_without_direction_uses_field_default</v>
      </c>
      <c r="D171" s="76" t="str">
        <v>U163-Sort_field_without_directi</v>
      </c>
      <c r="E171" s="77" t="str">
        <v>TC-672CE9A96AC2 | Sort field without direction uses field default</v>
      </c>
      <c r="F171" s="78" t="str">
        <v>In-process logic; fakes/stubs as declared by the source fixture. Fixture: MeetingListQueryParserTests. </v>
      </c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75" customHeight="1">
      <c r="A172" s="73" t="n">
        <v>164</v>
      </c>
      <c r="B172" s="74" t="str">
        <v>Meetings</v>
      </c>
      <c r="C172" s="75" t="str">
        <v>Direction_without_sort_field_applies_to_planned_start_time</v>
      </c>
      <c r="D172" s="76" t="str">
        <v>U164-Direction_without_sort_fie</v>
      </c>
      <c r="E172" s="77" t="str">
        <v>TC-10C8B13D11C7 | Direction without sort field applies to planned start time</v>
      </c>
      <c r="F172" s="78" t="str">
        <v>In-process logic; fakes/stubs as declared by the source fixture. Fixture: MeetingListQueryParserTests. </v>
      </c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75" customHeight="1">
      <c r="A173" s="73" t="n">
        <v>165</v>
      </c>
      <c r="B173" s="74" t="str">
        <v>Meetings</v>
      </c>
      <c r="C173" s="75" t="str">
        <v>Invalid_value_returns_its_field_error</v>
      </c>
      <c r="D173" s="76" t="str">
        <v>U165-Invalid_value_returns_its_</v>
      </c>
      <c r="E173" s="77" t="str">
        <v>TC-43D3E55DEF80 | Invalid value returns its field error</v>
      </c>
      <c r="F173" s="78" t="str">
        <v>In-process logic; fakes/stubs as declared by the source fixture. Fixture: MeetingListQueryParserTests. </v>
      </c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75" customHeight="1">
      <c r="A174" s="73" t="n">
        <v>166</v>
      </c>
      <c r="B174" s="74" t="str">
        <v>Meetings</v>
      </c>
      <c r="C174" s="75" t="str">
        <v>Reversed_range_is_invalid</v>
      </c>
      <c r="D174" s="76" t="str">
        <v>U166-Reversed_range_is_invalid</v>
      </c>
      <c r="E174" s="77" t="str">
        <v>TC-32E830882E97 | Reversed range is invalid</v>
      </c>
      <c r="F174" s="78" t="str">
        <v>In-process logic; fakes/stubs as declared by the source fixture. Fixture: MeetingListQueryParserTests. </v>
      </c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75" customHeight="1">
      <c r="A175" s="73" t="n">
        <v>167</v>
      </c>
      <c r="B175" s="74" t="str">
        <v>Meetings</v>
      </c>
      <c r="C175" s="75" t="str">
        <v>Large_page_is_valid_query</v>
      </c>
      <c r="D175" s="76" t="str">
        <v>U167-Large_page_is_valid_query</v>
      </c>
      <c r="E175" s="77" t="str">
        <v>TC-394A8E3F5E41 | Large page is valid query</v>
      </c>
      <c r="F175" s="78" t="str">
        <v>In-process logic; fakes/stubs as declared by the source fixture. Fixture: MeetingListQueryParserTests. </v>
      </c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75" customHeight="1">
      <c r="A176" s="73" t="n">
        <v>168</v>
      </c>
      <c r="B176" s="74" t="str">
        <v>Meetings</v>
      </c>
      <c r="C176" s="75" t="str">
        <v>Parser_reports_independent_errors_together</v>
      </c>
      <c r="D176" s="76" t="str">
        <v>U168-Parser_reports_independent</v>
      </c>
      <c r="E176" s="77" t="str">
        <v>TC-22D661499E2D | Parser reports independent errors together</v>
      </c>
      <c r="F176" s="78" t="str">
        <v>In-process logic; fakes/stubs as declared by the source fixture. Fixture: MeetingListQueryParserTests. </v>
      </c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75" customHeight="1">
      <c r="A177" s="73" t="n">
        <v>169</v>
      </c>
      <c r="B177" s="74" t="str">
        <v>Meetings</v>
      </c>
      <c r="C177" s="75" t="str">
        <v>In_memory_and_query_policies_keep_relationship_permissions_for_every_state</v>
      </c>
      <c r="D177" s="76" t="str">
        <v>U169-In_memory_and_query_polici</v>
      </c>
      <c r="E177" s="77" t="str">
        <v>TC-19F88503C666 | In memory and query policies keep relationship permissions for every state</v>
      </c>
      <c r="F177" s="78" t="str">
        <v>In-process logic; fakes/stubs as declared by the source fixture. Fixture: MeetingReadPolicyTests. Dynamic data is resolved during execution.</v>
      </c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75" customHeight="1">
      <c r="A178" s="73" t="n">
        <v>170</v>
      </c>
      <c r="B178" s="74" t="str">
        <v>Meetings</v>
      </c>
      <c r="C178" s="75" t="str">
        <v>Reassignment_revokes_the_old_approver_without_caching_the_previous_caller</v>
      </c>
      <c r="D178" s="76" t="str">
        <v>U170-Reassignment_revokes_the_o</v>
      </c>
      <c r="E178" s="77" t="str">
        <v>TC-26C28954A4E6 | Reassignment revokes the old approver without caching the previous caller</v>
      </c>
      <c r="F178" s="78" t="str">
        <v>In-process logic; fakes/stubs as declared by the source fixture. Fixture: MeetingReadPolicyTests. 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75" customHeight="1">
      <c r="A179" s="73" t="n">
        <v>171</v>
      </c>
      <c r="B179" s="74" t="str">
        <v>Meetings</v>
      </c>
      <c r="C179" s="75" t="str">
        <v>Assigned_secretary_can_read_content_and_rejection_evidence_without_transfer_metadata</v>
      </c>
      <c r="D179" s="76" t="str">
        <v>U171-Assigned_secretary_can_rea</v>
      </c>
      <c r="E179" s="77" t="str">
        <v>TC-6AE83E54307B | Assigned secretary can read content and rejection evidence without transfer metadata</v>
      </c>
      <c r="F179" s="78" t="str">
        <v>In-process logic; fakes/stubs as declared by the source fixture. Fixture: MeetingReadPolicyTests. Dynamic data is resolved during execution.</v>
      </c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75" customHeight="1">
      <c r="A180" s="73" t="n">
        <v>172</v>
      </c>
      <c r="B180" s="74" t="str">
        <v>Meetings</v>
      </c>
      <c r="C180" s="75" t="str">
        <v>Assigned_chair_reads_content_and_redacted_history_only_after_publication</v>
      </c>
      <c r="D180" s="76" t="str">
        <v>U172-Assigned_chair_reads_conte</v>
      </c>
      <c r="E180" s="77" t="str">
        <v>TC-3CCD6AC36BC9 | Assigned chair reads content and redacted history only after publication</v>
      </c>
      <c r="F180" s="78" t="str">
        <v>In-process logic; fakes/stubs as declared by the source fixture. Fixture: MeetingReadPolicyTests. Dynamic data is resolved during execution.</v>
      </c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75" customHeight="1">
      <c r="A181" s="73" t="n">
        <v>173</v>
      </c>
      <c r="B181" s="74" t="str">
        <v>Meetings</v>
      </c>
      <c r="C181" s="75" t="str">
        <v>Unassigned_or_ineligible_secretary_cannot_read_prepublication_rejection_evidence</v>
      </c>
      <c r="D181" s="76" t="str">
        <v>U173-Unassigned_or_ineligible_s</v>
      </c>
      <c r="E181" s="77" t="str">
        <v>TC-053DAB6380F5 | Unassigned or ineligible secretary cannot read prepublication rejection evidence</v>
      </c>
      <c r="F181" s="78" t="str">
        <v>In-process logic; fakes/stubs as declared by the source fixture. Fixture: MeetingReadPolicyTests. </v>
      </c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75" customHeight="1">
      <c r="A182" s="73" t="n">
        <v>174</v>
      </c>
      <c r="B182" s="74" t="str">
        <v>Meetings</v>
      </c>
      <c r="C182" s="75" t="str">
        <v>Invalid_participant_assignment_never_grants_content_access</v>
      </c>
      <c r="D182" s="76" t="str">
        <v>U174-Invalid_participant_assign</v>
      </c>
      <c r="E182" s="77" t="str">
        <v>TC-045BE3F41C2E | Invalid participant assignment never grants content access</v>
      </c>
      <c r="F182" s="78" t="str">
        <v>In-process logic; fakes/stubs as declared by the source fixture. Fixture: MeetingReadPolicyTests. </v>
      </c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75" customHeight="1">
      <c r="A183" s="73" t="n">
        <v>175</v>
      </c>
      <c r="B183" s="74" t="str">
        <v>Meetings</v>
      </c>
      <c r="C183" s="75" t="str">
        <v>Create_rejects_a_missing_or_blank_title</v>
      </c>
      <c r="D183" s="76" t="str">
        <v>U175-Create_rejects_a_missing_o</v>
      </c>
      <c r="E183" s="77" t="str">
        <v>TC-BD4D519B552E | Create rejects a missing or blank title</v>
      </c>
      <c r="F183" s="78" t="str">
        <v>In-process logic; fakes/stubs as declared by the source fixture. Fixture: MeetingServiceTests. </v>
      </c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75" customHeight="1">
      <c r="A184" s="73" t="n">
        <v>176</v>
      </c>
      <c r="B184" s="74" t="str">
        <v>Meetings</v>
      </c>
      <c r="C184" s="75" t="str">
        <v>Validation_collects_field_errors_and_enforces_lengths</v>
      </c>
      <c r="D184" s="76" t="str">
        <v>U176-Validation_collects_field_</v>
      </c>
      <c r="E184" s="77" t="str">
        <v>TC-2ABED061D1D0 | Validation collects field errors and enforces lengths</v>
      </c>
      <c r="F184" s="78" t="str">
        <v>In-process logic; fakes/stubs as declared by the source fixture. Fixture: MeetingServiceTests. </v>
      </c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75" customHeight="1">
      <c r="A185" s="73" t="n">
        <v>177</v>
      </c>
      <c r="B185" s="74" t="str">
        <v>Meetings</v>
      </c>
      <c r="C185" s="75" t="str">
        <v>Create_accepts_each_supported_mode_and_sensitivity</v>
      </c>
      <c r="D185" s="76" t="str">
        <v>U177-Create_accepts_each_suppor</v>
      </c>
      <c r="E185" s="77" t="str">
        <v>TC-254C828602C8 | Create accepts each supported mode and sensitivity</v>
      </c>
      <c r="F185" s="78" t="str">
        <v>In-process logic; fakes/stubs as declared by the source fixture. Fixture: MeetingServiceTests. 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75" customHeight="1">
      <c r="A186" s="73" t="n">
        <v>178</v>
      </c>
      <c r="B186" s="74" t="str">
        <v>Meetings</v>
      </c>
      <c r="C186" s="75" t="str">
        <v>Create_uses_form_defaults</v>
      </c>
      <c r="D186" s="76" t="str">
        <v>U178-Create_uses_form_defaults</v>
      </c>
      <c r="E186" s="77" t="str">
        <v>TC-53096925C2BD | Create uses form defaults</v>
      </c>
      <c r="F186" s="78" t="str">
        <v>In-process logic; fakes/stubs as declared by the source fixture. Fixture: MeetingServiceTests. </v>
      </c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75" customHeight="1">
      <c r="A187" s="73" t="n">
        <v>179</v>
      </c>
      <c r="B187" s="74" t="str">
        <v>Meetings</v>
      </c>
      <c r="C187" s="75" t="str">
        <v>Create_accepts_the_documented_maximum_lengths</v>
      </c>
      <c r="D187" s="76" t="str">
        <v>U179-Create_accepts_the_documen</v>
      </c>
      <c r="E187" s="77" t="str">
        <v>TC-5C5FAA871801 | Create accepts the documented maximum lengths</v>
      </c>
      <c r="F187" s="78" t="str">
        <v>In-process logic; fakes/stubs as declared by the source fixture. Fixture: MeetingServiceTests. </v>
      </c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75" customHeight="1">
      <c r="A188" s="73" t="n">
        <v>180</v>
      </c>
      <c r="B188" s="74" t="str">
        <v>Meetings</v>
      </c>
      <c r="C188" s="75" t="str">
        <v>Create_stores_the_planned_schedule_in_utc</v>
      </c>
      <c r="D188" s="76" t="str">
        <v>U180-Create_stores_the_planned_</v>
      </c>
      <c r="E188" s="77" t="str">
        <v>TC-536386F45EFF | Create stores the planned schedule in utc</v>
      </c>
      <c r="F188" s="78" t="str">
        <v>In-process logic; fakes/stubs as declared by the source fixture. Fixture: MeetingServiceTests. </v>
      </c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75" customHeight="1">
      <c r="A189" s="73" t="n">
        <v>181</v>
      </c>
      <c r="B189" s="74" t="str">
        <v>Meetings</v>
      </c>
      <c r="C189" s="75" t="str">
        <v>Create_rejects_a_time_without_an_offset</v>
      </c>
      <c r="D189" s="76" t="str">
        <v>U181-Create_rejects_a_time_with</v>
      </c>
      <c r="E189" s="77" t="str">
        <v>TC-575AB13BB94C | Create rejects a time without an offset</v>
      </c>
      <c r="F189" s="78" t="str">
        <v>In-process logic; fakes/stubs as declared by the source fixture. Fixture: MeetingServiceTests. 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75" customHeight="1">
      <c r="A190" s="73" t="n">
        <v>182</v>
      </c>
      <c r="B190" s="74" t="str">
        <v>Meetings</v>
      </c>
      <c r="C190" s="75" t="str">
        <v>Update_of_a_draft_keeps_a_start_that_has_already_passed</v>
      </c>
      <c r="D190" s="76" t="str">
        <v>U182-Update_of_a_draft_keeps_a_</v>
      </c>
      <c r="E190" s="77" t="str">
        <v>TC-9E10EE932159 | Update of a draft keeps a start that has already passed</v>
      </c>
      <c r="F190" s="78" t="str">
        <v>In-process logic; fakes/stubs as declared by the source fixture. Fixture: MeetingServiceTests. </v>
      </c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75" customHeight="1">
      <c r="A191" s="73" t="n">
        <v>183</v>
      </c>
      <c r="B191" s="74" t="str">
        <v>Meetings</v>
      </c>
      <c r="C191" s="75" t="str">
        <v>Create_leaves_the_approver_unassigned_until_submission</v>
      </c>
      <c r="D191" s="76" t="str">
        <v>U183-Create_leaves_the_approver</v>
      </c>
      <c r="E191" s="77" t="str">
        <v>TC-45AB5813C484 | Create leaves the approver unassigned until submission</v>
      </c>
      <c r="F191" s="78" t="str">
        <v>In-process logic; fakes/stubs as declared by the source fixture. Fixture: MeetingServiceTests. </v>
      </c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75" customHeight="1">
      <c r="A192" s="73" t="n">
        <v>184</v>
      </c>
      <c r="B192" s="74" t="str">
        <v>Meetings</v>
      </c>
      <c r="C192" s="75" t="str">
        <v>Create_does_not_assign_or_validate_a_draft_approver</v>
      </c>
      <c r="D192" s="76" t="str">
        <v>U184-Create_does_not_assign_or_</v>
      </c>
      <c r="E192" s="77" t="str">
        <v>TC-D8E08F584AB2 | Create does not assign or validate a draft approver</v>
      </c>
      <c r="F192" s="78" t="str">
        <v>In-process logic; fakes/stubs as declared by the source fixture. Fixture: MeetingServiceTests. </v>
      </c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75" customHeight="1">
      <c r="A193" s="73" t="n">
        <v>185</v>
      </c>
      <c r="B193" s="74" t="str">
        <v>Meetings</v>
      </c>
      <c r="C193" s="75" t="str">
        <v>Update_changes_draft_fields_and_preserves_assignment_without_changing_lifecycle</v>
      </c>
      <c r="D193" s="76" t="str">
        <v>U185-Update_changes_draft_field</v>
      </c>
      <c r="E193" s="77" t="str">
        <v>TC-B478CC7016C5 | Update changes draft fields and preserves assignment without changing lifecycle</v>
      </c>
      <c r="F193" s="78" t="str">
        <v>In-process logic; fakes/stubs as declared by the source fixture. Fixture: MeetingServiceTests. </v>
      </c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75" customHeight="1">
      <c r="A194" s="73" t="n">
        <v>186</v>
      </c>
      <c r="B194" s="74" t="str">
        <v>Meetings</v>
      </c>
      <c r="C194" s="75" t="str">
        <v>Update_uses_form_defaults</v>
      </c>
      <c r="D194" s="76" t="str">
        <v>U186-Update_uses_form_defaults</v>
      </c>
      <c r="E194" s="77" t="str">
        <v>TC-5A4F7044A4C6 | Update uses form defaults</v>
      </c>
      <c r="F194" s="78" t="str">
        <v>In-process logic; fakes/stubs as declared by the source fixture. Fixture: MeetingServiceTests. </v>
      </c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75" customHeight="1">
      <c r="A195" s="73" t="n">
        <v>187</v>
      </c>
      <c r="B195" s="74" t="str">
        <v>Meetings</v>
      </c>
      <c r="C195" s="75" t="str">
        <v>Update_changes_rejected_information_without_changing_assignment_or_rejection_history</v>
      </c>
      <c r="D195" s="76" t="str">
        <v>U187-Update_changes_rejected_in</v>
      </c>
      <c r="E195" s="77" t="str">
        <v>TC-24B390396CF8 | Update changes rejected information without changing assignment or rejection history</v>
      </c>
      <c r="F195" s="78" t="str">
        <v>In-process logic; fakes/stubs as declared by the source fixture. Fixture: MeetingServiceTests. </v>
      </c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75" customHeight="1">
      <c r="A196" s="73" t="n">
        <v>188</v>
      </c>
      <c r="B196" s="74" t="str">
        <v>Meetings</v>
      </c>
      <c r="C196" s="75" t="str">
        <v>Update_returns_validation_errors_without_saving</v>
      </c>
      <c r="D196" s="76" t="str">
        <v>U188-Update_returns_validation_</v>
      </c>
      <c r="E196" s="77" t="str">
        <v>TC-A1E8328E6A8F | Update returns validation errors without saving</v>
      </c>
      <c r="F196" s="78" t="str">
        <v>In-process logic; fakes/stubs as declared by the source fixture. Fixture: MeetingServiceTests. </v>
      </c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75" customHeight="1">
      <c r="A197" s="73" t="n">
        <v>189</v>
      </c>
      <c r="B197" s="74" t="str">
        <v>Meetings</v>
      </c>
      <c r="C197" s="75" t="str">
        <v>Update_rejects_a_meeting_outside_draft_rejected_or_published</v>
      </c>
      <c r="D197" s="76" t="str">
        <v>U189-Update_rejects_a_meeting_o</v>
      </c>
      <c r="E197" s="77" t="str">
        <v>TC-6DA53B185C87 | Update rejects a meeting outside draft rejected or published</v>
      </c>
      <c r="F197" s="78" t="str">
        <v>In-process logic; fakes/stubs as declared by the source fixture. Fixture: MeetingServiceTests. </v>
      </c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75" customHeight="1">
      <c r="A198" s="73" t="n">
        <v>190</v>
      </c>
      <c r="B198" s="74" t="str">
        <v>Meetings</v>
      </c>
      <c r="C198" s="75" t="str">
        <v>Update_does_not_save_when_information_is_unchanged</v>
      </c>
      <c r="D198" s="76" t="str">
        <v>U190-Update_does_not_save_when_</v>
      </c>
      <c r="E198" s="77" t="str">
        <v>TC-10CC1A933B45 | Update does not save when information is unchanged</v>
      </c>
      <c r="F198" s="78" t="str">
        <v>In-process logic; fakes/stubs as declared by the source fixture. Fixture: MeetingServiceTests. </v>
      </c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75" customHeight="1">
      <c r="A199" s="73" t="n">
        <v>191</v>
      </c>
      <c r="B199" s="74" t="str">
        <v>Meetings</v>
      </c>
      <c r="C199" s="75" t="str">
        <v>Update_preserves_a_draft_assignment_when_information_is_unchanged</v>
      </c>
      <c r="D199" s="76" t="str">
        <v>U191-Update_preserves_a_draft_a</v>
      </c>
      <c r="E199" s="77" t="str">
        <v>TC-AFB301786BDC | Update preserves a draft assignment when information is unchanged</v>
      </c>
      <c r="F199" s="78" t="str">
        <v>In-process logic; fakes/stubs as declared by the source fixture. Fixture: MeetingServiceTests. </v>
      </c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75" customHeight="1">
      <c r="A200" s="73" t="n">
        <v>192</v>
      </c>
      <c r="B200" s="74" t="str">
        <v>Meetings</v>
      </c>
      <c r="C200" s="75" t="str">
        <v>Get_and_update_return_the_same_not_found_for_missing_or_other_owners</v>
      </c>
      <c r="D200" s="76" t="str">
        <v>U192-Get_and_update_return_the_</v>
      </c>
      <c r="E200" s="77" t="str">
        <v>TC-F1CC6930CE91 | Get and update return the same not found for missing or other owners</v>
      </c>
      <c r="F200" s="78" t="str">
        <v>In-process logic; fakes/stubs as declared by the source fixture. Fixture: MeetingServiceTests. </v>
      </c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75" customHeight="1">
      <c r="A201" s="73" t="n">
        <v>193</v>
      </c>
      <c r="B201" s="74" t="str">
        <v>Meetings</v>
      </c>
      <c r="C201" s="75" t="str">
        <v>Get_allows_the_assigned_approver_and_a_meeting_participant</v>
      </c>
      <c r="D201" s="76" t="str">
        <v>U193-Get_allows_the_assigned_ap</v>
      </c>
      <c r="E201" s="77" t="str">
        <v>TC-392B5D7A69FA | Get allows the assigned approver and a meeting participant</v>
      </c>
      <c r="F201" s="78" t="str">
        <v>In-process logic; fakes/stubs as declared by the source fixture. Fixture: MeetingServiceTests. 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75" customHeight="1">
      <c r="A202" s="73" t="n">
        <v>194</v>
      </c>
      <c r="B202" s="74" t="str">
        <v>Meetings</v>
      </c>
      <c r="C202" s="75" t="str">
        <v>Get_returns_a_read_failure_when_the_repository_fails</v>
      </c>
      <c r="D202" s="76" t="str">
        <v>U194-Get_returns_a_read_failure</v>
      </c>
      <c r="E202" s="77" t="str">
        <v>TC-EE4E65CFB6CC | Get returns a read failure when the repository fails</v>
      </c>
      <c r="F202" s="78" t="str">
        <v>In-process logic; fakes/stubs as declared by the source fixture. Fixture: MeetingServiceTests. </v>
      </c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75" customHeight="1">
      <c r="A203" s="73" t="n">
        <v>195</v>
      </c>
      <c r="B203" s="74" t="str">
        <v>Meetings</v>
      </c>
      <c r="C203" s="75" t="str">
        <v>List_forwards_criteria_and_actor_and_returns_the_page</v>
      </c>
      <c r="D203" s="76" t="str">
        <v>U195-List_forwards_criteria_and</v>
      </c>
      <c r="E203" s="77" t="str">
        <v>TC-8CD3966AED22 | List forwards criteria and actor and returns the page</v>
      </c>
      <c r="F203" s="78" t="str">
        <v>In-process logic; fakes/stubs as declared by the source fixture. Fixture: MeetingServiceTests. </v>
      </c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75" customHeight="1">
      <c r="A204" s="73" t="n">
        <v>196</v>
      </c>
      <c r="B204" s="74" t="str">
        <v>Meetings</v>
      </c>
      <c r="C204" s="75" t="str">
        <v>List_maps_a_database_failure_to_read_failed</v>
      </c>
      <c r="D204" s="76" t="str">
        <v>U196-List_maps_a_database_failu</v>
      </c>
      <c r="E204" s="77" t="str">
        <v>TC-E22B7F8D14A3 | List maps a database failure to read failed</v>
      </c>
      <c r="F204" s="78" t="str">
        <v>In-process logic; fakes/stubs as declared by the source fixture. Fixture: MeetingServiceTests. </v>
      </c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75" customHeight="1">
      <c r="A205" s="73" t="n">
        <v>197</v>
      </c>
      <c r="B205" s="74" t="str">
        <v>Meetings</v>
      </c>
      <c r="C205" s="75" t="str">
        <v>List_propagates_request_cancellation</v>
      </c>
      <c r="D205" s="76" t="str">
        <v>U197-List_propagates_request_ca</v>
      </c>
      <c r="E205" s="77" t="str">
        <v>TC-6FD9FE318439 | List propagates request cancellation</v>
      </c>
      <c r="F205" s="78" t="str">
        <v>In-process logic; fakes/stubs as declared by the source fixture. Fixture: MeetingServiceTests. </v>
      </c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75" customHeight="1">
      <c r="A206" s="73" t="n">
        <v>198</v>
      </c>
      <c r="B206" s="74" t="str">
        <v>Meetings</v>
      </c>
      <c r="C206" s="75" t="str">
        <v>List_eligible_approvers_returns_the_repository_options</v>
      </c>
      <c r="D206" s="76" t="str">
        <v>U198-List_eligible_approvers_re</v>
      </c>
      <c r="E206" s="77" t="str">
        <v>TC-0B1071CD856C | List eligible approvers returns the repository options</v>
      </c>
      <c r="F206" s="78" t="str">
        <v>In-process logic; fakes/stubs as declared by the source fixture. Fixture: MeetingServiceTests. </v>
      </c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75" customHeight="1">
      <c r="A207" s="73" t="n">
        <v>199</v>
      </c>
      <c r="B207" s="74" t="str">
        <v>Meetings</v>
      </c>
      <c r="C207" s="75" t="str">
        <v>List_eligible_approvers_maps_database_failure_to_read_failed</v>
      </c>
      <c r="D207" s="76" t="str">
        <v>U199-List_eligible_approvers_ma</v>
      </c>
      <c r="E207" s="77" t="str">
        <v>TC-2FC8BCD252C0 | List eligible approvers maps database failure to read failed</v>
      </c>
      <c r="F207" s="78" t="str">
        <v>In-process logic; fakes/stubs as declared by the source fixture. Fixture: MeetingServiceTests. </v>
      </c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75" customHeight="1">
      <c r="A208" s="73" t="n">
        <v>200</v>
      </c>
      <c r="B208" s="74" t="str">
        <v>Meetings</v>
      </c>
      <c r="C208" s="75" t="str">
        <v>Save_failure_is_returned_as_a_service_failure</v>
      </c>
      <c r="D208" s="76" t="str">
        <v>U200-Save_failure_is_returned_a</v>
      </c>
      <c r="E208" s="77" t="str">
        <v>TC-8E69F46DA0CA | Save failure is returned as a service failure</v>
      </c>
      <c r="F208" s="78" t="str">
        <v>In-process logic; fakes/stubs as declared by the source fixture. Fixture: MeetingServiceTests. </v>
      </c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75" customHeight="1">
      <c r="A209" s="73" t="n">
        <v>201</v>
      </c>
      <c r="B209" s="74" t="str">
        <v>Meetings</v>
      </c>
      <c r="C209" s="75" t="str">
        <v>Update_save_failure_is_returned_and_does_not_keep_mutated_values</v>
      </c>
      <c r="D209" s="76" t="str">
        <v>U201-Update_save_failure_is_ret</v>
      </c>
      <c r="E209" s="77" t="str">
        <v>TC-6438422FA30C | Update save failure is returned and does not keep mutated values</v>
      </c>
      <c r="F209" s="78" t="str">
        <v>In-process logic; fakes/stubs as declared by the source fixture. Fixture: MeetingServiceTests. </v>
      </c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75" customHeight="1">
      <c r="A210" s="73" t="n">
        <v>202</v>
      </c>
      <c r="B210" s="74" t="str">
        <v>Meetings</v>
      </c>
      <c r="C210" s="75" t="str">
        <v>Submission_readiness_does_not_depend_on_agenda_content</v>
      </c>
      <c r="D210" s="76" t="str">
        <v>U202-Submission_readiness_does_</v>
      </c>
      <c r="E210" s="77" t="str">
        <v>TC-4277C1B81EC8 | Submission readiness does not depend on agenda content</v>
      </c>
      <c r="F210" s="78" t="str">
        <v>In-process logic; fakes/stubs as declared by the source fixture. Fixture: MeetingSubmissionReadinessTests. </v>
      </c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75" customHeight="1">
      <c r="A211" s="73" t="n">
        <v>203</v>
      </c>
      <c r="B211" s="74" t="str">
        <v>Meetings</v>
      </c>
      <c r="C211" s="75" t="str">
        <v>Submission_readiness_requires_a_valid_planned_schedule</v>
      </c>
      <c r="D211" s="76" t="str">
        <v>U203-Submission_readiness_requi</v>
      </c>
      <c r="E211" s="77" t="str">
        <v>TC-5D0887D7898E | Submission readiness requires a valid planned schedule</v>
      </c>
      <c r="F211" s="78" t="str">
        <v>In-process logic; fakes/stubs as declared by the source fixture. Fixture: MeetingSubmissionReadinessTests. </v>
      </c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75" customHeight="1">
      <c r="A212" s="73" t="n">
        <v>204</v>
      </c>
      <c r="B212" s="74" t="str">
        <v>Meetings</v>
      </c>
      <c r="C212" s="75" t="str">
        <v>Meeting_readiness_reuses_information_rules_and_keeps_optional_fields_optional</v>
      </c>
      <c r="D212" s="76" t="str">
        <v>U204-Meeting_readiness_reuses_i</v>
      </c>
      <c r="E212" s="77" t="str">
        <v>TC-9579C00299A9 | Meeting readiness reuses information rules and keeps optional fields optional</v>
      </c>
      <c r="F212" s="78" t="str">
        <v>In-process logic; fakes/stubs as declared by the source fixture. Fixture: MeetingSubmissionReadinessTests. </v>
      </c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75" customHeight="1">
      <c r="A213" s="73" t="n">
        <v>205</v>
      </c>
      <c r="B213" s="74" t="str">
        <v>Meetings</v>
      </c>
      <c r="C213" s="75" t="str">
        <v>Submit_records_assignment_history_and_approver_notification</v>
      </c>
      <c r="D213" s="76" t="str">
        <v>U205-Submit_records_assignment_</v>
      </c>
      <c r="E213" s="77" t="str">
        <v>TC-61A2C0C4FC46 | Submit records assignment history and approver notification</v>
      </c>
      <c r="F213" s="78" t="str">
        <v>In-process logic; fakes/stubs as declared by the source fixture. Fixture: MeetingWorkflowServiceTests. </v>
      </c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75" customHeight="1">
      <c r="A214" s="73" t="n">
        <v>206</v>
      </c>
      <c r="B214" s="74" t="str">
        <v>Meetings</v>
      </c>
      <c r="C214" s="75" t="str">
        <v>Approve_notifies_the_organizer</v>
      </c>
      <c r="D214" s="76" t="str">
        <v>U206-Approve_notifies_the_organ</v>
      </c>
      <c r="E214" s="77" t="str">
        <v>TC-65AF745F43B0 | Approve notifies the organizer</v>
      </c>
      <c r="F214" s="78" t="str">
        <v>In-process logic; fakes/stubs as declared by the source fixture. Fixture: MeetingWorkflowServiceTests. 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75" customHeight="1">
      <c r="A215" s="73" t="n">
        <v>207</v>
      </c>
      <c r="B215" s="74" t="str">
        <v>Meetings</v>
      </c>
      <c r="C215" s="75" t="str">
        <v>Reject_notifies_the_organizer_with_the_reason</v>
      </c>
      <c r="D215" s="76" t="str">
        <v>U207-Reject_notifies_the_organi</v>
      </c>
      <c r="E215" s="77" t="str">
        <v>TC-762D81FE3B7E | Reject notifies the organizer with the reason</v>
      </c>
      <c r="F215" s="78" t="str">
        <v>In-process logic; fakes/stubs as declared by the source fixture. Fixture: MeetingWorkflowServiceTests. </v>
      </c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75" customHeight="1">
      <c r="A216" s="73" t="n">
        <v>208</v>
      </c>
      <c r="B216" s="74" t="str">
        <v>Meetings</v>
      </c>
      <c r="C216" s="75" t="str">
        <v>Rejected_meeting_returns_to_draft_with_a_new_history_without_losing_reason</v>
      </c>
      <c r="D216" s="76" t="str">
        <v>U208-Rejected_meeting_returns_t</v>
      </c>
      <c r="E216" s="77" t="str">
        <v>TC-A19BF1DA7AF9 | Rejected meeting returns to draft with a new history without losing reason</v>
      </c>
      <c r="F216" s="78" t="str">
        <v>In-process logic; fakes/stubs as declared by the source fixture. Fixture: MeetingWorkflowServiceTests. 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75" customHeight="1">
      <c r="A217" s="73" t="n">
        <v>209</v>
      </c>
      <c r="B217" s="74" t="str">
        <v>Meetings</v>
      </c>
      <c r="C217" s="75" t="str">
        <v>Draft_approver_selected_by_legacy_data_cannot_read_detail_or_history</v>
      </c>
      <c r="D217" s="76" t="str">
        <v>U209-Draft_approver_selected_by</v>
      </c>
      <c r="E217" s="77" t="str">
        <v>TC-A7C8BC0D4BC6 | Draft approver selected by legacy data cannot read detail or history</v>
      </c>
      <c r="F217" s="78" t="str">
        <v>In-process logic; fakes/stubs as declared by the source fixture. Fixture: MeetingWorkflowServiceTests. 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75" customHeight="1">
      <c r="A218" s="73" t="n">
        <v>210</v>
      </c>
      <c r="B218" s="74" t="str">
        <v>Meetings</v>
      </c>
      <c r="C218" s="75" t="str">
        <v>Assigned_approver_with_capability_can_approve_but_an_unassigned_approver_cannot</v>
      </c>
      <c r="D218" s="76" t="str">
        <v>U210-Assigned_approver_with_cap</v>
      </c>
      <c r="E218" s="77" t="str">
        <v>TC-182BC5094F49 | Assigned approver with capability can approve but an unassigned approver cannot</v>
      </c>
      <c r="F218" s="78" t="str">
        <v>In-process logic; fakes/stubs as declared by the source fixture. Fixture: MeetingWorkflowServiceTests. 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75" customHeight="1">
      <c r="A219" s="73" t="n">
        <v>211</v>
      </c>
      <c r="B219" s="74" t="str">
        <v>Meetings</v>
      </c>
      <c r="C219" s="75" t="str">
        <v>Assigned_approver_without_current_capability_is_forbidden</v>
      </c>
      <c r="D219" s="76" t="str">
        <v>U211-Assigned_approver_without_</v>
      </c>
      <c r="E219" s="77" t="str">
        <v>TC-7DB330F34290 | Assigned approver without current capability is forbidden</v>
      </c>
      <c r="F219" s="78" t="str">
        <v>In-process logic; fakes/stubs as declared by the source fixture. Fixture: MeetingWorkflowServiceTests. </v>
      </c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75" customHeight="1">
      <c r="A220" s="73" t="n">
        <v>212</v>
      </c>
      <c r="B220" s="74" t="str">
        <v>Meetings</v>
      </c>
      <c r="C220" s="75" t="str">
        <v>Readiness_get_and_submit_use_the_same_meeting_information_validation</v>
      </c>
      <c r="D220" s="76" t="str">
        <v>U212-Readiness_get_and_submit_u</v>
      </c>
      <c r="E220" s="77" t="str">
        <v>TC-CF0396C50989 | Readiness get and submit use the same meeting information validation</v>
      </c>
      <c r="F220" s="78" t="str">
        <v>In-process logic; fakes/stubs as declared by the source fixture. Fixture: MeetingWorkflowServiceTests. </v>
      </c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75" customHeight="1">
      <c r="A221" s="73" t="n">
        <v>213</v>
      </c>
      <c r="B221" s="74" t="str">
        <v>Meetings</v>
      </c>
      <c r="C221" s="75" t="str">
        <v>Reject_requires_nonblank_reason_and_stores_trimmed_value</v>
      </c>
      <c r="D221" s="76" t="str">
        <v>U213-Reject_requires_nonblank_r</v>
      </c>
      <c r="E221" s="77" t="str">
        <v>TC-4DACE9F6A075 | Reject requires nonblank reason and stores trimmed value</v>
      </c>
      <c r="F221" s="78" t="str">
        <v>In-process logic; fakes/stubs as declared by the source fixture. Fixture: MeetingWorkflowServiceTests. </v>
      </c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75" customHeight="1">
      <c r="A222" s="73" t="n">
        <v>214</v>
      </c>
      <c r="B222" s="74" t="str">
        <v>Meetings</v>
      </c>
      <c r="C222" s="75" t="str">
        <v>Reject_accepts_exactly_1000_characters_and_rejects_1001</v>
      </c>
      <c r="D222" s="76" t="str">
        <v>U214-Reject_accepts_exactly_100</v>
      </c>
      <c r="E222" s="77" t="str">
        <v>TC-44FB8B0C44E6 | Reject accepts exactly 1000 characters and rejects 1001</v>
      </c>
      <c r="F222" s="78" t="str">
        <v>In-process logic; fakes/stubs as declared by the source fixture. Fixture: MeetingWorkflowServiceTests. </v>
      </c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75" customHeight="1">
      <c r="A223" s="73" t="n">
        <v>215</v>
      </c>
      <c r="B223" s="74" t="str">
        <v>Meetings</v>
      </c>
      <c r="C223" s="75" t="str">
        <v>Publish_notifies_active_non_delegated_participants_and_passes_meeting_id_to_the_email_owner</v>
      </c>
      <c r="D223" s="76" t="str">
        <v>U215-Publish_notifies_active_no</v>
      </c>
      <c r="E223" s="77" t="str">
        <v>TC-6C7E0F28844F | Publish notifies active non delegated participants and passes meeting id to the email owner</v>
      </c>
      <c r="F223" s="78" t="str">
        <v>In-process logic; fakes/stubs as declared by the source fixture. Fixture: MeetingWorkflowServiceTests. </v>
      </c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75" customHeight="1">
      <c r="A224" s="73" t="n">
        <v>216</v>
      </c>
      <c r="B224" s="74" t="str">
        <v>Meetings</v>
      </c>
      <c r="C224" s="75" t="str">
        <v>Publish_does_not_notify_the_publisher_in_app_even_when_they_are_a_participant</v>
      </c>
      <c r="D224" s="76" t="str">
        <v>U216-Publish_does_not_notify_th</v>
      </c>
      <c r="E224" s="77" t="str">
        <v>TC-301D3A5A60F4 | Publish does not notify the publisher in app even when they are a participant</v>
      </c>
      <c r="F224" s="78" t="str">
        <v>In-process logic; fakes/stubs as declared by the source fixture. Fixture: MeetingWorkflowServiceTests. </v>
      </c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75" customHeight="1">
      <c r="A225" s="73" t="n">
        <v>217</v>
      </c>
      <c r="B225" s="74" t="str">
        <v>Meetings</v>
      </c>
      <c r="C225" s="75" t="str">
        <v>Publish_keeps_the_full_unicode_title_available_to_the_email_owner</v>
      </c>
      <c r="D225" s="76" t="str">
        <v>U217-Publish_keeps_the_full_uni</v>
      </c>
      <c r="E225" s="77" t="str">
        <v>TC-02AFF74F606F | Publish keeps the full unicode title available to the email owner</v>
      </c>
      <c r="F225" s="78" t="str">
        <v>In-process logic; fakes/stubs as declared by the source fixture. Fixture: MeetingWorkflowServiceTests. </v>
      </c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75" customHeight="1">
      <c r="A226" s="73" t="n">
        <v>218</v>
      </c>
      <c r="B226" s="74" t="str">
        <v>Meetings</v>
      </c>
      <c r="C226" s="75" t="str">
        <v>Organizer_cannot_submit_to_self_even_with_both_capabilities</v>
      </c>
      <c r="D226" s="76" t="str">
        <v>U218-Organizer_cannot_submit_to</v>
      </c>
      <c r="E226" s="77" t="str">
        <v>TC-595301F86FF8 | Organizer cannot submit to self even with both capabilities</v>
      </c>
      <c r="F226" s="78" t="str">
        <v>In-process logic; fakes/stubs as declared by the source fixture. Fixture: MeetingWorkflowServiceTests. </v>
      </c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75" customHeight="1">
      <c r="A227" s="73" t="n">
        <v>219</v>
      </c>
      <c r="B227" s="74" t="str">
        <v>Meetings</v>
      </c>
      <c r="C227" s="75" t="str">
        <v>Legacy_self_assignment_cannot_approve_or_reject</v>
      </c>
      <c r="D227" s="76" t="str">
        <v>U219-Legacy_self_assignment_can</v>
      </c>
      <c r="E227" s="77" t="str">
        <v>TC-0954C69F9CD9 | Legacy self assignment cannot approve or reject</v>
      </c>
      <c r="F227" s="78" t="str">
        <v>In-process logic; fakes/stubs as declared by the source fixture. Fixture: MeetingWorkflowServiceTests. </v>
      </c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75" customHeight="1">
      <c r="A228" s="73" t="n">
        <v>220</v>
      </c>
      <c r="B228" s="74" t="str">
        <v>Meetings</v>
      </c>
      <c r="C228" s="75" t="str">
        <v>Waiting_approval_can_be_withdrawn_only_when_approver_is_ineligible</v>
      </c>
      <c r="D228" s="76" t="str">
        <v>U220-Waiting_approval_can_be_wi</v>
      </c>
      <c r="E228" s="77" t="str">
        <v>TC-8DF28384EC27 | Waiting approval can be withdrawn only when approver is ineligible</v>
      </c>
      <c r="F228" s="78" t="str">
        <v>In-process logic; fakes/stubs as declared by the source fixture. Fixture: MeetingWorkflowServiceTests. </v>
      </c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75" customHeight="1">
      <c r="A229" s="73" t="n">
        <v>221</v>
      </c>
      <c r="B229" s="74" t="str">
        <v>Meetings</v>
      </c>
      <c r="C229" s="75" t="str">
        <v>Legacy_missing_or_self_assignment_can_be_withdrawn_and_resubmitted</v>
      </c>
      <c r="D229" s="76" t="str">
        <v>U221-Legacy_missing_or_self_ass</v>
      </c>
      <c r="E229" s="77" t="str">
        <v>TC-65F73403A97A | Legacy missing or self assignment can be withdrawn and resubmitted</v>
      </c>
      <c r="F229" s="78" t="str">
        <v>In-process logic; fakes/stubs as declared by the source fixture. Fixture: MeetingWorkflowServiceTests. </v>
      </c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75" customHeight="1">
      <c r="A230" s="73" t="n">
        <v>222</v>
      </c>
      <c r="B230" s="74" t="str">
        <v>Meetings</v>
      </c>
      <c r="C230" s="75" t="str">
        <v>Withdrawal_save_failure_rolls_back_the_blocked_approval_cycle</v>
      </c>
      <c r="D230" s="76" t="str">
        <v>U222-Withdrawal_save_failure_ro</v>
      </c>
      <c r="E230" s="77" t="str">
        <v>TC-85CB1809DB78 | Withdrawal save failure rolls back the blocked approval cycle</v>
      </c>
      <c r="F230" s="78" t="str">
        <v>In-process logic; fakes/stubs as declared by the source fixture. Fixture: MeetingWorkflowServiceTests. 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75" customHeight="1">
      <c r="A231" s="73" t="n">
        <v>223</v>
      </c>
      <c r="B231" s="74" t="str">
        <v>Meetings</v>
      </c>
      <c r="C231" s="75" t="str">
        <v>Ineligible_approver_does_not_allow_withdrawal_from_other_states</v>
      </c>
      <c r="D231" s="76" t="str">
        <v>U223-Ineligible_approver_does_n</v>
      </c>
      <c r="E231" s="77" t="str">
        <v>TC-D5541941C49B | Ineligible approver does not allow withdrawal from other states</v>
      </c>
      <c r="F231" s="78" t="str">
        <v>In-process logic; fakes/stubs as declared by the source fixture. Fixture: MeetingWorkflowServiceTests. 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75" customHeight="1">
      <c r="A232" s="73" t="n">
        <v>224</v>
      </c>
      <c r="B232" s="74" t="str">
        <v>Meetings</v>
      </c>
      <c r="C232" s="75" t="str">
        <v>Invitation_producer_failure_keeps_the_successful_publication_for_worker_retry</v>
      </c>
      <c r="D232" s="76" t="str">
        <v>U224-Invitation_producer_failur</v>
      </c>
      <c r="E232" s="77" t="str">
        <v>TC-C311D740683D | Invitation producer failure keeps the successful publication for worker retry</v>
      </c>
      <c r="F232" s="78" t="str">
        <v>In-process logic; fakes/stubs as declared by the source fixture. Fixture: MeetingWorkflowServiceTests. </v>
      </c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75" customHeight="1">
      <c r="A233" s="73" t="n">
        <v>225</v>
      </c>
      <c r="B233" s="74" t="str">
        <v>Meetings</v>
      </c>
      <c r="C233" s="75" t="str">
        <v>Publish_persistence_failure_rolls_back_status_history_notifications_and_jobs</v>
      </c>
      <c r="D233" s="76" t="str">
        <v>U225-Publish_persistence_failur</v>
      </c>
      <c r="E233" s="77" t="str">
        <v>TC-EE7597F509CF | Publish persistence failure rolls back status history notifications and jobs</v>
      </c>
      <c r="F233" s="78" t="str">
        <v>In-process logic; fakes/stubs as declared by the source fixture. Fixture: MeetingWorkflowServiceTests. </v>
      </c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75" customHeight="1">
      <c r="A234" s="73" t="n">
        <v>226</v>
      </c>
      <c r="B234" s="74" t="str">
        <v>Meetings</v>
      </c>
      <c r="C234" s="75" t="str">
        <v>Organizer_and_current_approver_get_reasons_and_published_participant_gets_redacted_timeline</v>
      </c>
      <c r="D234" s="76" t="str">
        <v>U226-Organizer_and_current_appr</v>
      </c>
      <c r="E234" s="77" t="str">
        <v>TC-C3DF6F26DF1E | Organizer and current approver get reasons and published participant gets redacted timeline</v>
      </c>
      <c r="F234" s="78" t="str">
        <v>In-process logic; fakes/stubs as declared by the source fixture. Fixture: MeetingWorkflowServiceTests. </v>
      </c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75" customHeight="1">
      <c r="A235" s="73" t="n">
        <v>227</v>
      </c>
      <c r="B235" s="74" t="str">
        <v>Meetings</v>
      </c>
      <c r="C235" s="75" t="str">
        <v>Administrative_transfer_recovers_an_approved_meeting_and_records_typed_organizer_ids</v>
      </c>
      <c r="D235" s="76" t="str">
        <v>U227-Administrative_transfer_re</v>
      </c>
      <c r="E235" s="77" t="str">
        <v>TC-BC88ECC801E4 | Administrative transfer recovers an approved meeting and records typed organizer ids</v>
      </c>
      <c r="F235" s="78" t="str">
        <v>In-process logic; fakes/stubs as declared by the source fixture. Fixture: MeetingWorkflowServiceTests. </v>
      </c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75" customHeight="1">
      <c r="A236" s="73" t="n">
        <v>228</v>
      </c>
      <c r="B236" s="74" t="str">
        <v>Meetings</v>
      </c>
      <c r="C236" s="75" t="str">
        <v>Transfer_requires_current_active_administrator_before_reading_the_meeting</v>
      </c>
      <c r="D236" s="76" t="str">
        <v>U228-Transfer_requires_current_</v>
      </c>
      <c r="E236" s="77" t="str">
        <v>TC-240DB7EFDFB2 | Transfer requires current active administrator before reading the meeting</v>
      </c>
      <c r="F236" s="78" t="str">
        <v>In-process logic; fakes/stubs as declared by the source fixture. Fixture: MeetingWorkflowServiceTests. </v>
      </c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75" customHeight="1">
      <c r="A237" s="73" t="n">
        <v>229</v>
      </c>
      <c r="B237" s="74" t="str">
        <v>Meetings</v>
      </c>
      <c r="C237" s="75" t="str">
        <v>Transfer_cannot_replace_an_active_organizer_even_if_their_creator_capability_was_removed</v>
      </c>
      <c r="D237" s="76" t="str">
        <v>U229-Transfer_cannot_replace_an</v>
      </c>
      <c r="E237" s="77" t="str">
        <v>TC-24829D7CA400 | Transfer cannot replace an active organizer even if their creator capability was removed</v>
      </c>
      <c r="F237" s="78" t="str">
        <v>In-process logic; fakes/stubs as declared by the source fixture. Fixture: MeetingWorkflowServiceTests. </v>
      </c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75" customHeight="1">
      <c r="A238" s="73" t="n">
        <v>230</v>
      </c>
      <c r="B238" s="74" t="str">
        <v>Meetings</v>
      </c>
      <c r="C238" s="75" t="str">
        <v>Transfer_rejects_an_invalid_organizer_without_recording_history</v>
      </c>
      <c r="D238" s="76" t="str">
        <v>U230-Transfer_rejects_an_invali</v>
      </c>
      <c r="E238" s="77" t="str">
        <v>TC-FC12191BB40B | Transfer rejects an invalid organizer without recording history</v>
      </c>
      <c r="F238" s="78" t="str">
        <v>In-process logic; fakes/stubs as declared by the source fixture. Fixture: MeetingWorkflowServiceTests. </v>
      </c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75" customHeight="1">
      <c r="A239" s="73" t="n">
        <v>231</v>
      </c>
      <c r="B239" s="74" t="str">
        <v>Meetings</v>
      </c>
      <c r="C239" s="75" t="str">
        <v>Transfer_requires_an_approved_meeting</v>
      </c>
      <c r="D239" s="76" t="str">
        <v>U231-Transfer_requires_an_appro</v>
      </c>
      <c r="E239" s="77" t="str">
        <v>TC-C58A26D24D6A | Transfer requires an approved meeting</v>
      </c>
      <c r="F239" s="78" t="str">
        <v>In-process logic; fakes/stubs as declared by the source fixture. Fixture: MeetingWorkflowServiceTests. </v>
      </c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75" customHeight="1">
      <c r="A240" s="73" t="n">
        <v>232</v>
      </c>
      <c r="B240" s="74" t="str">
        <v>Meetings</v>
      </c>
      <c r="C240" s="75" t="str">
        <v>Transfer_save_failure_rolls_back_the_organizer_and_history</v>
      </c>
      <c r="D240" s="76" t="str">
        <v>U232-Transfer_save_failure_roll</v>
      </c>
      <c r="E240" s="77" t="str">
        <v>TC-3D524CAC36D1 | Transfer save failure rolls back the organizer and history</v>
      </c>
      <c r="F240" s="78" t="str">
        <v>In-process logic; fakes/stubs as declared by the source fixture. Fixture: MeetingWorkflowServiceTests. </v>
      </c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75" customHeight="1">
      <c r="A241" s="73" t="n">
        <v>233</v>
      </c>
      <c r="B241" s="74" t="str">
        <v>Meetings</v>
      </c>
      <c r="C241" s="75" t="str">
        <v>Transfer_organizer_ids_are_visible_only_in_full_history</v>
      </c>
      <c r="D241" s="76" t="str">
        <v>U233-Transfer_organizer_ids_are</v>
      </c>
      <c r="E241" s="77" t="str">
        <v>TC-7A0587D0D191 | Transfer organizer ids are visible only in full history</v>
      </c>
      <c r="F241" s="78" t="str">
        <v>In-process logic; fakes/stubs as declared by the source fixture. Fixture: MeetingWorkflowServiceTests. </v>
      </c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75" customHeight="1">
      <c r="A242" s="73" t="n">
        <v>234</v>
      </c>
      <c r="B242" s="74" t="str">
        <v>Meetings</v>
      </c>
      <c r="C242" s="75" t="str">
        <v>Submit_accepts_draft_or_rejected_without_agenda_or_sessions</v>
      </c>
      <c r="D242" s="76" t="str">
        <v>U234-Submit_accepts_draft_or_re</v>
      </c>
      <c r="E242" s="77" t="str">
        <v>TC-AEA65F81EFCB | Submit accepts draft or rejected without agenda or sessions</v>
      </c>
      <c r="F242" s="78" t="str">
        <v>In-process logic; fakes/stubs as declared by the source fixture. Fixture: MeetingWorkflowServiceTests. </v>
      </c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75" customHeight="1">
      <c r="A243" s="73" t="n">
        <v>235</v>
      </c>
      <c r="B243" s="74" t="str">
        <v>Meetings</v>
      </c>
      <c r="C243" s="75" t="str">
        <v>Failed_rejected_resubmission_keeps_assignment_and_rejection_evidence</v>
      </c>
      <c r="D243" s="76" t="str">
        <v>U235-Failed_rejected_resubmissi</v>
      </c>
      <c r="E243" s="77" t="str">
        <v>TC-61A1A8ECE698 | Failed rejected resubmission keeps assignment and rejection evidence</v>
      </c>
      <c r="F243" s="78" t="str">
        <v>In-process logic; fakes/stubs as declared by the source fixture. Fixture: MeetingWorkflowServiceTests. </v>
      </c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75" customHeight="1">
      <c r="A244" s="73" t="n">
        <v>236</v>
      </c>
      <c r="B244" s="74" t="str">
        <v>Meetings</v>
      </c>
      <c r="C244" s="75" t="str">
        <v>Publish_succeeds_with_the_meeting_level_schedule</v>
      </c>
      <c r="D244" s="76" t="str">
        <v>U236-Publish_succeeds_with_the_</v>
      </c>
      <c r="E244" s="77" t="str">
        <v>TC-3619710AD4C2 | Publish succeeds with the meeting level schedule</v>
      </c>
      <c r="F244" s="78" t="str">
        <v>In-process logic; fakes/stubs as declared by the source fixture. Fixture: MeetingWorkflowServiceTests. </v>
      </c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75" customHeight="1">
      <c r="A245" s="73" t="n">
        <v>237</v>
      </c>
      <c r="B245" s="74" t="str">
        <v>Meetings</v>
      </c>
      <c r="C245" s="75" t="str">
        <v>Publish_requires_exactly_one_active_chair_and_an_active_secretary</v>
      </c>
      <c r="D245" s="76" t="str">
        <v>U237-Publish_requires_exactly_o</v>
      </c>
      <c r="E245" s="77" t="str">
        <v>TC-E8CF45B4E5B2 | Publish requires exactly one active chair and an active secretary</v>
      </c>
      <c r="F245" s="78" t="str">
        <v>In-process logic; fakes/stubs as declared by the source fixture. Fixture: MeetingWorkflowServiceTests. </v>
      </c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75" customHeight="1">
      <c r="A246" s="73" t="n">
        <v>238</v>
      </c>
      <c r="B246" s="74" t="str">
        <v>Meetings</v>
      </c>
      <c r="C246" s="75" t="str">
        <v>Assigned_secretary_reads_detail_and_rejection_reason_without_transfer_ids</v>
      </c>
      <c r="D246" s="76" t="str">
        <v>U238-Assigned_secretary_reads_d</v>
      </c>
      <c r="E246" s="77" t="str">
        <v>TC-DE12A807C1C5 | Assigned secretary reads detail and rejection reason without transfer ids</v>
      </c>
      <c r="F246" s="78" t="str">
        <v>In-process logic; fakes/stubs as declared by the source fixture. Fixture: MeetingWorkflowServiceTests. </v>
      </c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75" customHeight="1">
      <c r="A247" s="73" t="n">
        <v>239</v>
      </c>
      <c r="B247" s="74" t="str">
        <v>Meetings</v>
      </c>
      <c r="C247" s="75" t="str">
        <v>Invalid_secretary_relationship_does_not_grant_prepublication_history</v>
      </c>
      <c r="D247" s="76" t="str">
        <v>U239-Invalid_secretary_relation</v>
      </c>
      <c r="E247" s="77" t="str">
        <v>TC-8AB3BF2FEDDF | Invalid secretary relationship does not grant prepublication history</v>
      </c>
      <c r="F247" s="78" t="str">
        <v>In-process logic; fakes/stubs as declared by the source fixture. Fixture: MeetingWorkflowServiceTests. </v>
      </c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75" customHeight="1">
      <c r="A248" s="73" t="n">
        <v>240</v>
      </c>
      <c r="B248" s="74" t="str">
        <v>Notifications</v>
      </c>
      <c r="C248" s="75" t="str">
        <v>Migration_marks_preexisting_notifications_as_already_pushed</v>
      </c>
      <c r="D248" s="76" t="str">
        <v>U240-Migration_marks_preexistin</v>
      </c>
      <c r="E248" s="77" t="str">
        <v>TC-37B3B50080AF | Migration marks preexisting notifications as already pushed</v>
      </c>
      <c r="F248" s="78" t="str">
        <v>In-process logic; fakes/stubs as declared by the source fixture. Fixture: NotificationWorkerTests. </v>
      </c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75" customHeight="1">
      <c r="A249" s="73" t="n">
        <v>241</v>
      </c>
      <c r="B249" s="74" t="str">
        <v>Users</v>
      </c>
      <c r="C249" s="75" t="str">
        <v>List_returns_every_account_sorted_by_name</v>
      </c>
      <c r="D249" s="76" t="str">
        <v>U241-List_returns_every_account</v>
      </c>
      <c r="E249" s="77" t="str">
        <v>TC-EC2E52157391 | List returns every account sorted by name</v>
      </c>
      <c r="F249" s="78" t="str">
        <v>In-process logic; fakes/stubs as declared by the source fixture. Fixture: UserServiceTests. </v>
      </c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75" customHeight="1">
      <c r="A250" s="73" t="n">
        <v>242</v>
      </c>
      <c r="B250" s="74" t="str">
        <v>Users</v>
      </c>
      <c r="C250" s="75" t="str">
        <v>List_includes_deactivated_accounts</v>
      </c>
      <c r="D250" s="76" t="str">
        <v>U242-List_includes_deactivated_</v>
      </c>
      <c r="E250" s="77" t="str">
        <v>TC-8AF733392914 | List includes deactivated accounts</v>
      </c>
      <c r="F250" s="78" t="str">
        <v>In-process logic; fakes/stubs as declared by the source fixture. Fixture: UserServiceTests. </v>
      </c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75" customHeight="1">
      <c r="A251" s="73" t="n">
        <v>243</v>
      </c>
      <c r="B251" s="74" t="str">
        <v>Users</v>
      </c>
      <c r="C251" s="75" t="str">
        <v>List_never_exposes_the_password_hash</v>
      </c>
      <c r="D251" s="76" t="str">
        <v>U243-List_never_exposes_the_pas</v>
      </c>
      <c r="E251" s="77" t="str">
        <v>TC-28CA5A53C7DB | List never exposes the password hash</v>
      </c>
      <c r="F251" s="78" t="str">
        <v>In-process logic; fakes/stubs as declared by the source fixture. Fixture: UserServiceTests. </v>
      </c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75" customHeight="1">
      <c r="A252" s="73" t="n">
        <v>244</v>
      </c>
      <c r="B252" s="74" t="str">
        <v>Users</v>
      </c>
      <c r="C252" s="75" t="str">
        <v>Create_stores_an_active_account_and_records_the_audit_entry</v>
      </c>
      <c r="D252" s="76" t="str">
        <v>U244-Create_stores_an_active_ac</v>
      </c>
      <c r="E252" s="77" t="str">
        <v>TC-65BBB31AF9DC | Create stores an active account and records the audit entry</v>
      </c>
      <c r="F252" s="78" t="str">
        <v>In-process logic; fakes/stubs as declared by the source fixture. Fixture: UserServiceTests. </v>
      </c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75" customHeight="1">
      <c r="A253" s="73" t="n">
        <v>245</v>
      </c>
      <c r="B253" s="74" t="str">
        <v>Users</v>
      </c>
      <c r="C253" s="75" t="str">
        <v>Create_hashes_the_password_instead_of_storing_it</v>
      </c>
      <c r="D253" s="76" t="str">
        <v>U245-Create_hashes_the_password</v>
      </c>
      <c r="E253" s="77" t="str">
        <v>TC-51DEB8644AAA | Create hashes the password instead of storing it</v>
      </c>
      <c r="F253" s="78" t="str">
        <v>In-process logic; fakes/stubs as declared by the source fixture. Fixture: UserServiceTests. </v>
      </c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75" customHeight="1">
      <c r="A254" s="73" t="n">
        <v>246</v>
      </c>
      <c r="B254" s="74" t="str">
        <v>Users</v>
      </c>
      <c r="C254" s="75" t="str">
        <v>Create_never_puts_the_password_in_the_audit_details</v>
      </c>
      <c r="D254" s="76" t="str">
        <v>U246-Create_never_puts_the_pass</v>
      </c>
      <c r="E254" s="77" t="str">
        <v>TC-E520FE7DAA66 | Create never puts the password in the audit details</v>
      </c>
      <c r="F254" s="78" t="str">
        <v>In-process logic; fakes/stubs as declared by the source fixture. Fixture: UserServiceTests. </v>
      </c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75" customHeight="1">
      <c r="A255" s="73" t="n">
        <v>247</v>
      </c>
      <c r="B255" s="74" t="str">
        <v>Users</v>
      </c>
      <c r="C255" s="75" t="str">
        <v>Create_rejects_invalid_information</v>
      </c>
      <c r="D255" s="76" t="str">
        <v>U247-Create_rejects_invalid_inf</v>
      </c>
      <c r="E255" s="77" t="str">
        <v>TC-353B1DC5A7CE | Create rejects invalid information</v>
      </c>
      <c r="F255" s="78" t="str">
        <v>In-process logic; fakes/stubs as declared by the source fixture. Fixture: UserServiceTests. </v>
      </c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75" customHeight="1">
      <c r="A256" s="73" t="n">
        <v>248</v>
      </c>
      <c r="B256" s="74" t="str">
        <v>Users</v>
      </c>
      <c r="C256" s="75" t="str">
        <v>Create_rejects_a_password_shorter_than_the_minimum</v>
      </c>
      <c r="D256" s="76" t="str">
        <v>U248-Create_rejects_a_password_</v>
      </c>
      <c r="E256" s="77" t="str">
        <v>TC-3BBD8EBCC2F3 | Create rejects a password shorter than the minimum</v>
      </c>
      <c r="F256" s="78" t="str">
        <v>In-process logic; fakes/stubs as declared by the source fixture. Fixture: UserServiceTests. </v>
      </c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75" customHeight="1">
      <c r="A257" s="73" t="n">
        <v>249</v>
      </c>
      <c r="B257" s="74" t="str">
        <v>Users</v>
      </c>
      <c r="C257" s="75" t="str">
        <v>Create_rejects_a_role_that_does_not_exist</v>
      </c>
      <c r="D257" s="76" t="str">
        <v>U249-Create_rejects_a_role_that</v>
      </c>
      <c r="E257" s="77" t="str">
        <v>TC-59EE174815B1 | Create rejects a role that does not exist</v>
      </c>
      <c r="F257" s="78" t="str">
        <v>In-process logic; fakes/stubs as declared by the source fixture. Fixture: UserServiceTests. </v>
      </c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75" customHeight="1">
      <c r="A258" s="73" t="n">
        <v>250</v>
      </c>
      <c r="B258" s="74" t="str">
        <v>Users</v>
      </c>
      <c r="C258" s="75" t="str">
        <v>Create_accepts_a_role_an_administrator_created</v>
      </c>
      <c r="D258" s="76" t="str">
        <v>U250-Create_accepts_a_role_an_a</v>
      </c>
      <c r="E258" s="77" t="str">
        <v>TC-A34B64046104 | Create accepts a role an administrator created</v>
      </c>
      <c r="F258" s="78" t="str">
        <v>In-process logic; fakes/stubs as declared by the source fixture. Fixture: UserServiceTests. </v>
      </c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75" customHeight="1">
      <c r="A259" s="73" t="n">
        <v>251</v>
      </c>
      <c r="B259" s="74" t="str">
        <v>Users</v>
      </c>
      <c r="C259" s="75" t="str">
        <v>Create_reports_every_invalid_field_at_once</v>
      </c>
      <c r="D259" s="76" t="str">
        <v>U251-Create_reports_every_inval</v>
      </c>
      <c r="E259" s="77" t="str">
        <v>TC-C980CFE6D732 | Create reports every invalid field at once</v>
      </c>
      <c r="F259" s="78" t="str">
        <v>In-process logic; fakes/stubs as declared by the source fixture. Fixture: UserServiceTests. </v>
      </c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75" customHeight="1">
      <c r="A260" s="73" t="n">
        <v>252</v>
      </c>
      <c r="B260" s="74" t="str">
        <v>Users</v>
      </c>
      <c r="C260" s="75" t="str">
        <v>Create_rejects_an_email_that_already_exists</v>
      </c>
      <c r="D260" s="76" t="str">
        <v>U252-Create_rejects_an_email_th</v>
      </c>
      <c r="E260" s="77" t="str">
        <v>TC-433F1206F7F8 | Create rejects an email that already exists</v>
      </c>
      <c r="F260" s="78" t="str">
        <v>In-process logic; fakes/stubs as declared by the source fixture. Fixture: UserServiceTests. </v>
      </c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75" customHeight="1">
      <c r="A261" s="73" t="n">
        <v>253</v>
      </c>
      <c r="B261" s="74" t="str">
        <v>Users</v>
      </c>
      <c r="C261" s="75" t="str">
        <v>Create_rejects_an_email_that_differs_only_in_case</v>
      </c>
      <c r="D261" s="76" t="str">
        <v>U253-Create_rejects_an_email_th</v>
      </c>
      <c r="E261" s="77" t="str">
        <v>TC-D896624259C7 | Create rejects an email that differs only in case</v>
      </c>
      <c r="F261" s="78" t="str">
        <v>In-process logic; fakes/stubs as declared by the source fixture. Fixture: UserServiceTests. </v>
      </c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75" customHeight="1">
      <c r="A262" s="73" t="n">
        <v>254</v>
      </c>
      <c r="B262" s="74" t="str">
        <v>Users</v>
      </c>
      <c r="C262" s="75" t="str">
        <v>Create_trims_surrounding_whitespace</v>
      </c>
      <c r="D262" s="76" t="str">
        <v>U254-Create_trims_surrounding_w</v>
      </c>
      <c r="E262" s="77" t="str">
        <v>TC-CDD589034BCD | Create trims surrounding whitespace</v>
      </c>
      <c r="F262" s="78" t="str">
        <v>In-process logic; fakes/stubs as declared by the source fixture. Fixture: UserServiceTests. </v>
      </c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75" customHeight="1">
      <c r="A263" s="73" t="n">
        <v>255</v>
      </c>
      <c r="B263" s="74" t="str">
        <v>Users</v>
      </c>
      <c r="C263" s="75" t="str">
        <v>Create_does_not_audit_when_the_account_was_not_stored</v>
      </c>
      <c r="D263" s="76" t="str">
        <v>U255-Create_does_not_audit_when</v>
      </c>
      <c r="E263" s="77" t="str">
        <v>TC-3ABB1DF38B59 | Create does not audit when the account was not stored</v>
      </c>
      <c r="F263" s="78" t="str">
        <v>In-process logic; fakes/stubs as declared by the source fixture. Fixture: UserServiceTests. </v>
      </c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75" customHeight="1">
      <c r="A264" s="73" t="n">
        <v>256</v>
      </c>
      <c r="B264" s="74" t="str">
        <v>Users</v>
      </c>
      <c r="C264" s="75" t="str">
        <v>Create_answers_MSG09_on_the_role_when_the_role_is_deleted_before_the_save</v>
      </c>
      <c r="D264" s="76" t="str">
        <v>U256-Create_answers_MSG09_on_th</v>
      </c>
      <c r="E264" s="77" t="str">
        <v>TC-28008A04FD9A | Create answers MSG09 on the role when the role is deleted before the save</v>
      </c>
      <c r="F264" s="78" t="str">
        <v>In-process logic; fakes/stubs as declared by the source fixture. Fixture: UserServiceTests. </v>
      </c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75" customHeight="1">
      <c r="A265" s="73" t="n">
        <v>257</v>
      </c>
      <c r="B265" s="74" t="str">
        <v>Users</v>
      </c>
      <c r="C265" s="75" t="str">
        <v>Get_returns_the_current_information_for_the_edit_form</v>
      </c>
      <c r="D265" s="76" t="str">
        <v>U257-Get_returns_the_current_in</v>
      </c>
      <c r="E265" s="77" t="str">
        <v>TC-7EE5F61F26D4 | Get returns the current information for the edit form</v>
      </c>
      <c r="F265" s="78" t="str">
        <v>In-process logic; fakes/stubs as declared by the source fixture. Fixture: UserServiceTests. </v>
      </c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75" customHeight="1">
      <c r="A266" s="73" t="n">
        <v>258</v>
      </c>
      <c r="B266" s="74" t="str">
        <v>Users</v>
      </c>
      <c r="C266" s="75" t="str">
        <v>Get_reports_not_found_for_an_unknown_account</v>
      </c>
      <c r="D266" s="76" t="str">
        <v>U258-Get_reports_not_found_for_</v>
      </c>
      <c r="E266" s="77" t="str">
        <v>TC-952556F74901 | Get reports not found for an unknown account</v>
      </c>
      <c r="F266" s="78" t="str">
        <v>In-process logic; fakes/stubs as declared by the source fixture. Fixture: UserServiceTests. </v>
      </c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75" customHeight="1">
      <c r="A267" s="73" t="n">
        <v>259</v>
      </c>
      <c r="B267" s="74" t="str">
        <v>Users</v>
      </c>
      <c r="C267" s="75" t="str">
        <v>Update_changes_the_account_and_records_what_it_was_before</v>
      </c>
      <c r="D267" s="76" t="str">
        <v>U259-Update_changes_the_account</v>
      </c>
      <c r="E267" s="77" t="str">
        <v>TC-D99C24279BB1 | Update changes the account and records what it was before</v>
      </c>
      <c r="F267" s="78" t="str">
        <v>In-process logic; fakes/stubs as declared by the source fixture. Fixture: UserServiceTests. </v>
      </c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75" customHeight="1">
      <c r="A268" s="73" t="n">
        <v>260</v>
      </c>
      <c r="B268" s="74" t="str">
        <v>Users</v>
      </c>
      <c r="C268" s="75" t="str">
        <v>Update_lets_an_account_keep_its_own_email</v>
      </c>
      <c r="D268" s="76" t="str">
        <v>U260-Update_lets_an_account_kee</v>
      </c>
      <c r="E268" s="77" t="str">
        <v>TC-EE3B86278E02 | Update lets an account keep its own email</v>
      </c>
      <c r="F268" s="78" t="str">
        <v>In-process logic; fakes/stubs as declared by the source fixture. Fixture: UserServiceTests. </v>
      </c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75" customHeight="1">
      <c r="A269" s="73" t="n">
        <v>261</v>
      </c>
      <c r="B269" s="74" t="str">
        <v>Users</v>
      </c>
      <c r="C269" s="75" t="str">
        <v>Update_rejects_an_email_another_account_already_uses</v>
      </c>
      <c r="D269" s="76" t="str">
        <v>U261-Update_rejects_an_email_an</v>
      </c>
      <c r="E269" s="77" t="str">
        <v>TC-B59C4B3591F9 | Update rejects an email another account already uses</v>
      </c>
      <c r="F269" s="78" t="str">
        <v>In-process logic; fakes/stubs as declared by the source fixture. Fixture: UserServiceTests. </v>
      </c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75" customHeight="1">
      <c r="A270" s="73" t="n">
        <v>262</v>
      </c>
      <c r="B270" s="74" t="str">
        <v>Users</v>
      </c>
      <c r="C270" s="75" t="str">
        <v>Update_rejects_invalid_information_without_touching_the_account</v>
      </c>
      <c r="D270" s="76" t="str">
        <v>U262-Update_rejects_invalid_inf</v>
      </c>
      <c r="E270" s="77" t="str">
        <v>TC-9DB68DAB2540 | Update rejects invalid information without touching the account</v>
      </c>
      <c r="F270" s="78" t="str">
        <v>In-process logic; fakes/stubs as declared by the source fixture. Fixture: UserServiceTests. </v>
      </c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75" customHeight="1">
      <c r="A271" s="73" t="n">
        <v>263</v>
      </c>
      <c r="B271" s="74" t="str">
        <v>Users</v>
      </c>
      <c r="C271" s="75" t="str">
        <v>Update_reports_not_found_for_an_unknown_account</v>
      </c>
      <c r="D271" s="76" t="str">
        <v>U263-Update_reports_not_found_f</v>
      </c>
      <c r="E271" s="77" t="str">
        <v>TC-0D7FE6C0ED20 | Update reports not found for an unknown account</v>
      </c>
      <c r="F271" s="78" t="str">
        <v>In-process logic; fakes/stubs as declared by the source fixture. Fixture: UserServiceTests. </v>
      </c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75" customHeight="1">
      <c r="A272" s="73" t="n">
        <v>264</v>
      </c>
      <c r="B272" s="74" t="str">
        <v>Users</v>
      </c>
      <c r="C272" s="75" t="str">
        <v>Update_ends_the_sessions_when_the_role_changes</v>
      </c>
      <c r="D272" s="76" t="str">
        <v>U264-Update_ends_the_sessions_w</v>
      </c>
      <c r="E272" s="77" t="str">
        <v>TC-ABECE4FA833E | Update ends the sessions when the role changes</v>
      </c>
      <c r="F272" s="78" t="str">
        <v>In-process logic; fakes/stubs as declared by the source fixture. Fixture: UserServiceTests. </v>
      </c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75" customHeight="1">
      <c r="A273" s="73" t="n">
        <v>265</v>
      </c>
      <c r="B273" s="74" t="str">
        <v>Users</v>
      </c>
      <c r="C273" s="75" t="str">
        <v>Update_keeps_the_sessions_when_the_role_is_unchanged</v>
      </c>
      <c r="D273" s="76" t="str">
        <v>U265-Update_keeps_the_sessions_</v>
      </c>
      <c r="E273" s="77" t="str">
        <v>TC-9C0A9119BBC9 | Update keeps the sessions when the role is unchanged</v>
      </c>
      <c r="F273" s="78" t="str">
        <v>In-process logic; fakes/stubs as declared by the source fixture. Fixture: UserServiceTests. </v>
      </c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75" customHeight="1">
      <c r="A274" s="73" t="n">
        <v>266</v>
      </c>
      <c r="B274" s="74" t="str">
        <v>Users</v>
      </c>
      <c r="C274" s="75" t="str">
        <v>Update_refuses_to_let_an_administrator_drop_their_own_admin_role</v>
      </c>
      <c r="D274" s="76" t="str">
        <v>U266-Update_refuses_to_let_an_a</v>
      </c>
      <c r="E274" s="77" t="str">
        <v>TC-9E15B51B5972 | Update refuses to let an administrator drop their own admin role</v>
      </c>
      <c r="F274" s="78" t="str">
        <v>In-process logic; fakes/stubs as declared by the source fixture. Fixture: UserServiceTests. </v>
      </c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75" customHeight="1">
      <c r="A275" s="73" t="n">
        <v>267</v>
      </c>
      <c r="B275" s="74" t="str">
        <v>Users</v>
      </c>
      <c r="C275" s="75" t="str">
        <v>Update_lets_an_administrator_edit_their_own_name</v>
      </c>
      <c r="D275" s="76" t="str">
        <v>U267-Update_lets_an_administrat</v>
      </c>
      <c r="E275" s="77" t="str">
        <v>TC-304CD595ECC3 | Update lets an administrator edit their own name</v>
      </c>
      <c r="F275" s="78" t="str">
        <v>In-process logic; fakes/stubs as declared by the source fixture. Fixture: UserServiceTests. </v>
      </c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75" customHeight="1">
      <c r="A276" s="73" t="n">
        <v>268</v>
      </c>
      <c r="B276" s="74" t="str">
        <v>Users</v>
      </c>
      <c r="C276" s="75" t="str">
        <v>Update_lets_one_administrator_demote_another_while_one_remains</v>
      </c>
      <c r="D276" s="76" t="str">
        <v>U268-Update_lets_one_administra</v>
      </c>
      <c r="E276" s="77" t="str">
        <v>TC-81F9549069CA | Update lets one administrator demote another while one remains</v>
      </c>
      <c r="F276" s="78" t="str">
        <v>In-process logic; fakes/stubs as declared by the source fixture. Fixture: UserServiceTests. </v>
      </c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75" customHeight="1">
      <c r="A277" s="73" t="n">
        <v>269</v>
      </c>
      <c r="B277" s="74" t="str">
        <v>Users</v>
      </c>
      <c r="C277" s="75" t="str">
        <v>Update_refuses_to_demote_the_last_administrator</v>
      </c>
      <c r="D277" s="76" t="str">
        <v>U269-Update_refuses_to_demote_t</v>
      </c>
      <c r="E277" s="77" t="str">
        <v>TC-1F28F73B9073 | Update refuses to demote the last administrator</v>
      </c>
      <c r="F277" s="78" t="str">
        <v>In-process logic; fakes/stubs as declared by the source fixture. Fixture: UserServiceTests. </v>
      </c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75" customHeight="1">
      <c r="A278" s="73" t="n">
        <v>270</v>
      </c>
      <c r="B278" s="74" t="str">
        <v>Users</v>
      </c>
      <c r="C278" s="75" t="str">
        <v>Update_lets_the_last_administrator_keep_administering_under_another_role</v>
      </c>
      <c r="D278" s="76" t="str">
        <v>U270-Update_lets_the_last_admin</v>
      </c>
      <c r="E278" s="77" t="str">
        <v>TC-2AADDF0940FC | Update lets the last administrator keep administering under another role</v>
      </c>
      <c r="F278" s="78" t="str">
        <v>In-process logic; fakes/stubs as declared by the source fixture. Fixture: UserServiceTests. </v>
      </c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75" customHeight="1">
      <c r="A279" s="73" t="n">
        <v>271</v>
      </c>
      <c r="B279" s="74" t="str">
        <v>Users</v>
      </c>
      <c r="C279" s="75" t="str">
        <v>An_inactive_account_can_still_be_moved_to_another_role</v>
      </c>
      <c r="D279" s="76" t="str">
        <v>U271-An_inactive_account_can_st</v>
      </c>
      <c r="E279" s="77" t="str">
        <v>TC-DBDBA4449305 | An inactive account can still be moved to another role</v>
      </c>
      <c r="F279" s="78" t="str">
        <v>In-process logic; fakes/stubs as declared by the source fixture. Fixture: UserServiceTests. </v>
      </c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75" customHeight="1">
      <c r="A280" s="73" t="n">
        <v>272</v>
      </c>
      <c r="B280" s="74" t="str">
        <v>Users</v>
      </c>
      <c r="C280" s="75" t="str">
        <v>Changing_an_email_ends_the_sessions_too</v>
      </c>
      <c r="D280" s="76" t="str">
        <v>U272-Changing_an_email_ends_the</v>
      </c>
      <c r="E280" s="77" t="str">
        <v>TC-DB5BB7077719 | Changing an email ends the sessions too</v>
      </c>
      <c r="F280" s="78" t="str">
        <v>In-process logic; fakes/stubs as declared by the source fixture. Fixture: UserServiceTests. </v>
      </c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75" customHeight="1">
      <c r="A281" s="73" t="n">
        <v>273</v>
      </c>
      <c r="B281" s="74" t="str">
        <v>Users</v>
      </c>
      <c r="C281" s="75" t="str">
        <v>Renaming_somebody_leaves_their_session_alone</v>
      </c>
      <c r="D281" s="76" t="str">
        <v>U273-Renaming_somebody_leaves_t</v>
      </c>
      <c r="E281" s="77" t="str">
        <v>TC-F628356756B7 | Renaming somebody leaves their session alone</v>
      </c>
      <c r="F281" s="78" t="str">
        <v>In-process logic; fakes/stubs as declared by the source fixture. Fixture: UserServiceTests. </v>
      </c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75" customHeight="1">
      <c r="A282" s="73" t="n">
        <v>274</v>
      </c>
      <c r="B282" s="74" t="str">
        <v>Users</v>
      </c>
      <c r="C282" s="75" t="str">
        <v>Both_writes_that_touch_the_invariant_run_under_the_shared_lock</v>
      </c>
      <c r="D282" s="76" t="str">
        <v>U274-Both_writes_that_touch_the</v>
      </c>
      <c r="E282" s="77" t="str">
        <v>TC-BCC7DD5B6939 | Both writes that touch the invariant run under the shared lock</v>
      </c>
      <c r="F282" s="78" t="str">
        <v>In-process logic; fakes/stubs as declared by the source fixture. Fixture: UserServiceTests. </v>
      </c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75" customHeight="1">
      <c r="A283" s="73" t="n">
        <v>275</v>
      </c>
      <c r="B283" s="74" t="str">
        <v>Users</v>
      </c>
      <c r="C283" s="75" t="str">
        <v>Sessions_are_ended_after_the_transaction_commits_not_inside_it</v>
      </c>
      <c r="D283" s="76" t="str">
        <v>U275-Sessions_are_ended_after_t</v>
      </c>
      <c r="E283" s="77" t="str">
        <v>TC-564581A0E25D | Sessions are ended after the transaction commits not inside it</v>
      </c>
      <c r="F283" s="78" t="str">
        <v>In-process logic; fakes/stubs as declared by the source fixture. Fixture: UserServiceTests. </v>
      </c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75" customHeight="1">
      <c r="A284" s="73" t="n">
        <v>276</v>
      </c>
      <c r="B284" s="74" t="str">
        <v>Users</v>
      </c>
      <c r="C284" s="75" t="str">
        <v>A_change_survives_the_session_store_being_down</v>
      </c>
      <c r="D284" s="76" t="str">
        <v>U276-A_change_survives_the_sess</v>
      </c>
      <c r="E284" s="77" t="str">
        <v>TC-676B1FF4882A | A change survives the session store being down</v>
      </c>
      <c r="F284" s="78" t="str">
        <v>In-process logic; fakes/stubs as declared by the source fixture. Fixture: UserServiceTests. </v>
      </c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75" customHeight="1">
      <c r="A285" s="73" t="n">
        <v>277</v>
      </c>
      <c r="B285" s="74" t="str">
        <v>Users</v>
      </c>
      <c r="C285" s="75" t="str">
        <v>Deactivate_sets_the_status_ends_the_sessions_and_audits</v>
      </c>
      <c r="D285" s="76" t="str">
        <v>U277-Deactivate_sets_the_status</v>
      </c>
      <c r="E285" s="77" t="str">
        <v>TC-21F63A5A4962 | Deactivate sets the status ends the sessions and audits</v>
      </c>
      <c r="F285" s="78" t="str">
        <v>In-process logic; fakes/stubs as declared by the source fixture. Fixture: UserServiceTests. </v>
      </c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75" customHeight="1">
      <c r="A286" s="73" t="n">
        <v>278</v>
      </c>
      <c r="B286" s="74" t="str">
        <v>Users</v>
      </c>
      <c r="C286" s="75" t="str">
        <v>Deactivate_never_deletes_the_row</v>
      </c>
      <c r="D286" s="76" t="str">
        <v>U278-Deactivate_never_deletes_t</v>
      </c>
      <c r="E286" s="77" t="str">
        <v>TC-A46D0872BF74 | Deactivate never deletes the row</v>
      </c>
      <c r="F286" s="78" t="str">
        <v>In-process logic; fakes/stubs as declared by the source fixture. Fixture: UserServiceTests. </v>
      </c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75" customHeight="1">
      <c r="A287" s="73" t="n">
        <v>279</v>
      </c>
      <c r="B287" s="74" t="str">
        <v>Users</v>
      </c>
      <c r="C287" s="75" t="str">
        <v>Reactivate_sets_the_status_and_audits_without_touching_sessions</v>
      </c>
      <c r="D287" s="76" t="str">
        <v>U279-Reactivate_sets_the_status</v>
      </c>
      <c r="E287" s="77" t="str">
        <v>TC-90C6131DD84D | Reactivate sets the status and audits without touching sessions</v>
      </c>
      <c r="F287" s="78" t="str">
        <v>In-process logic; fakes/stubs as declared by the source fixture. Fixture: UserServiceTests. </v>
      </c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75" customHeight="1">
      <c r="A288" s="73" t="n">
        <v>280</v>
      </c>
      <c r="B288" s="74" t="str">
        <v>Users</v>
      </c>
      <c r="C288" s="75" t="str">
        <v>Status_change_is_refused_when_the_account_is_already_in_that_state</v>
      </c>
      <c r="D288" s="76" t="str">
        <v>U280-Status_change_is_refused_w</v>
      </c>
      <c r="E288" s="77" t="str">
        <v>TC-5518D2102903 | Status change is refused when the account is already in that state</v>
      </c>
      <c r="F288" s="78" t="str">
        <v>In-process logic; fakes/stubs as declared by the source fixture. Fixture: UserServiceTests. </v>
      </c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75" customHeight="1">
      <c r="A289" s="73" t="n">
        <v>281</v>
      </c>
      <c r="B289" s="74" t="str">
        <v>Users</v>
      </c>
      <c r="C289" s="75" t="str">
        <v>Status_change_is_refused_when_an_administrator_aims_at_their_own_account</v>
      </c>
      <c r="D289" s="76" t="str">
        <v>U281-Status_change_is_refused_w</v>
      </c>
      <c r="E289" s="77" t="str">
        <v>TC-CA9DD524EC4A | Status change is refused when an administrator aims at their own account</v>
      </c>
      <c r="F289" s="78" t="str">
        <v>In-process logic; fakes/stubs as declared by the source fixture. Fixture: UserServiceTests. </v>
      </c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75" customHeight="1">
      <c r="A290" s="73" t="n">
        <v>282</v>
      </c>
      <c r="B290" s="74" t="str">
        <v>Users</v>
      </c>
      <c r="C290" s="75" t="str">
        <v>Two_administrators_cannot_deactivate_each_other_into_a_locked_out_system</v>
      </c>
      <c r="D290" s="76" t="str">
        <v>U282-Two_administrators_cannot_</v>
      </c>
      <c r="E290" s="77" t="str">
        <v>TC-34E6A0EC666A | Two administrators cannot deactivate each other into a locked out system</v>
      </c>
      <c r="F290" s="78" t="str">
        <v>In-process logic; fakes/stubs as declared by the source fixture. Fixture: UserServiceTests. </v>
      </c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75" customHeight="1">
      <c r="A291" s="73" t="n">
        <v>283</v>
      </c>
      <c r="B291" s="74" t="str">
        <v>Users</v>
      </c>
      <c r="C291" s="75" t="str">
        <v>Deactivating_the_last_administrator_is_refused</v>
      </c>
      <c r="D291" s="76" t="str">
        <v>U283-Deactivating_the_last_admi</v>
      </c>
      <c r="E291" s="77" t="str">
        <v>TC-F8D28D79652B | Deactivating the last administrator is refused</v>
      </c>
      <c r="F291" s="78" t="str">
        <v>In-process logic; fakes/stubs as declared by the source fixture. Fixture: UserServiceTests. </v>
      </c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75" customHeight="1">
      <c r="A292" s="73" t="n">
        <v>284</v>
      </c>
      <c r="B292" s="74" t="str">
        <v>Users</v>
      </c>
      <c r="C292" s="75" t="str">
        <v>A_custom_role_holding_admin_users_counts_toward_the_last_administrator_rule</v>
      </c>
      <c r="D292" s="76" t="str">
        <v>U284-A_custom_role_holding_admi</v>
      </c>
      <c r="E292" s="77" t="str">
        <v>TC-A178CBFDE585 | A custom role holding admin users counts toward the last administrator rule</v>
      </c>
      <c r="F292" s="78" t="str">
        <v>In-process logic; fakes/stubs as declared by the source fixture. Fixture: UserServiceTests. </v>
      </c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75" customHeight="1">
      <c r="A293" s="73" t="n">
        <v>285</v>
      </c>
      <c r="B293" s="74" t="str">
        <v>Users</v>
      </c>
      <c r="C293" s="75" t="str">
        <v>Moving_the_last_administrator_into_a_custom_role_without_admin_users_is_refused</v>
      </c>
      <c r="D293" s="76" t="str">
        <v>U285-Moving_the_last_administra</v>
      </c>
      <c r="E293" s="77" t="str">
        <v>TC-9496D7011AB7 | Moving the last administrator into a custom role without admin users is refused</v>
      </c>
      <c r="F293" s="78" t="str">
        <v>In-process logic; fakes/stubs as declared by the source fixture. Fixture: UserServiceTests. </v>
      </c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75" customHeight="1">
      <c r="A294" s="73" t="n">
        <v>286</v>
      </c>
      <c r="B294" s="74" t="str">
        <v>Users</v>
      </c>
      <c r="C294" s="75" t="str">
        <v>Update_answers_with_the_new_role_name_and_records_it</v>
      </c>
      <c r="D294" s="76" t="str">
        <v>U286-Update_answers_with_the_ne</v>
      </c>
      <c r="E294" s="77" t="str">
        <v>TC-9537A35A8F12 | Update answers with the new role name and records it</v>
      </c>
      <c r="F294" s="78" t="str">
        <v>In-process logic; fakes/stubs as declared by the source fixture. Fixture: UserServiceTests. </v>
      </c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75" customHeight="1">
      <c r="A295" s="73" t="n">
        <v>287</v>
      </c>
      <c r="B295" s="74" t="str">
        <v>Users</v>
      </c>
      <c r="C295" s="75" t="str">
        <v>Update_answers_MSG09_for_a_role_that_has_been_deleted</v>
      </c>
      <c r="D295" s="76" t="str">
        <v>U287-Update_answers_MSG09_for_a</v>
      </c>
      <c r="E295" s="77" t="str">
        <v>TC-74894BFA72FE | Update answers MSG09 for a role that has been deleted</v>
      </c>
      <c r="F295" s="78" t="str">
        <v>In-process logic; fakes/stubs as declared by the source fixture. Fixture: UserServiceTests. </v>
      </c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75" customHeight="1">
      <c r="A296" s="73" t="n">
        <v>288</v>
      </c>
      <c r="B296" s="74" t="str">
        <v>Users</v>
      </c>
      <c r="C296" s="75" t="str">
        <v>Deactivating_a_non_administrator_is_allowed_even_when_one_admin_exists</v>
      </c>
      <c r="D296" s="76" t="str">
        <v>U288-Deactivating_a_non_adminis</v>
      </c>
      <c r="E296" s="77" t="str">
        <v>TC-275BA31F229A | Deactivating a non administrator is allowed even when one admin exists</v>
      </c>
      <c r="F296" s="78" t="str">
        <v>In-process logic; fakes/stubs as declared by the source fixture. Fixture: UserServiceTests. </v>
      </c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75" customHeight="1">
      <c r="A297" s="73" t="n">
        <v>289</v>
      </c>
      <c r="B297" s="74" t="str">
        <v>Users</v>
      </c>
      <c r="C297" s="75" t="str">
        <v>Status_change_reports_not_found_for_an_unknown_account</v>
      </c>
      <c r="D297" s="76" t="str">
        <v>U289-Status_change_reports_not_</v>
      </c>
      <c r="E297" s="77" t="str">
        <v>TC-8A9AC9908033 | Status change reports not found for an unknown account</v>
      </c>
      <c r="F297" s="78" t="str">
        <v>In-process logic; fakes/stubs as declared by the source fixture. Fixture: UserServiceTests. </v>
      </c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75" customHeight="1">
      <c r="A298" s="73" t="n">
        <v>290</v>
      </c>
      <c r="B298" s="74" t="str">
        <v>Users</v>
      </c>
      <c r="C298" s="75" t="str">
        <v>Reset_request_emails_a_link_to_the_registered_address_and_records_it</v>
      </c>
      <c r="D298" s="76" t="str">
        <v>U290-Reset_request_emails_a_lin</v>
      </c>
      <c r="E298" s="77" t="str">
        <v>TC-EDE045FA0A7E | Reset request emails a link to the registered address and records it</v>
      </c>
      <c r="F298" s="78" t="str">
        <v>In-process logic; fakes/stubs as declared by the source fixture. Fixture: UserServiceTests. </v>
      </c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75" customHeight="1">
      <c r="A299" s="73" t="n">
        <v>291</v>
      </c>
      <c r="B299" s="74" t="str">
        <v>Users</v>
      </c>
      <c r="C299" s="75" t="str">
        <v>Reset_request_leaves_the_current_password_and_sessions_alone</v>
      </c>
      <c r="D299" s="76" t="str">
        <v>U291-Reset_request_leaves_the_c</v>
      </c>
      <c r="E299" s="77" t="str">
        <v>TC-C485DC1708E2 | Reset request leaves the current password and sessions alone</v>
      </c>
      <c r="F299" s="78" t="str">
        <v>In-process logic; fakes/stubs as declared by the source fixture. Fixture: UserServiceTests. </v>
      </c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75" customHeight="1">
      <c r="A300" s="73" t="n">
        <v>292</v>
      </c>
      <c r="B300" s="74" t="str">
        <v>Users</v>
      </c>
      <c r="C300" s="75" t="str">
        <v>Reset_request_answers_not_available_for_a_deactivated_account</v>
      </c>
      <c r="D300" s="76" t="str">
        <v>U292-Reset_request_answers_not_</v>
      </c>
      <c r="E300" s="77" t="str">
        <v>TC-2D134D65D8B3 | Reset request answers not available for a deactivated account</v>
      </c>
      <c r="F300" s="78" t="str">
        <v>In-process logic; fakes/stubs as declared by the source fixture. Fixture: UserServiceTests. </v>
      </c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75" customHeight="1">
      <c r="A301" s="73" t="n">
        <v>293</v>
      </c>
      <c r="B301" s="74" t="str">
        <v>Users</v>
      </c>
      <c r="C301" s="75" t="str">
        <v>Reset_request_answers_not_available_for_an_account_without_a_password</v>
      </c>
      <c r="D301" s="76" t="str">
        <v>U293-Reset_request_answers_not_</v>
      </c>
      <c r="E301" s="77" t="str">
        <v>TC-EC172BA33531 | Reset request answers not available for an account without a password</v>
      </c>
      <c r="F301" s="78" t="str">
        <v>In-process logic; fakes/stubs as declared by the source fixture. Fixture: UserServiceTests. </v>
      </c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75" customHeight="1">
      <c r="A302" s="73" t="n">
        <v>294</v>
      </c>
      <c r="B302" s="74" t="str">
        <v>Users</v>
      </c>
      <c r="C302" s="75" t="str">
        <v>Reset_request_answers_email_failed_and_records_nothing_when_the_mail_cannot_go</v>
      </c>
      <c r="D302" s="76" t="str">
        <v>U294-Reset_request_answers_emai</v>
      </c>
      <c r="E302" s="77" t="str">
        <v>TC-78EBBC8AF644 | Reset request answers email failed and records nothing when the mail cannot go</v>
      </c>
      <c r="F302" s="78" t="str">
        <v>In-process logic; fakes/stubs as declared by the source fixture. Fixture: UserServiceTests. </v>
      </c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75" customHeight="1">
      <c r="A303" s="73" t="n">
        <v>295</v>
      </c>
      <c r="B303" s="74" t="str">
        <v>Users</v>
      </c>
      <c r="C303" s="75" t="str">
        <v>A_failed_resend_keeps_the_link_already_in_the_inbox_working</v>
      </c>
      <c r="D303" s="76" t="str">
        <v>U295-A_failed_resend_keeps_the_</v>
      </c>
      <c r="E303" s="77" t="str">
        <v>TC-06B65FE04A81 | A failed resend keeps the link already in the inbox working</v>
      </c>
      <c r="F303" s="78" t="str">
        <v>In-process logic; fakes/stubs as declared by the source fixture. Fixture: UserServiceTests. </v>
      </c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75" customHeight="1">
      <c r="A304" s="73" t="n">
        <v>296</v>
      </c>
      <c r="B304" s="74" t="str">
        <v>Users</v>
      </c>
      <c r="C304" s="75" t="str">
        <v>A_link_whose_email_failed_never_works</v>
      </c>
      <c r="D304" s="76" t="str">
        <v>U296-A_link_whose_email_failed_</v>
      </c>
      <c r="E304" s="77" t="str">
        <v>TC-17DED59021F3 | A link whose email failed never works</v>
      </c>
      <c r="F304" s="78" t="str">
        <v>In-process logic; fakes/stubs as declared by the source fixture. Fixture: UserServiceTests. </v>
      </c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75" customHeight="1">
      <c r="A305" s="73" t="n">
        <v>297</v>
      </c>
      <c r="B305" s="74" t="str">
        <v>Users</v>
      </c>
      <c r="C305" s="75" t="str">
        <v>A_deactivation_during_the_send_still_kills_the_link</v>
      </c>
      <c r="D305" s="76" t="str">
        <v>U297-A_deactivation_during_the_</v>
      </c>
      <c r="E305" s="77" t="str">
        <v>TC-7FAA521B9875 | A deactivation during the send still kills the link</v>
      </c>
      <c r="F305" s="78" t="str">
        <v>In-process logic; fakes/stubs as declared by the source fixture. Fixture: UserServiceTests. </v>
      </c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75" customHeight="1">
      <c r="A306" s="73" t="n">
        <v>298</v>
      </c>
      <c r="B306" s="74" t="str">
        <v>Users</v>
      </c>
      <c r="C306" s="75" t="str">
        <v>An_email_change_during_the_send_kills_the_link_sent_to_the_old_address</v>
      </c>
      <c r="D306" s="76" t="str">
        <v>U298-An_email_change_during_the</v>
      </c>
      <c r="E306" s="77" t="str">
        <v>TC-2C97AB3521CC | An email change during the send kills the link sent to the old address</v>
      </c>
      <c r="F306" s="78" t="str">
        <v>In-process logic; fakes/stubs as declared by the source fixture. Fixture: UserServiceTests. </v>
      </c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75" customHeight="1">
      <c r="A307" s="73" t="n">
        <v>299</v>
      </c>
      <c r="B307" s="74" t="str">
        <v>Users</v>
      </c>
      <c r="C307" s="75" t="str">
        <v>A_change_of_case_during_the_send_keeps_the_link</v>
      </c>
      <c r="D307" s="76" t="str">
        <v>U299-A_change_of_case_during_th</v>
      </c>
      <c r="E307" s="77" t="str">
        <v>TC-99226AD1D732 | A change of case during the send keeps the link</v>
      </c>
      <c r="F307" s="78" t="str">
        <v>In-process logic; fakes/stubs as declared by the source fixture. Fixture: UserServiceTests. </v>
      </c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75" customHeight="1">
      <c r="A308" s="73" t="n">
        <v>300</v>
      </c>
      <c r="B308" s="74" t="str">
        <v>Users</v>
      </c>
      <c r="C308" s="75" t="str">
        <v>Reset_request_reports_not_found_for_an_unknown_account</v>
      </c>
      <c r="D308" s="76" t="str">
        <v>U300-Reset_request_reports_not_</v>
      </c>
      <c r="E308" s="77" t="str">
        <v>TC-5580711C74E7 | Reset request reports not found for an unknown account</v>
      </c>
      <c r="F308" s="78" t="str">
        <v>In-process logic; fakes/stubs as declared by the source fixture. Fixture: UserServiceTests. </v>
      </c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75" customHeight="1">
      <c r="A309" s="73" t="n">
        <v>301</v>
      </c>
      <c r="B309" s="74" t="str">
        <v>Users</v>
      </c>
      <c r="C309" s="75" t="str">
        <v>Reset_sets_the_new_password_ends_every_session_and_records_it</v>
      </c>
      <c r="D309" s="76" t="str">
        <v>U301-Reset_sets_the_new_passwor</v>
      </c>
      <c r="E309" s="77" t="str">
        <v>TC-F3B960FE2B47 | Reset sets the new password ends every session and records it</v>
      </c>
      <c r="F309" s="78" t="str">
        <v>In-process logic; fakes/stubs as declared by the source fixture. Fixture: UserServiceTests. </v>
      </c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75" customHeight="1">
      <c r="A310" s="73" t="n">
        <v>302</v>
      </c>
      <c r="B310" s="74" t="str">
        <v>Users</v>
      </c>
      <c r="C310" s="75" t="str">
        <v>Reset_link_works_only_once</v>
      </c>
      <c r="D310" s="76" t="str">
        <v>U302-Reset_link_works_only_once</v>
      </c>
      <c r="E310" s="77" t="str">
        <v>TC-9C507A58DEB7 | Reset link works only once</v>
      </c>
      <c r="F310" s="78" t="str">
        <v>In-process logic; fakes/stubs as declared by the source fixture. Fixture: UserServiceTests. </v>
      </c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75" customHeight="1">
      <c r="A311" s="73" t="n">
        <v>303</v>
      </c>
      <c r="B311" s="74" t="str">
        <v>Users</v>
      </c>
      <c r="C311" s="75" t="str">
        <v>A_newer_reset_link_supersedes_the_older_one</v>
      </c>
      <c r="D311" s="76" t="str">
        <v>U303-A_newer_reset_link_superse</v>
      </c>
      <c r="E311" s="77" t="str">
        <v>TC-7E970CC2F924 | A newer reset link supersedes the older one</v>
      </c>
      <c r="F311" s="78" t="str">
        <v>In-process logic; fakes/stubs as declared by the source fixture. Fixture: UserServiceTests. </v>
      </c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75" customHeight="1">
      <c r="A312" s="73" t="n">
        <v>304</v>
      </c>
      <c r="B312" s="74" t="str">
        <v>Users</v>
      </c>
      <c r="C312" s="75" t="str">
        <v>A_live_link_does_not_give_a_password_to_an_account_without_one</v>
      </c>
      <c r="D312" s="76" t="str">
        <v>U304-A_live_link_does_not_give_</v>
      </c>
      <c r="E312" s="77" t="str">
        <v>TC-8C0115FBC11F | A live link does not give a password to an account without one</v>
      </c>
      <c r="F312" s="78" t="str">
        <v>In-process logic; fakes/stubs as declared by the source fixture. Fixture: UserServiceTests. </v>
      </c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75" customHeight="1">
      <c r="A313" s="73" t="n">
        <v>305</v>
      </c>
      <c r="B313" s="74" t="str">
        <v>Users</v>
      </c>
      <c r="C313" s="75" t="str">
        <v>Reset_refuses_an_expired_link</v>
      </c>
      <c r="D313" s="76" t="str">
        <v>U305-Reset_refuses_an_expired_l</v>
      </c>
      <c r="E313" s="77" t="str">
        <v>TC-C7A270BB14CA | Reset refuses an expired link</v>
      </c>
      <c r="F313" s="78" t="str">
        <v>In-process logic; fakes/stubs as declared by the source fixture. Fixture: UserServiceTests. </v>
      </c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75" customHeight="1">
      <c r="A314" s="73" t="n">
        <v>306</v>
      </c>
      <c r="B314" s="74" t="str">
        <v>Users</v>
      </c>
      <c r="C314" s="75" t="str">
        <v>Reset_refuses_an_unknown_link</v>
      </c>
      <c r="D314" s="76" t="str">
        <v>U306-Reset_refuses_an_unknown_l</v>
      </c>
      <c r="E314" s="77" t="str">
        <v>TC-9CCD659CD847 | Reset refuses an unknown link</v>
      </c>
      <c r="F314" s="78" t="str">
        <v>In-process logic; fakes/stubs as declared by the source fixture. Fixture: UserServiceTests. </v>
      </c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75" customHeight="1">
      <c r="A315" s="73" t="n">
        <v>307</v>
      </c>
      <c r="B315" s="74" t="str">
        <v>Users</v>
      </c>
      <c r="C315" s="75" t="str">
        <v>A_too_short_password_is_refused_without_spending_the_link</v>
      </c>
      <c r="D315" s="76" t="str">
        <v>U307-A_too_short_password_is_re</v>
      </c>
      <c r="E315" s="77" t="str">
        <v>TC-E2FF97556A64 | A too short password is refused without spending the link</v>
      </c>
      <c r="F315" s="78" t="str">
        <v>In-process logic; fakes/stubs as declared by the source fixture. Fixture: UserServiceTests. </v>
      </c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75" customHeight="1">
      <c r="A316" s="73" t="n">
        <v>308</v>
      </c>
      <c r="B316" s="74" t="str">
        <v>Users</v>
      </c>
      <c r="C316" s="75" t="str">
        <v>Reset_refuses_the_link_of_an_account_deactivated_since</v>
      </c>
      <c r="D316" s="76" t="str">
        <v>U308-Reset_refuses_the_link_of_</v>
      </c>
      <c r="E316" s="77" t="str">
        <v>TC-8D1903B5AAE8 | Reset refuses the link of an account deactivated since</v>
      </c>
      <c r="F316" s="78" t="str">
        <v>In-process logic; fakes/stubs as declared by the source fixture. Fixture: UserServiceTests. </v>
      </c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75" customHeight="1">
      <c r="A317" s="73" t="n">
        <v>309</v>
      </c>
      <c r="B317" s="74" t="str">
        <v>Users</v>
      </c>
      <c r="C317" s="75" t="str">
        <v>Reset_ends_a_session_opened_with_the_old_password_while_it_ran</v>
      </c>
      <c r="D317" s="76" t="str">
        <v>U309-Reset_ends_a_session_opene</v>
      </c>
      <c r="E317" s="77" t="str">
        <v>TC-E7B4918899FD | Reset ends a session opened with the old password while it ran</v>
      </c>
      <c r="F317" s="78" t="str">
        <v>In-process logic; fakes/stubs as declared by the source fixture. Fixture: UserServiceTests. </v>
      </c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75" customHeight="1">
      <c r="A318" s="73" t="n">
        <v>310</v>
      </c>
      <c r="B318" s="74" t="str">
        <v>Users</v>
      </c>
      <c r="C318" s="75" t="str">
        <v>Reset_still_succeeds_when_only_the_second_revoke_fails</v>
      </c>
      <c r="D318" s="76" t="str">
        <v>U310-Reset_still_succeeds_when_</v>
      </c>
      <c r="E318" s="77" t="str">
        <v>TC-FF9A7FDD254F | Reset still succeeds when only the second revoke fails</v>
      </c>
      <c r="F318" s="78" t="str">
        <v>In-process logic; fakes/stubs as declared by the source fixture. Fixture: UserServiceTests. </v>
      </c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75" customHeight="1">
      <c r="A319" s="73" t="n">
        <v>311</v>
      </c>
      <c r="B319" s="74" t="str">
        <v>Users</v>
      </c>
      <c r="C319" s="75" t="str">
        <v>Deactivating_an_account_kills_its_outstanding_reset_link</v>
      </c>
      <c r="D319" s="76" t="str">
        <v>U311-Deactivating_an_account_ki</v>
      </c>
      <c r="E319" s="77" t="str">
        <v>TC-7E900720BAFC | Deactivating an account kills its outstanding reset link</v>
      </c>
      <c r="F319" s="78" t="str">
        <v>In-process logic; fakes/stubs as declared by the source fixture. Fixture: UserServiceTests. </v>
      </c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75" customHeight="1">
      <c r="A320" s="73" t="n">
        <v>312</v>
      </c>
      <c r="B320" s="74" t="str">
        <v>Users</v>
      </c>
      <c r="C320" s="75" t="str">
        <v>Changing_the_email_kills_the_link_sent_to_the_old_address</v>
      </c>
      <c r="D320" s="76" t="str">
        <v>U312-Changing_the_email_kills_t</v>
      </c>
      <c r="E320" s="77" t="str">
        <v>TC-85A953885ED8 | Changing the email kills the link sent to the old address</v>
      </c>
      <c r="F320" s="78" t="str">
        <v>In-process logic; fakes/stubs as declared by the source fixture. Fixture: UserServiceTests. </v>
      </c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75" customHeight="1">
      <c r="A321" s="73" t="n">
        <v>313</v>
      </c>
      <c r="B321" s="74" t="str">
        <v>Users</v>
      </c>
      <c r="C321" s="75" t="str">
        <v>Sessions_still_end_when_revoking_the_reset_link_fails</v>
      </c>
      <c r="D321" s="76" t="str">
        <v>U313-Sessions_still_end_when_re</v>
      </c>
      <c r="E321" s="77" t="str">
        <v>TC-48ADC043DDE8 | Sessions still end when revoking the reset link fails</v>
      </c>
      <c r="F321" s="78" t="str">
        <v>In-process logic; fakes/stubs as declared by the source fixture. Fixture: UserServiceTests. </v>
      </c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75" customHeight="1">
      <c r="A322" s="73" t="n">
        <v>314</v>
      </c>
      <c r="B322" s="74" t="str">
        <v>Users</v>
      </c>
      <c r="C322" s="75" t="str">
        <v>The_reset_link_is_still_revoked_when_ending_the_sessions_fails</v>
      </c>
      <c r="D322" s="76" t="str">
        <v>U314-The_reset_link_is_still_re</v>
      </c>
      <c r="E322" s="77" t="str">
        <v>TC-76063B56A2D7 | The reset link is still revoked when ending the sessions fails</v>
      </c>
      <c r="F322" s="78" t="str">
        <v>In-process logic; fakes/stubs as declared by the source fixture. Fixture: UserServiceTests. </v>
      </c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75" customHeight="1">
      <c r="A323" s="73" t="n">
        <v>315</v>
      </c>
      <c r="B323" s="74" t="str">
        <v>Users</v>
      </c>
      <c r="C323" s="75" t="str">
        <v>Renaming_an_account_leaves_its_reset_link_working</v>
      </c>
      <c r="D323" s="76" t="str">
        <v>U315-Renaming_an_account_leaves</v>
      </c>
      <c r="E323" s="77" t="str">
        <v>TC-F7589A47AF22 | Renaming an account leaves its reset link working</v>
      </c>
      <c r="F323" s="78" t="str">
        <v>In-process logic; fakes/stubs as declared by the source fixture. Fixture: UserServiceTests. </v>
      </c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75" customHeight="1">
      <c r="A324" s="73" t="n">
        <v>316</v>
      </c>
      <c r="B324" s="74" t="str">
        <v>Users</v>
      </c>
      <c r="C324" s="75" t="str">
        <v>Reset_keeps_the_old_password_when_ending_the_sessions_fails</v>
      </c>
      <c r="D324" s="76" t="str">
        <v>U316-Reset_keeps_the_old_passwo</v>
      </c>
      <c r="E324" s="77" t="str">
        <v>TC-96E6209F5332 | Reset keeps the old password when ending the sessions fails</v>
      </c>
      <c r="F324" s="78" t="str">
        <v>In-process logic; fakes/stubs as declared by the source fixture. Fixture: UserServiceTests. </v>
      </c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</sheetData>
  <mergeCells count="6">
    <mergeCell ref="A4:B4"/>
    <mergeCell ref="C4:F4"/>
    <mergeCell ref="A5:B5"/>
    <mergeCell ref="C5:F5"/>
    <mergeCell ref="A6:B6"/>
    <mergeCell ref="C6:F6"/>
  </mergeCells>
  <hyperlinks>
    <hyperlink ref="D9" location="'U001-Every_capability_in_the_en'!A1"/>
    <hyperlink ref="D10" location="'U002-Code_is_the_enum_name_so_t'!A1"/>
    <hyperlink ref="D11" location="'U003-Matrix_lists_every_role_ev'!A1"/>
    <hyperlink ref="D12" location="'U004-Matrix_lists_built_in_role'!A1"/>
    <hyperlink ref="D13" location="'U005-Matrix_returns_the_seeded_'!A1"/>
    <hyperlink ref="D14" location="'U006-Matrix_carries_the_whole_c'!A1"/>
    <hyperlink ref="D15" location="'U007-Update_saves_the_requested'!A1"/>
    <hyperlink ref="D16" location="'U008-Update_can_remove_every_ca'!A1"/>
    <hyperlink ref="D17" location="'U009-Update_records_the_change_'!A1"/>
    <hyperlink ref="D18" location="'U010-Update_ends_the_sessions_o'!A1"/>
    <hyperlink ref="D19" location="'U011-Update_ends_sessions_when_'!A1"/>
    <hyperlink ref="D20" location="'U012-Sessions_are_ended_after_t'!A1"/>
    <hyperlink ref="D21" location="'U013-The_matrix_change_survives'!A1"/>
    <hyperlink ref="D22" location="'U014-One_unreachable_session_do'!A1"/>
    <hyperlink ref="D23" location="'U015-The_update_runs_under_the_'!A1"/>
    <hyperlink ref="D24" location="'U016-Update_that_changes_nothin'!A1"/>
    <hyperlink ref="D25" location="'U017-Update_ignores_duplicates_'!A1"/>
    <hyperlink ref="D26" location="'U018-Update_refuses_to_remove_a'!A1"/>
    <hyperlink ref="D27" location="'U019-Update_allows_moving_admin'!A1"/>
    <hyperlink ref="D28" location="'U020-Update_refuses_to_move_adm'!A1"/>
    <hyperlink ref="D29" location="'U021-Update_refuses_when_the_on'!A1"/>
    <hyperlink ref="D30" location="'U022-Granting_admin_users_to_a_'!A1"/>
    <hyperlink ref="D31" location="'U023-Update_refuses_an_unknown_'!A1"/>
    <hyperlink ref="D32" location="'U024-Update_configures_a_custom'!A1"/>
    <hyperlink ref="D33" location="'U025-A_custom_role_can_take_ove'!A1"/>
    <hyperlink ref="D34" location="'U026-Update_refuses_an_unknown_'!A1"/>
    <hyperlink ref="D35" location="'U027-Update_answers_save_failed'!A1"/>
    <hyperlink ref="D36" location="'U028-List_puts_built_in_roles_f'!A1"/>
    <hyperlink ref="D37" location="'U029-Create_saves_the_role_with'!A1"/>
    <hyperlink ref="D38" location="'U030-Create_records_role_create'!A1"/>
    <hyperlink ref="D39" location="'U031-Create_goes_through_the_ad'!A1"/>
    <hyperlink ref="D40" location="'U032-Create_without_capabilitie'!A1"/>
    <hyperlink ref="D41" location="'U033-Create_trims_the_name_and_'!A1"/>
    <hyperlink ref="D42" location="'U034-Create_stores_a_blank_desc'!A1"/>
    <hyperlink ref="D43" location="'U035-Create_answers_MSG20_for_a'!A1"/>
    <hyperlink ref="D44" location="'U036-Create_accepts_64_characte'!A1"/>
    <hyperlink ref="D45" location="'U037-Create_measures_the_name_a'!A1"/>
    <hyperlink ref="D46" location="'U038-Create_refuses_a_descripti'!A1"/>
    <hyperlink ref="D47" location="'U039-Create_names_every_unknown'!A1"/>
    <hyperlink ref="D48" location="'U040-Create_refuses_a_capabilit'!A1"/>
    <hyperlink ref="D49" location="'U041-Create_names_a_null_capabi'!A1"/>
    <hyperlink ref="D50" location="'U042-Create_reports_every_inval'!A1"/>
    <hyperlink ref="D51" location="'U043-Create_accepts_capability_'!A1"/>
    <hyperlink ref="D52" location="'U044-Create_answers_MSG21_for_a'!A1"/>
    <hyperlink ref="D53" location="'U045-Create_answers_MSG21_for_t'!A1"/>
    <hyperlink ref="D54" location="'U046-Create_stores_the_name_in_'!A1"/>
    <hyperlink ref="D55" location="'U047-Create_answers_MSG21_for_t'!A1"/>
    <hyperlink ref="D56" location="'U048-Create_answers_MSG21_when_'!A1"/>
    <hyperlink ref="D57" location="'U049-Create_answers_save_failed'!A1"/>
    <hyperlink ref="D58" location="'U050-Update_renames_a_custom_ro'!A1"/>
    <hyperlink ref="D59" location="'U051-Update_records_before_and_'!A1"/>
    <hyperlink ref="D60" location="'U052-Update_does_not_take_the_i'!A1"/>
    <hyperlink ref="D61" location="'U053-Update_answers_not_found_f'!A1"/>
    <hyperlink ref="D62" location="'U054-Update_answers_MSG24_for_e'!A1"/>
    <hyperlink ref="D63" location="'U055-Update_answers_MSG24_befor'!A1"/>
    <hyperlink ref="D64" location="'U056-Update_answers_MSG20_for_i'!A1"/>
    <hyperlink ref="D65" location="'U057-Update_answers_MSG21_for_t'!A1"/>
    <hyperlink ref="D66" location="'U058-Update_may_change_only_the'!A1"/>
    <hyperlink ref="D67" location="'U059-Update_with_nothing_change'!A1"/>
    <hyperlink ref="D68" location="'U060-Update_answers_MSG21_when_'!A1"/>
    <hyperlink ref="D69" location="'U061-Update_answers_not_found_w'!A1"/>
    <hyperlink ref="D70" location="'U062-Update_answers_save_failed'!A1"/>
    <hyperlink ref="D71" location="'U063-Delete_removes_a_custom_ro'!A1"/>
    <hyperlink ref="D72" location="'U064-Delete_records_the_name_an'!A1"/>
    <hyperlink ref="D73" location="'U065-Delete_goes_through_the_ad'!A1"/>
    <hyperlink ref="D74" location="'U066-Delete_answers_not_found_f'!A1"/>
    <hyperlink ref="D75" location="'U067-Delete_answers_MSG24_for_e'!A1"/>
    <hyperlink ref="D76" location="'U068-Delete_answers_MSG25_with_'!A1"/>
    <hyperlink ref="D77" location="'U069-Delete_answers_MSG25_when_'!A1"/>
    <hyperlink ref="D78" location="'U070-Delete_answers_save_failed'!A1"/>
    <hyperlink ref="D79" location="'U071-Actual_duration_is_indepen'!A1"/>
    <hyperlink ref="D80" location="'U072-Missing_start_or_backwards'!A1"/>
    <hyperlink ref="D81" location="'U073-Order_token_is_determinist'!A1"/>
    <hyperlink ref="D82" location="'U074-Normalization_preserves_ne'!A1"/>
    <hyperlink ref="D83" location="'U075-An_active_user_with_the_ri'!A1"/>
    <hyperlink ref="D84" location="'U076-Signing_in_issues_an_acces'!A1"/>
    <hyperlink ref="D85" location="'U077-Capabilities_come_from_the'!A1"/>
    <hyperlink ref="D86" location="'U078-A_member_signs_in_although'!A1"/>
    <hyperlink ref="D87" location="'U079-Email_case_and_surrounding'!A1"/>
    <hyperlink ref="D88" location="'U080-An_unknown_email_is_reject'!A1"/>
    <hyperlink ref="D89" location="'U081-A_wrong_password_is_reject'!A1"/>
    <hyperlink ref="D90" location="'U082-An_unknown_email_and_a_wro'!A1"/>
    <hyperlink ref="D91" location="'U083-An_unknown_email_still_cos'!A1"/>
    <hyperlink ref="D92" location="'U084-The_dummy_hash_comes_from_'!A1"/>
    <hyperlink ref="D93" location="'U085-The_dummy_hash_never_match'!A1"/>
    <hyperlink ref="D94" location="'U086-A_known_email_and_an_unkno'!A1"/>
    <hyperlink ref="D95" location="'U087-Blank_input_is_rejected_wi'!A1"/>
    <hyperlink ref="D96" location="'U088-A_failed_attempt_issues_no'!A1"/>
    <hyperlink ref="D97" location="'U089-A_placeholder_password_has'!A1"/>
    <hyperlink ref="D98" location="'U090-A_deactivated_account_is_t'!A1"/>
    <hyperlink ref="D99" location="'U091-A_deactivated_account_with'!A1"/>
    <hyperlink ref="D100" location="'U092-A_role_that_grants_nothing'!A1"/>
    <hyperlink ref="D101" location="'U093-A_custom_role_signs_in_wit'!A1"/>
    <hyperlink ref="D102" location="'U094-A_refresh_token_can_be_exc'!A1"/>
    <hyperlink ref="D103" location="'U095-A_refresh_token_works_only'!A1"/>
    <hyperlink ref="D104" location="'U096-A_database_error_during_re'!A1"/>
    <hyperlink ref="D105" location="'U097-An_expired_refresh_token_i'!A1"/>
    <hyperlink ref="D106" location="'U098-A_missing_or_unknown_refre'!A1"/>
    <hyperlink ref="D107" location="'U099-Deactivating_an_account_en'!A1"/>
    <hyperlink ref="D108" location="'U100-Losing_every_capability_re'!A1"/>
    <hyperlink ref="D109" location="'U101-A_capability_granted_meanw'!A1"/>
    <hyperlink ref="D110" location="'U102-Signing_out_destroys_the_s'!A1"/>
    <hyperlink ref="D111" location="'U103-Signing_out_twice_is_not_a'!A1"/>
    <hyperlink ref="D112" location="'U104-Signing_out_one_session_le'!A1"/>
    <hyperlink ref="D113" location="'U105-A_linked_active_account_si'!A1"/>
    <hyperlink ref="D114" location="'U106-Google_sign_in_issues_the_'!A1"/>
    <hyperlink ref="D115" location="'U107-An_account_with_both_a_pas'!A1"/>
    <hyperlink ref="D116" location="'U108-A_member_signs_in_with_goo'!A1"/>
    <hyperlink ref="D117" location="'U109-A_token_that_does_not_veri'!A1"/>
    <hyperlink ref="D118" location="'U110-The_database_is_not_consul'!A1"/>
    <hyperlink ref="D119" location="'U111-A_google_account_nobody_li'!A1"/>
    <hyperlink ref="D120" location="'U112-An_account_created_with_th'!A1"/>
    <hyperlink ref="D121" location="'U113-An_account_already_linked_'!A1"/>
    <hyperlink ref="D122" location="'U114-An_account_deactivated_bef'!A1"/>
    <hyperlink ref="D123" location="'U115-A_deactivated_account_link'!A1"/>
    <hyperlink ref="D124" location="'U116-A_deactivated_linked_accou'!A1"/>
    <hyperlink ref="D125" location="'U117-A_linked_account_whose_rol'!A1"/>
    <hyperlink ref="D126" location="'U118-A_google_only_account_cann'!A1"/>
    <hyperlink ref="D127" location="'U119-A_session_started_with_goo'!A1"/>
    <hyperlink ref="D128" location="'U120-Signing_out_of_a_google_se'!A1"/>
    <hyperlink ref="D129" location="'U121-Deactivating_a_google_acco'!A1"/>
    <hyperlink ref="D130" location="'U122-A_payload_with_a_verified_'!A1"/>
    <hyperlink ref="D131" location="'U123-A_payload_whose_email_is_n'!A1"/>
    <hyperlink ref="D132" location="'U124-A_payload_without_a_usable'!A1"/>
    <hyperlink ref="D133" location="'U125-A_blank_token_is_refused_w'!A1"/>
    <hyperlink ref="D134" location="'U126-A_malformed_token_returns_'!A1"/>
    <hyperlink ref="D135" location="'U127-A_well_formed_but_forged_t'!A1"/>
    <hyperlink ref="D136" location="'U128-The_access_token_identifie'!A1"/>
    <hyperlink ref="D137" location="'U129-The_access_token_carries_o'!A1"/>
    <hyperlink ref="D138" location="'U130-An_access_token_for_a_memb'!A1"/>
    <hyperlink ref="D139" location="'U131-The_access_token_never_car'!A1"/>
    <hyperlink ref="D140" location="'U132-Every_access_token_has_its'!A1"/>
    <hyperlink ref="D141" location="'U133-The_access_token_expires_a'!A1"/>
    <hyperlink ref="D142" location="'U134-The_access_token_validates'!A1"/>
    <hyperlink ref="D143" location="'U135-A_token_signed_with_anothe'!A1"/>
    <hyperlink ref="D144" location="'U136-A_tampered_token_is_reject'!A1"/>
    <hyperlink ref="D145" location="'U137-A_token_from_another_issue'!A1"/>
    <hyperlink ref="D146" location="'U138-A_fresh_token_carries_no_n'!A1"/>
    <hyperlink ref="D147" location="'U139-A_token_validates_against_'!A1"/>
    <hyperlink ref="D148" location="'U140-Refresh_tokens_are_unique_'!A1"/>
    <hyperlink ref="D149" location="'U141-The_refresh_token_lifetime'!A1"/>
    <hyperlink ref="D150" location="'U142-A_password_verifies_agains'!A1"/>
    <hyperlink ref="D151" location="'U143-A_different_password_does_'!A1"/>
    <hyperlink ref="D152" location="'U144-Password_comparison_is_cas'!A1"/>
    <hyperlink ref="D153" location="'U145-The_hash_does_not_contain_'!A1"/>
    <hyperlink ref="D154" location="'U146-The_same_password_hashes_d'!A1"/>
    <hyperlink ref="D155" location="'U147-The_hash_fits_the_column'!A1"/>
    <hyperlink ref="D156" location="'U148-A_malformed_stored_hash_fa'!A1"/>
    <hyperlink ref="D157" location="'U149-A_long_passphrase_is_suppo'!A1"/>
    <hyperlink ref="D158" location="'U150-Reconciliation_failures_ar'!A1"/>
    <hyperlink ref="D159" location="'U151-Host_cancellation_during_r'!A1"/>
    <hyperlink ref="D160" location="'U152-Sends_the_link_to_the_regi'!A1"/>
    <hyperlink ref="D161" location="'U153-The_token_travels_in_the_f'!A1"/>
    <hyperlink ref="D162" location="'U154-Disabled_email_delivery_is'!A1"/>
    <hyperlink ref="D163" location="'U155-A_server_error_is_a_failed'!A1"/>
    <hyperlink ref="D164" location="'U156-A_server_that_never_answer'!A1"/>
    <hyperlink ref="D165" location="'U157-A_cancelled_request_is_not'!A1"/>
    <hyperlink ref="D166" location="'U158-Delegate_is_not_added_by_r'!A1"/>
    <hyperlink ref="D167" location="'U159-Snapshot_excludes_inactive'!A1"/>
    <hyperlink ref="D168" location="'U160-Empty_query_uses_defaults'!A1"/>
    <hyperlink ref="D169" location="'U161-Valid_query_normalizes_dat'!A1"/>
    <hyperlink ref="D170" location="'U162-Timestamp_with_timezone_is'!A1"/>
    <hyperlink ref="D171" location="'U163-Sort_field_without_directi'!A1"/>
    <hyperlink ref="D172" location="'U164-Direction_without_sort_fie'!A1"/>
    <hyperlink ref="D173" location="'U165-Invalid_value_returns_its_'!A1"/>
    <hyperlink ref="D174" location="'U166-Reversed_range_is_invalid'!A1"/>
    <hyperlink ref="D175" location="'U167-Large_page_is_valid_query'!A1"/>
    <hyperlink ref="D176" location="'U168-Parser_reports_independent'!A1"/>
    <hyperlink ref="D177" location="'U169-In_memory_and_query_polici'!A1"/>
    <hyperlink ref="D178" location="'U170-Reassignment_revokes_the_o'!A1"/>
    <hyperlink ref="D179" location="'U171-Assigned_secretary_can_rea'!A1"/>
    <hyperlink ref="D180" location="'U172-Assigned_chair_reads_conte'!A1"/>
    <hyperlink ref="D181" location="'U173-Unassigned_or_ineligible_s'!A1"/>
    <hyperlink ref="D182" location="'U174-Invalid_participant_assign'!A1"/>
    <hyperlink ref="D183" location="'U175-Create_rejects_a_missing_o'!A1"/>
    <hyperlink ref="D184" location="'U176-Validation_collects_field_'!A1"/>
    <hyperlink ref="D185" location="'U177-Create_accepts_each_suppor'!A1"/>
    <hyperlink ref="D186" location="'U178-Create_uses_form_defaults'!A1"/>
    <hyperlink ref="D187" location="'U179-Create_accepts_the_documen'!A1"/>
    <hyperlink ref="D188" location="'U180-Create_stores_the_planned_'!A1"/>
    <hyperlink ref="D189" location="'U181-Create_rejects_a_time_with'!A1"/>
    <hyperlink ref="D190" location="'U182-Update_of_a_draft_keeps_a_'!A1"/>
    <hyperlink ref="D191" location="'U183-Create_leaves_the_approver'!A1"/>
    <hyperlink ref="D192" location="'U184-Create_does_not_assign_or_'!A1"/>
    <hyperlink ref="D193" location="'U185-Update_changes_draft_field'!A1"/>
    <hyperlink ref="D194" location="'U186-Update_uses_form_defaults'!A1"/>
    <hyperlink ref="D195" location="'U187-Update_changes_rejected_in'!A1"/>
    <hyperlink ref="D196" location="'U188-Update_returns_validation_'!A1"/>
    <hyperlink ref="D197" location="'U189-Update_rejects_a_meeting_o'!A1"/>
    <hyperlink ref="D198" location="'U190-Update_does_not_save_when_'!A1"/>
    <hyperlink ref="D199" location="'U191-Update_preserves_a_draft_a'!A1"/>
    <hyperlink ref="D200" location="'U192-Get_and_update_return_the_'!A1"/>
    <hyperlink ref="D201" location="'U193-Get_allows_the_assigned_ap'!A1"/>
    <hyperlink ref="D202" location="'U194-Get_returns_a_read_failure'!A1"/>
    <hyperlink ref="D203" location="'U195-List_forwards_criteria_and'!A1"/>
    <hyperlink ref="D204" location="'U196-List_maps_a_database_failu'!A1"/>
    <hyperlink ref="D205" location="'U197-List_propagates_request_ca'!A1"/>
    <hyperlink ref="D206" location="'U198-List_eligible_approvers_re'!A1"/>
    <hyperlink ref="D207" location="'U199-List_eligible_approvers_ma'!A1"/>
    <hyperlink ref="D208" location="'U200-Save_failure_is_returned_a'!A1"/>
    <hyperlink ref="D209" location="'U201-Update_save_failure_is_ret'!A1"/>
    <hyperlink ref="D210" location="'U202-Submission_readiness_does_'!A1"/>
    <hyperlink ref="D211" location="'U203-Submission_readiness_requi'!A1"/>
    <hyperlink ref="D212" location="'U204-Meeting_readiness_reuses_i'!A1"/>
    <hyperlink ref="D213" location="'U205-Submit_records_assignment_'!A1"/>
    <hyperlink ref="D214" location="'U206-Approve_notifies_the_organ'!A1"/>
    <hyperlink ref="D215" location="'U207-Reject_notifies_the_organi'!A1"/>
    <hyperlink ref="D216" location="'U208-Rejected_meeting_returns_t'!A1"/>
    <hyperlink ref="D217" location="'U209-Draft_approver_selected_by'!A1"/>
    <hyperlink ref="D218" location="'U210-Assigned_approver_with_cap'!A1"/>
    <hyperlink ref="D219" location="'U211-Assigned_approver_without_'!A1"/>
    <hyperlink ref="D220" location="'U212-Readiness_get_and_submit_u'!A1"/>
    <hyperlink ref="D221" location="'U213-Reject_requires_nonblank_r'!A1"/>
    <hyperlink ref="D222" location="'U214-Reject_accepts_exactly_100'!A1"/>
    <hyperlink ref="D223" location="'U215-Publish_notifies_active_no'!A1"/>
    <hyperlink ref="D224" location="'U216-Publish_does_not_notify_th'!A1"/>
    <hyperlink ref="D225" location="'U217-Publish_keeps_the_full_uni'!A1"/>
    <hyperlink ref="D226" location="'U218-Organizer_cannot_submit_to'!A1"/>
    <hyperlink ref="D227" location="'U219-Legacy_self_assignment_can'!A1"/>
    <hyperlink ref="D228" location="'U220-Waiting_approval_can_be_wi'!A1"/>
    <hyperlink ref="D229" location="'U221-Legacy_missing_or_self_ass'!A1"/>
    <hyperlink ref="D230" location="'U222-Withdrawal_save_failure_ro'!A1"/>
    <hyperlink ref="D231" location="'U223-Ineligible_approver_does_n'!A1"/>
    <hyperlink ref="D232" location="'U224-Invitation_producer_failur'!A1"/>
    <hyperlink ref="D233" location="'U225-Publish_persistence_failur'!A1"/>
    <hyperlink ref="D234" location="'U226-Organizer_and_current_appr'!A1"/>
    <hyperlink ref="D235" location="'U227-Administrative_transfer_re'!A1"/>
    <hyperlink ref="D236" location="'U228-Transfer_requires_current_'!A1"/>
    <hyperlink ref="D237" location="'U229-Transfer_cannot_replace_an'!A1"/>
    <hyperlink ref="D238" location="'U230-Transfer_rejects_an_invali'!A1"/>
    <hyperlink ref="D239" location="'U231-Transfer_requires_an_appro'!A1"/>
    <hyperlink ref="D240" location="'U232-Transfer_save_failure_roll'!A1"/>
    <hyperlink ref="D241" location="'U233-Transfer_organizer_ids_are'!A1"/>
    <hyperlink ref="D242" location="'U234-Submit_accepts_draft_or_re'!A1"/>
    <hyperlink ref="D243" location="'U235-Failed_rejected_resubmissi'!A1"/>
    <hyperlink ref="D244" location="'U236-Publish_succeeds_with_the_'!A1"/>
    <hyperlink ref="D245" location="'U237-Publish_requires_exactly_o'!A1"/>
    <hyperlink ref="D246" location="'U238-Assigned_secretary_reads_d'!A1"/>
    <hyperlink ref="D247" location="'U239-Invalid_secretary_relation'!A1"/>
    <hyperlink ref="D248" location="'U240-Migration_marks_preexistin'!A1"/>
    <hyperlink ref="D249" location="'U241-List_returns_every_account'!A1"/>
    <hyperlink ref="D250" location="'U242-List_includes_deactivated_'!A1"/>
    <hyperlink ref="D251" location="'U243-List_never_exposes_the_pas'!A1"/>
    <hyperlink ref="D252" location="'U244-Create_stores_an_active_ac'!A1"/>
    <hyperlink ref="D253" location="'U245-Create_hashes_the_password'!A1"/>
    <hyperlink ref="D254" location="'U246-Create_never_puts_the_pass'!A1"/>
    <hyperlink ref="D255" location="'U247-Create_rejects_invalid_inf'!A1"/>
    <hyperlink ref="D256" location="'U248-Create_rejects_a_password_'!A1"/>
    <hyperlink ref="D257" location="'U249-Create_rejects_a_role_that'!A1"/>
    <hyperlink ref="D258" location="'U250-Create_accepts_a_role_an_a'!A1"/>
    <hyperlink ref="D259" location="'U251-Create_reports_every_inval'!A1"/>
    <hyperlink ref="D260" location="'U252-Create_rejects_an_email_th'!A1"/>
    <hyperlink ref="D261" location="'U253-Create_rejects_an_email_th'!A1"/>
    <hyperlink ref="D262" location="'U254-Create_trims_surrounding_w'!A1"/>
    <hyperlink ref="D263" location="'U255-Create_does_not_audit_when'!A1"/>
    <hyperlink ref="D264" location="'U256-Create_answers_MSG09_on_th'!A1"/>
    <hyperlink ref="D265" location="'U257-Get_returns_the_current_in'!A1"/>
    <hyperlink ref="D266" location="'U258-Get_reports_not_found_for_'!A1"/>
    <hyperlink ref="D267" location="'U259-Update_changes_the_account'!A1"/>
    <hyperlink ref="D268" location="'U260-Update_lets_an_account_kee'!A1"/>
    <hyperlink ref="D269" location="'U261-Update_rejects_an_email_an'!A1"/>
    <hyperlink ref="D270" location="'U262-Update_rejects_invalid_inf'!A1"/>
    <hyperlink ref="D271" location="'U263-Update_reports_not_found_f'!A1"/>
    <hyperlink ref="D272" location="'U264-Update_ends_the_sessions_w'!A1"/>
    <hyperlink ref="D273" location="'U265-Update_keeps_the_sessions_'!A1"/>
    <hyperlink ref="D274" location="'U266-Update_refuses_to_let_an_a'!A1"/>
    <hyperlink ref="D275" location="'U267-Update_lets_an_administrat'!A1"/>
    <hyperlink ref="D276" location="'U268-Update_lets_one_administra'!A1"/>
    <hyperlink ref="D277" location="'U269-Update_refuses_to_demote_t'!A1"/>
    <hyperlink ref="D278" location="'U270-Update_lets_the_last_admin'!A1"/>
    <hyperlink ref="D279" location="'U271-An_inactive_account_can_st'!A1"/>
    <hyperlink ref="D280" location="'U272-Changing_an_email_ends_the'!A1"/>
    <hyperlink ref="D281" location="'U273-Renaming_somebody_leaves_t'!A1"/>
    <hyperlink ref="D282" location="'U274-Both_writes_that_touch_the'!A1"/>
    <hyperlink ref="D283" location="'U275-Sessions_are_ended_after_t'!A1"/>
    <hyperlink ref="D284" location="'U276-A_change_survives_the_sess'!A1"/>
    <hyperlink ref="D285" location="'U277-Deactivate_sets_the_status'!A1"/>
    <hyperlink ref="D286" location="'U278-Deactivate_never_deletes_t'!A1"/>
    <hyperlink ref="D287" location="'U279-Reactivate_sets_the_status'!A1"/>
    <hyperlink ref="D288" location="'U280-Status_change_is_refused_w'!A1"/>
    <hyperlink ref="D289" location="'U281-Status_change_is_refused_w'!A1"/>
    <hyperlink ref="D290" location="'U282-Two_administrators_cannot_'!A1"/>
    <hyperlink ref="D291" location="'U283-Deactivating_the_last_admi'!A1"/>
    <hyperlink ref="D292" location="'U284-A_custom_role_holding_admi'!A1"/>
    <hyperlink ref="D293" location="'U285-Moving_the_last_administra'!A1"/>
    <hyperlink ref="D294" location="'U286-Update_answers_with_the_ne'!A1"/>
    <hyperlink ref="D295" location="'U287-Update_answers_MSG09_for_a'!A1"/>
    <hyperlink ref="D296" location="'U288-Deactivating_a_non_adminis'!A1"/>
    <hyperlink ref="D297" location="'U289-Status_change_reports_not_'!A1"/>
    <hyperlink ref="D298" location="'U290-Reset_request_emails_a_lin'!A1"/>
    <hyperlink ref="D299" location="'U291-Reset_request_leaves_the_c'!A1"/>
    <hyperlink ref="D300" location="'U292-Reset_request_answers_not_'!A1"/>
    <hyperlink ref="D301" location="'U293-Reset_request_answers_not_'!A1"/>
    <hyperlink ref="D302" location="'U294-Reset_request_answers_emai'!A1"/>
    <hyperlink ref="D303" location="'U295-A_failed_resend_keeps_the_'!A1"/>
    <hyperlink ref="D304" location="'U296-A_link_whose_email_failed_'!A1"/>
    <hyperlink ref="D305" location="'U297-A_deactivation_during_the_'!A1"/>
    <hyperlink ref="D306" location="'U298-An_email_change_during_the'!A1"/>
    <hyperlink ref="D307" location="'U299-A_change_of_case_during_th'!A1"/>
    <hyperlink ref="D308" location="'U300-Reset_request_reports_not_'!A1"/>
    <hyperlink ref="D309" location="'U301-Reset_sets_the_new_passwor'!A1"/>
    <hyperlink ref="D310" location="'U302-Reset_link_works_only_once'!A1"/>
    <hyperlink ref="D311" location="'U303-A_newer_reset_link_superse'!A1"/>
    <hyperlink ref="D312" location="'U304-A_live_link_does_not_give_'!A1"/>
    <hyperlink ref="D313" location="'U305-Reset_refuses_an_expired_l'!A1"/>
    <hyperlink ref="D314" location="'U306-Reset_refuses_an_unknown_l'!A1"/>
    <hyperlink ref="D315" location="'U307-A_too_short_password_is_re'!A1"/>
    <hyperlink ref="D316" location="'U308-Reset_refuses_the_link_of_'!A1"/>
    <hyperlink ref="D317" location="'U309-Reset_ends_a_session_opene'!A1"/>
    <hyperlink ref="D318" location="'U310-Reset_still_succeeds_when_'!A1"/>
    <hyperlink ref="D319" location="'U311-Deactivating_an_account_ki'!A1"/>
    <hyperlink ref="D320" location="'U312-Changing_the_email_kills_t'!A1"/>
    <hyperlink ref="D321" location="'U313-Sessions_still_end_when_re'!A1"/>
    <hyperlink ref="D322" location="'U314-The_reset_link_is_still_re'!A1"/>
    <hyperlink ref="D323" location="'U315-Renaming_an_account_leaves'!A1"/>
    <hyperlink ref="D324" location="'U316-Reset_keeps_the_old_passwo'!A1"/>
  </hyperlinks>
  <printOptions/>
  <pageMargins bottom="0.75" footer="0.0" header="0.0" left="0.7" right="0.7" top="0.75"/>
  <pageSetup orientation="landscape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5.38"/>
    <col customWidth="1" min="2" max="2" width="26.63"/>
    <col customWidth="1" min="3" max="3" width="12.13"/>
    <col customWidth="1" min="4" max="4" width="9.63"/>
    <col customWidth="1" min="5" max="5" width="9.75"/>
    <col customWidth="1" min="6" max="8" width="5.13"/>
    <col customWidth="1" min="9" max="9" width="21.0"/>
    <col customWidth="1" min="10" max="26" width="8.0"/>
  </cols>
  <sheetData>
    <row r="1" ht="12.75" customHeigh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25.5" customHeight="1">
      <c r="A2" s="79" t="str">
        <v>UNIT TEST REPORT</v>
      </c>
      <c r="B2" s="80"/>
      <c r="C2" s="80"/>
      <c r="D2" s="80"/>
      <c r="E2" s="80"/>
      <c r="F2" s="80"/>
      <c r="G2" s="80"/>
      <c r="H2" s="80"/>
      <c r="I2" s="81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4.25" customHeight="1">
      <c r="A3" s="83"/>
      <c r="B3" s="8"/>
      <c r="C3" s="8"/>
      <c r="D3" s="8"/>
      <c r="E3" s="8"/>
      <c r="F3" s="8"/>
      <c r="G3" s="8"/>
      <c r="H3" s="8"/>
      <c r="I3" s="84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3.5" customHeight="1">
      <c r="A4" s="85" t="str">
        <v>Project Name</v>
      </c>
      <c r="B4" s="30" t="str">
        <f>Cover!B4</f>
        <v>TrustCabinet</v>
      </c>
      <c r="C4" s="17"/>
      <c r="D4" s="86" t="str">
        <v>Creator</v>
      </c>
      <c r="E4" s="17"/>
      <c r="F4" s="87" t="str">
        <v>TrustCabinet Team</v>
      </c>
      <c r="G4" s="16"/>
      <c r="H4" s="16"/>
      <c r="I4" s="17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3.5" customHeight="1">
      <c r="A5" s="85" t="str">
        <v>Project Code</v>
      </c>
      <c r="B5" s="30" t="str">
        <f>Cover!B5</f>
        <v>SEP490-G116</v>
      </c>
      <c r="C5" s="17"/>
      <c r="D5" s="86" t="str">
        <v>Reviewer/Approver</v>
      </c>
      <c r="E5" s="17"/>
      <c r="F5" s="88" t="str">
        <v>Pending review</v>
      </c>
      <c r="G5" s="16"/>
      <c r="H5" s="16"/>
      <c r="I5" s="17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2.75" customHeight="1">
      <c r="A6" s="31" t="str">
        <v>Document Code</v>
      </c>
      <c r="B6" s="30" t="str">
        <f>B5&amp;"_"&amp;"Test Report"&amp;"_"&amp;"1"</f>
        <v>SEP490-G116_Test Report_1</v>
      </c>
      <c r="C6" s="17"/>
      <c r="D6" s="86" t="str">
        <v>Issue Date</v>
      </c>
      <c r="E6" s="17"/>
      <c r="F6" s="89" t="str">
        <v>2026-10-23</v>
      </c>
      <c r="G6" s="16"/>
      <c r="H6" s="16"/>
      <c r="I6" s="17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45" customHeight="1">
      <c r="A7" s="31" t="str">
        <v>Notes</v>
      </c>
      <c r="B7" s="41" t="str">
        <v>One row per test definition; P/F require verified TRX. N/A/B pending review; code coverage has not been measured.</v>
      </c>
      <c r="C7" s="16"/>
      <c r="D7" s="16"/>
      <c r="E7" s="16"/>
      <c r="F7" s="16"/>
      <c r="G7" s="16"/>
      <c r="H7" s="16"/>
      <c r="I7" s="17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4.25" customHeight="1">
      <c r="A8" s="90"/>
      <c r="B8" s="91"/>
      <c r="C8" s="8"/>
      <c r="D8" s="8"/>
      <c r="E8" s="8"/>
      <c r="F8" s="8"/>
      <c r="G8" s="8"/>
      <c r="H8" s="8"/>
      <c r="I8" s="84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2.75" customHeight="1">
      <c r="A9" s="90"/>
      <c r="B9" s="91"/>
      <c r="C9" s="8"/>
      <c r="D9" s="8"/>
      <c r="E9" s="8"/>
      <c r="F9" s="8"/>
      <c r="G9" s="8"/>
      <c r="H9" s="8"/>
      <c r="I9" s="84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2.75" customHeight="1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4.25" customHeight="1">
      <c r="A11" s="92" t="str">
        <v>No</v>
      </c>
      <c r="B11" s="93" t="str">
        <v>Function code</v>
      </c>
      <c r="C11" s="94" t="str">
        <v>Passed</v>
      </c>
      <c r="D11" s="93" t="str">
        <v>Failed</v>
      </c>
      <c r="E11" s="95" t="str">
        <v>Untested</v>
      </c>
      <c r="F11" s="97" t="str">
        <v>N</v>
      </c>
      <c r="G11" s="95" t="str">
        <v>A</v>
      </c>
      <c r="H11" s="95" t="str">
        <v>B</v>
      </c>
      <c r="I11" s="98" t="str">
        <v>Total Test Cases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30" customHeight="1">
      <c r="A12" s="100" t="n">
        <v>1</v>
      </c>
      <c r="B12" s="76" t="str">
        <v>U001-Every_capability_in_the_en</v>
      </c>
      <c r="C12" s="101" t="n">
        <f>'U001-Every_capability_in_the_en'!A5</f>
        <v>0</v>
      </c>
      <c r="D12" s="101" t="n">
        <f>'U001-Every_capability_in_the_en'!C5</f>
        <v>0</v>
      </c>
      <c r="E12" s="101" t="n">
        <f>'U001-Every_capability_in_the_en'!E5</f>
        <v>1</v>
      </c>
      <c r="F12" s="101" t="n">
        <f>'U001-Every_capability_in_the_en'!K5</f>
        <v>0</v>
      </c>
      <c r="G12" s="101" t="n">
        <f>'U001-Every_capability_in_the_en'!L5</f>
        <v>0</v>
      </c>
      <c r="H12" s="102" t="n">
        <f>'U001-Every_capability_in_the_en'!M5</f>
        <v>0</v>
      </c>
      <c r="I12" s="101" t="n">
        <f>'U001-Every_capability_in_the_en'!N5</f>
        <v>1</v>
      </c>
    </row>
    <row r="13" ht="30" customHeight="1">
      <c r="A13" s="100" t="n">
        <v>2</v>
      </c>
      <c r="B13" s="76" t="str">
        <v>U002-Code_is_the_enum_name_so_t</v>
      </c>
      <c r="C13" s="101" t="n">
        <f>'U002-Code_is_the_enum_name_so_t'!A5</f>
        <v>0</v>
      </c>
      <c r="D13" s="101" t="n">
        <f>'U002-Code_is_the_enum_name_so_t'!C5</f>
        <v>0</v>
      </c>
      <c r="E13" s="101" t="n">
        <f>'U002-Code_is_the_enum_name_so_t'!E5</f>
        <v>1</v>
      </c>
      <c r="F13" s="101" t="n">
        <f>'U002-Code_is_the_enum_name_so_t'!K5</f>
        <v>0</v>
      </c>
      <c r="G13" s="101" t="n">
        <f>'U002-Code_is_the_enum_name_so_t'!L5</f>
        <v>0</v>
      </c>
      <c r="H13" s="102" t="n">
        <f>'U002-Code_is_the_enum_name_so_t'!M5</f>
        <v>0</v>
      </c>
      <c r="I13" s="101" t="n">
        <f>'U002-Code_is_the_enum_name_so_t'!N5</f>
        <v>1</v>
      </c>
    </row>
    <row r="14" ht="30" customHeight="1">
      <c r="A14" s="100" t="n">
        <v>3</v>
      </c>
      <c r="B14" s="76" t="str">
        <v>U003-Matrix_lists_every_role_ev</v>
      </c>
      <c r="C14" s="101" t="n">
        <f>'U003-Matrix_lists_every_role_ev'!A5</f>
        <v>0</v>
      </c>
      <c r="D14" s="101" t="n">
        <f>'U003-Matrix_lists_every_role_ev'!C5</f>
        <v>0</v>
      </c>
      <c r="E14" s="101" t="n">
        <f>'U003-Matrix_lists_every_role_ev'!E5</f>
        <v>1</v>
      </c>
      <c r="F14" s="101" t="n">
        <f>'U003-Matrix_lists_every_role_ev'!K5</f>
        <v>0</v>
      </c>
      <c r="G14" s="101" t="n">
        <f>'U003-Matrix_lists_every_role_ev'!L5</f>
        <v>0</v>
      </c>
      <c r="H14" s="102" t="n">
        <f>'U003-Matrix_lists_every_role_ev'!M5</f>
        <v>0</v>
      </c>
      <c r="I14" s="101" t="n">
        <f>'U003-Matrix_lists_every_role_ev'!N5</f>
        <v>1</v>
      </c>
    </row>
    <row r="15" ht="30" customHeight="1">
      <c r="A15" s="100" t="n">
        <v>4</v>
      </c>
      <c r="B15" s="76" t="str">
        <v>U004-Matrix_lists_built_in_role</v>
      </c>
      <c r="C15" s="101" t="n">
        <f>'U004-Matrix_lists_built_in_role'!A5</f>
        <v>0</v>
      </c>
      <c r="D15" s="101" t="n">
        <f>'U004-Matrix_lists_built_in_role'!C5</f>
        <v>0</v>
      </c>
      <c r="E15" s="101" t="n">
        <f>'U004-Matrix_lists_built_in_role'!E5</f>
        <v>1</v>
      </c>
      <c r="F15" s="101" t="n">
        <f>'U004-Matrix_lists_built_in_role'!K5</f>
        <v>0</v>
      </c>
      <c r="G15" s="101" t="n">
        <f>'U004-Matrix_lists_built_in_role'!L5</f>
        <v>0</v>
      </c>
      <c r="H15" s="102" t="n">
        <f>'U004-Matrix_lists_built_in_role'!M5</f>
        <v>0</v>
      </c>
      <c r="I15" s="101" t="n">
        <f>'U004-Matrix_lists_built_in_role'!N5</f>
        <v>1</v>
      </c>
    </row>
    <row r="16" ht="30" customHeight="1">
      <c r="A16" s="100" t="n">
        <v>5</v>
      </c>
      <c r="B16" s="76" t="str">
        <v>U005-Matrix_returns_the_seeded_</v>
      </c>
      <c r="C16" s="101" t="n">
        <f>'U005-Matrix_returns_the_seeded_'!A5</f>
        <v>0</v>
      </c>
      <c r="D16" s="101" t="n">
        <f>'U005-Matrix_returns_the_seeded_'!C5</f>
        <v>0</v>
      </c>
      <c r="E16" s="101" t="n">
        <f>'U005-Matrix_returns_the_seeded_'!E5</f>
        <v>1</v>
      </c>
      <c r="F16" s="101" t="n">
        <f>'U005-Matrix_returns_the_seeded_'!K5</f>
        <v>0</v>
      </c>
      <c r="G16" s="101" t="n">
        <f>'U005-Matrix_returns_the_seeded_'!L5</f>
        <v>0</v>
      </c>
      <c r="H16" s="102" t="n">
        <f>'U005-Matrix_returns_the_seeded_'!M5</f>
        <v>0</v>
      </c>
      <c r="I16" s="101" t="n">
        <f>'U005-Matrix_returns_the_seeded_'!N5</f>
        <v>1</v>
      </c>
    </row>
    <row r="17" ht="30" customHeight="1">
      <c r="A17" s="100" t="n">
        <v>6</v>
      </c>
      <c r="B17" s="76" t="str">
        <v>U006-Matrix_carries_the_whole_c</v>
      </c>
      <c r="C17" s="101" t="n">
        <f>'U006-Matrix_carries_the_whole_c'!A5</f>
        <v>0</v>
      </c>
      <c r="D17" s="101" t="n">
        <f>'U006-Matrix_carries_the_whole_c'!C5</f>
        <v>0</v>
      </c>
      <c r="E17" s="101" t="n">
        <f>'U006-Matrix_carries_the_whole_c'!E5</f>
        <v>1</v>
      </c>
      <c r="F17" s="101" t="n">
        <f>'U006-Matrix_carries_the_whole_c'!K5</f>
        <v>0</v>
      </c>
      <c r="G17" s="101" t="n">
        <f>'U006-Matrix_carries_the_whole_c'!L5</f>
        <v>0</v>
      </c>
      <c r="H17" s="102" t="n">
        <f>'U006-Matrix_carries_the_whole_c'!M5</f>
        <v>0</v>
      </c>
      <c r="I17" s="101" t="n">
        <f>'U006-Matrix_carries_the_whole_c'!N5</f>
        <v>1</v>
      </c>
    </row>
    <row r="18" ht="30" customHeight="1">
      <c r="A18" s="100" t="n">
        <v>7</v>
      </c>
      <c r="B18" s="76" t="str">
        <v>U007-Update_saves_the_requested</v>
      </c>
      <c r="C18" s="101" t="n">
        <f>'U007-Update_saves_the_requested'!A5</f>
        <v>0</v>
      </c>
      <c r="D18" s="101" t="n">
        <f>'U007-Update_saves_the_requested'!C5</f>
        <v>0</v>
      </c>
      <c r="E18" s="101" t="n">
        <f>'U007-Update_saves_the_requested'!E5</f>
        <v>1</v>
      </c>
      <c r="F18" s="101" t="n">
        <f>'U007-Update_saves_the_requested'!K5</f>
        <v>0</v>
      </c>
      <c r="G18" s="101" t="n">
        <f>'U007-Update_saves_the_requested'!L5</f>
        <v>0</v>
      </c>
      <c r="H18" s="102" t="n">
        <f>'U007-Update_saves_the_requested'!M5</f>
        <v>0</v>
      </c>
      <c r="I18" s="101" t="n">
        <f>'U007-Update_saves_the_requested'!N5</f>
        <v>1</v>
      </c>
    </row>
    <row r="19" ht="30" customHeight="1">
      <c r="A19" s="100" t="n">
        <v>8</v>
      </c>
      <c r="B19" s="76" t="str">
        <v>U008-Update_can_remove_every_ca</v>
      </c>
      <c r="C19" s="101" t="n">
        <f>'U008-Update_can_remove_every_ca'!A5</f>
        <v>0</v>
      </c>
      <c r="D19" s="101" t="n">
        <f>'U008-Update_can_remove_every_ca'!C5</f>
        <v>0</v>
      </c>
      <c r="E19" s="101" t="n">
        <f>'U008-Update_can_remove_every_ca'!E5</f>
        <v>1</v>
      </c>
      <c r="F19" s="101" t="n">
        <f>'U008-Update_can_remove_every_ca'!K5</f>
        <v>0</v>
      </c>
      <c r="G19" s="101" t="n">
        <f>'U008-Update_can_remove_every_ca'!L5</f>
        <v>0</v>
      </c>
      <c r="H19" s="102" t="n">
        <f>'U008-Update_can_remove_every_ca'!M5</f>
        <v>0</v>
      </c>
      <c r="I19" s="101" t="n">
        <f>'U008-Update_can_remove_every_ca'!N5</f>
        <v>1</v>
      </c>
    </row>
    <row r="20" ht="30" customHeight="1">
      <c r="A20" s="100" t="n">
        <v>9</v>
      </c>
      <c r="B20" s="76" t="str">
        <v>U009-Update_records_the_change_</v>
      </c>
      <c r="C20" s="101" t="n">
        <f>'U009-Update_records_the_change_'!A5</f>
        <v>0</v>
      </c>
      <c r="D20" s="101" t="n">
        <f>'U009-Update_records_the_change_'!C5</f>
        <v>0</v>
      </c>
      <c r="E20" s="101" t="n">
        <f>'U009-Update_records_the_change_'!E5</f>
        <v>1</v>
      </c>
      <c r="F20" s="101" t="n">
        <f>'U009-Update_records_the_change_'!K5</f>
        <v>0</v>
      </c>
      <c r="G20" s="101" t="n">
        <f>'U009-Update_records_the_change_'!L5</f>
        <v>0</v>
      </c>
      <c r="H20" s="102" t="n">
        <f>'U009-Update_records_the_change_'!M5</f>
        <v>0</v>
      </c>
      <c r="I20" s="101" t="n">
        <f>'U009-Update_records_the_change_'!N5</f>
        <v>1</v>
      </c>
    </row>
    <row r="21" ht="30" customHeight="1">
      <c r="A21" s="100" t="n">
        <v>10</v>
      </c>
      <c r="B21" s="76" t="str">
        <v>U010-Update_ends_the_sessions_o</v>
      </c>
      <c r="C21" s="101" t="n">
        <f>'U010-Update_ends_the_sessions_o'!A5</f>
        <v>0</v>
      </c>
      <c r="D21" s="101" t="n">
        <f>'U010-Update_ends_the_sessions_o'!C5</f>
        <v>0</v>
      </c>
      <c r="E21" s="101" t="n">
        <f>'U010-Update_ends_the_sessions_o'!E5</f>
        <v>1</v>
      </c>
      <c r="F21" s="101" t="n">
        <f>'U010-Update_ends_the_sessions_o'!K5</f>
        <v>0</v>
      </c>
      <c r="G21" s="101" t="n">
        <f>'U010-Update_ends_the_sessions_o'!L5</f>
        <v>0</v>
      </c>
      <c r="H21" s="102" t="n">
        <f>'U010-Update_ends_the_sessions_o'!M5</f>
        <v>0</v>
      </c>
      <c r="I21" s="101" t="n">
        <f>'U010-Update_ends_the_sessions_o'!N5</f>
        <v>1</v>
      </c>
    </row>
    <row r="22" ht="30" customHeight="1">
      <c r="A22" s="100" t="n">
        <v>11</v>
      </c>
      <c r="B22" s="76" t="str">
        <v>U011-Update_ends_sessions_when_</v>
      </c>
      <c r="C22" s="101" t="n">
        <f>'U011-Update_ends_sessions_when_'!A5</f>
        <v>0</v>
      </c>
      <c r="D22" s="101" t="n">
        <f>'U011-Update_ends_sessions_when_'!C5</f>
        <v>0</v>
      </c>
      <c r="E22" s="101" t="n">
        <f>'U011-Update_ends_sessions_when_'!E5</f>
        <v>1</v>
      </c>
      <c r="F22" s="101" t="n">
        <f>'U011-Update_ends_sessions_when_'!K5</f>
        <v>0</v>
      </c>
      <c r="G22" s="101" t="n">
        <f>'U011-Update_ends_sessions_when_'!L5</f>
        <v>0</v>
      </c>
      <c r="H22" s="102" t="n">
        <f>'U011-Update_ends_sessions_when_'!M5</f>
        <v>0</v>
      </c>
      <c r="I22" s="101" t="n">
        <f>'U011-Update_ends_sessions_when_'!N5</f>
        <v>1</v>
      </c>
    </row>
    <row r="23" ht="30" customHeight="1">
      <c r="A23" s="100" t="n">
        <v>12</v>
      </c>
      <c r="B23" s="76" t="str">
        <v>U012-Sessions_are_ended_after_t</v>
      </c>
      <c r="C23" s="101" t="n">
        <f>'U012-Sessions_are_ended_after_t'!A5</f>
        <v>0</v>
      </c>
      <c r="D23" s="101" t="n">
        <f>'U012-Sessions_are_ended_after_t'!C5</f>
        <v>0</v>
      </c>
      <c r="E23" s="101" t="n">
        <f>'U012-Sessions_are_ended_after_t'!E5</f>
        <v>1</v>
      </c>
      <c r="F23" s="101" t="n">
        <f>'U012-Sessions_are_ended_after_t'!K5</f>
        <v>0</v>
      </c>
      <c r="G23" s="101" t="n">
        <f>'U012-Sessions_are_ended_after_t'!L5</f>
        <v>0</v>
      </c>
      <c r="H23" s="102" t="n">
        <f>'U012-Sessions_are_ended_after_t'!M5</f>
        <v>0</v>
      </c>
      <c r="I23" s="101" t="n">
        <f>'U012-Sessions_are_ended_after_t'!N5</f>
        <v>1</v>
      </c>
    </row>
    <row r="24" ht="30" customHeight="1">
      <c r="A24" s="100" t="n">
        <v>13</v>
      </c>
      <c r="B24" s="76" t="str">
        <v>U013-The_matrix_change_survives</v>
      </c>
      <c r="C24" s="101" t="n">
        <f>'U013-The_matrix_change_survives'!A5</f>
        <v>0</v>
      </c>
      <c r="D24" s="101" t="n">
        <f>'U013-The_matrix_change_survives'!C5</f>
        <v>0</v>
      </c>
      <c r="E24" s="101" t="n">
        <f>'U013-The_matrix_change_survives'!E5</f>
        <v>1</v>
      </c>
      <c r="F24" s="101" t="n">
        <f>'U013-The_matrix_change_survives'!K5</f>
        <v>0</v>
      </c>
      <c r="G24" s="101" t="n">
        <f>'U013-The_matrix_change_survives'!L5</f>
        <v>0</v>
      </c>
      <c r="H24" s="102" t="n">
        <f>'U013-The_matrix_change_survives'!M5</f>
        <v>0</v>
      </c>
      <c r="I24" s="101" t="n">
        <f>'U013-The_matrix_change_survives'!N5</f>
        <v>1</v>
      </c>
    </row>
    <row r="25" ht="30" customHeight="1">
      <c r="A25" s="100" t="n">
        <v>14</v>
      </c>
      <c r="B25" s="76" t="str">
        <v>U014-One_unreachable_session_do</v>
      </c>
      <c r="C25" s="101" t="n">
        <f>'U014-One_unreachable_session_do'!A5</f>
        <v>0</v>
      </c>
      <c r="D25" s="101" t="n">
        <f>'U014-One_unreachable_session_do'!C5</f>
        <v>0</v>
      </c>
      <c r="E25" s="101" t="n">
        <f>'U014-One_unreachable_session_do'!E5</f>
        <v>1</v>
      </c>
      <c r="F25" s="101" t="n">
        <f>'U014-One_unreachable_session_do'!K5</f>
        <v>0</v>
      </c>
      <c r="G25" s="101" t="n">
        <f>'U014-One_unreachable_session_do'!L5</f>
        <v>0</v>
      </c>
      <c r="H25" s="102" t="n">
        <f>'U014-One_unreachable_session_do'!M5</f>
        <v>0</v>
      </c>
      <c r="I25" s="101" t="n">
        <f>'U014-One_unreachable_session_do'!N5</f>
        <v>1</v>
      </c>
    </row>
    <row r="26" ht="30" customHeight="1">
      <c r="A26" s="100" t="n">
        <v>15</v>
      </c>
      <c r="B26" s="76" t="str">
        <v>U015-The_update_runs_under_the_</v>
      </c>
      <c r="C26" s="101" t="n">
        <f>'U015-The_update_runs_under_the_'!A5</f>
        <v>0</v>
      </c>
      <c r="D26" s="101" t="n">
        <f>'U015-The_update_runs_under_the_'!C5</f>
        <v>0</v>
      </c>
      <c r="E26" s="101" t="n">
        <f>'U015-The_update_runs_under_the_'!E5</f>
        <v>1</v>
      </c>
      <c r="F26" s="101" t="n">
        <f>'U015-The_update_runs_under_the_'!K5</f>
        <v>0</v>
      </c>
      <c r="G26" s="101" t="n">
        <f>'U015-The_update_runs_under_the_'!L5</f>
        <v>0</v>
      </c>
      <c r="H26" s="102" t="n">
        <f>'U015-The_update_runs_under_the_'!M5</f>
        <v>0</v>
      </c>
      <c r="I26" s="101" t="n">
        <f>'U015-The_update_runs_under_the_'!N5</f>
        <v>1</v>
      </c>
    </row>
    <row r="27" ht="30" customHeight="1">
      <c r="A27" s="100" t="n">
        <v>16</v>
      </c>
      <c r="B27" s="76" t="str">
        <v>U016-Update_that_changes_nothin</v>
      </c>
      <c r="C27" s="101" t="n">
        <f>'U016-Update_that_changes_nothin'!A5</f>
        <v>0</v>
      </c>
      <c r="D27" s="101" t="n">
        <f>'U016-Update_that_changes_nothin'!C5</f>
        <v>0</v>
      </c>
      <c r="E27" s="101" t="n">
        <f>'U016-Update_that_changes_nothin'!E5</f>
        <v>1</v>
      </c>
      <c r="F27" s="101" t="n">
        <f>'U016-Update_that_changes_nothin'!K5</f>
        <v>0</v>
      </c>
      <c r="G27" s="101" t="n">
        <f>'U016-Update_that_changes_nothin'!L5</f>
        <v>0</v>
      </c>
      <c r="H27" s="102" t="n">
        <f>'U016-Update_that_changes_nothin'!M5</f>
        <v>0</v>
      </c>
      <c r="I27" s="101" t="n">
        <f>'U016-Update_that_changes_nothin'!N5</f>
        <v>1</v>
      </c>
    </row>
    <row r="28" ht="30" customHeight="1">
      <c r="A28" s="100" t="n">
        <v>17</v>
      </c>
      <c r="B28" s="76" t="str">
        <v>U017-Update_ignores_duplicates_</v>
      </c>
      <c r="C28" s="101" t="n">
        <f>'U017-Update_ignores_duplicates_'!A5</f>
        <v>0</v>
      </c>
      <c r="D28" s="101" t="n">
        <f>'U017-Update_ignores_duplicates_'!C5</f>
        <v>0</v>
      </c>
      <c r="E28" s="101" t="n">
        <f>'U017-Update_ignores_duplicates_'!E5</f>
        <v>1</v>
      </c>
      <c r="F28" s="101" t="n">
        <f>'U017-Update_ignores_duplicates_'!K5</f>
        <v>0</v>
      </c>
      <c r="G28" s="101" t="n">
        <f>'U017-Update_ignores_duplicates_'!L5</f>
        <v>0</v>
      </c>
      <c r="H28" s="102" t="n">
        <f>'U017-Update_ignores_duplicates_'!M5</f>
        <v>0</v>
      </c>
      <c r="I28" s="101" t="n">
        <f>'U017-Update_ignores_duplicates_'!N5</f>
        <v>1</v>
      </c>
    </row>
    <row r="29" ht="30" customHeight="1">
      <c r="A29" s="100" t="n">
        <v>18</v>
      </c>
      <c r="B29" s="76" t="str">
        <v>U018-Update_refuses_to_remove_a</v>
      </c>
      <c r="C29" s="101" t="n">
        <f>'U018-Update_refuses_to_remove_a'!A5</f>
        <v>0</v>
      </c>
      <c r="D29" s="101" t="n">
        <f>'U018-Update_refuses_to_remove_a'!C5</f>
        <v>0</v>
      </c>
      <c r="E29" s="101" t="n">
        <f>'U018-Update_refuses_to_remove_a'!E5</f>
        <v>1</v>
      </c>
      <c r="F29" s="101" t="n">
        <f>'U018-Update_refuses_to_remove_a'!K5</f>
        <v>0</v>
      </c>
      <c r="G29" s="101" t="n">
        <f>'U018-Update_refuses_to_remove_a'!L5</f>
        <v>0</v>
      </c>
      <c r="H29" s="102" t="n">
        <f>'U018-Update_refuses_to_remove_a'!M5</f>
        <v>0</v>
      </c>
      <c r="I29" s="101" t="n">
        <f>'U018-Update_refuses_to_remove_a'!N5</f>
        <v>1</v>
      </c>
    </row>
    <row r="30" ht="30" customHeight="1">
      <c r="A30" s="100" t="n">
        <v>19</v>
      </c>
      <c r="B30" s="76" t="str">
        <v>U019-Update_allows_moving_admin</v>
      </c>
      <c r="C30" s="101" t="n">
        <f>'U019-Update_allows_moving_admin'!A5</f>
        <v>0</v>
      </c>
      <c r="D30" s="101" t="n">
        <f>'U019-Update_allows_moving_admin'!C5</f>
        <v>0</v>
      </c>
      <c r="E30" s="101" t="n">
        <f>'U019-Update_allows_moving_admin'!E5</f>
        <v>1</v>
      </c>
      <c r="F30" s="101" t="n">
        <f>'U019-Update_allows_moving_admin'!K5</f>
        <v>0</v>
      </c>
      <c r="G30" s="101" t="n">
        <f>'U019-Update_allows_moving_admin'!L5</f>
        <v>0</v>
      </c>
      <c r="H30" s="102" t="n">
        <f>'U019-Update_allows_moving_admin'!M5</f>
        <v>0</v>
      </c>
      <c r="I30" s="101" t="n">
        <f>'U019-Update_allows_moving_admin'!N5</f>
        <v>1</v>
      </c>
    </row>
    <row r="31" ht="30" customHeight="1">
      <c r="A31" s="100" t="n">
        <v>20</v>
      </c>
      <c r="B31" s="76" t="str">
        <v>U020-Update_refuses_to_move_adm</v>
      </c>
      <c r="C31" s="101" t="n">
        <f>'U020-Update_refuses_to_move_adm'!A5</f>
        <v>0</v>
      </c>
      <c r="D31" s="101" t="n">
        <f>'U020-Update_refuses_to_move_adm'!C5</f>
        <v>0</v>
      </c>
      <c r="E31" s="101" t="n">
        <f>'U020-Update_refuses_to_move_adm'!E5</f>
        <v>1</v>
      </c>
      <c r="F31" s="101" t="n">
        <f>'U020-Update_refuses_to_move_adm'!K5</f>
        <v>0</v>
      </c>
      <c r="G31" s="101" t="n">
        <f>'U020-Update_refuses_to_move_adm'!L5</f>
        <v>0</v>
      </c>
      <c r="H31" s="102" t="n">
        <f>'U020-Update_refuses_to_move_adm'!M5</f>
        <v>0</v>
      </c>
      <c r="I31" s="101" t="n">
        <f>'U020-Update_refuses_to_move_adm'!N5</f>
        <v>1</v>
      </c>
    </row>
    <row r="32" ht="30" customHeight="1">
      <c r="A32" s="100" t="n">
        <v>21</v>
      </c>
      <c r="B32" s="76" t="str">
        <v>U021-Update_refuses_when_the_on</v>
      </c>
      <c r="C32" s="101" t="n">
        <f>'U021-Update_refuses_when_the_on'!A5</f>
        <v>0</v>
      </c>
      <c r="D32" s="101" t="n">
        <f>'U021-Update_refuses_when_the_on'!C5</f>
        <v>0</v>
      </c>
      <c r="E32" s="101" t="n">
        <f>'U021-Update_refuses_when_the_on'!E5</f>
        <v>1</v>
      </c>
      <c r="F32" s="101" t="n">
        <f>'U021-Update_refuses_when_the_on'!K5</f>
        <v>0</v>
      </c>
      <c r="G32" s="101" t="n">
        <f>'U021-Update_refuses_when_the_on'!L5</f>
        <v>0</v>
      </c>
      <c r="H32" s="102" t="n">
        <f>'U021-Update_refuses_when_the_on'!M5</f>
        <v>0</v>
      </c>
      <c r="I32" s="101" t="n">
        <f>'U021-Update_refuses_when_the_on'!N5</f>
        <v>1</v>
      </c>
    </row>
    <row r="33" ht="30" customHeight="1">
      <c r="A33" s="100" t="n">
        <v>22</v>
      </c>
      <c r="B33" s="76" t="str">
        <v>U022-Granting_admin_users_to_a_</v>
      </c>
      <c r="C33" s="101" t="n">
        <f>'U022-Granting_admin_users_to_a_'!A5</f>
        <v>0</v>
      </c>
      <c r="D33" s="101" t="n">
        <f>'U022-Granting_admin_users_to_a_'!C5</f>
        <v>0</v>
      </c>
      <c r="E33" s="101" t="n">
        <f>'U022-Granting_admin_users_to_a_'!E5</f>
        <v>1</v>
      </c>
      <c r="F33" s="101" t="n">
        <f>'U022-Granting_admin_users_to_a_'!K5</f>
        <v>0</v>
      </c>
      <c r="G33" s="101" t="n">
        <f>'U022-Granting_admin_users_to_a_'!L5</f>
        <v>0</v>
      </c>
      <c r="H33" s="102" t="n">
        <f>'U022-Granting_admin_users_to_a_'!M5</f>
        <v>0</v>
      </c>
      <c r="I33" s="101" t="n">
        <f>'U022-Granting_admin_users_to_a_'!N5</f>
        <v>1</v>
      </c>
    </row>
    <row r="34" ht="30" customHeight="1">
      <c r="A34" s="100" t="n">
        <v>23</v>
      </c>
      <c r="B34" s="76" t="str">
        <v>U023-Update_refuses_an_unknown_</v>
      </c>
      <c r="C34" s="101" t="n">
        <f>'U023-Update_refuses_an_unknown_'!A5</f>
        <v>0</v>
      </c>
      <c r="D34" s="101" t="n">
        <f>'U023-Update_refuses_an_unknown_'!C5</f>
        <v>0</v>
      </c>
      <c r="E34" s="101" t="n">
        <f>'U023-Update_refuses_an_unknown_'!E5</f>
        <v>1</v>
      </c>
      <c r="F34" s="101" t="n">
        <f>'U023-Update_refuses_an_unknown_'!K5</f>
        <v>0</v>
      </c>
      <c r="G34" s="101" t="n">
        <f>'U023-Update_refuses_an_unknown_'!L5</f>
        <v>0</v>
      </c>
      <c r="H34" s="102" t="n">
        <f>'U023-Update_refuses_an_unknown_'!M5</f>
        <v>0</v>
      </c>
      <c r="I34" s="101" t="n">
        <f>'U023-Update_refuses_an_unknown_'!N5</f>
        <v>1</v>
      </c>
    </row>
    <row r="35" ht="30" customHeight="1">
      <c r="A35" s="100" t="n">
        <v>24</v>
      </c>
      <c r="B35" s="76" t="str">
        <v>U024-Update_configures_a_custom</v>
      </c>
      <c r="C35" s="101" t="n">
        <f>'U024-Update_configures_a_custom'!A5</f>
        <v>0</v>
      </c>
      <c r="D35" s="101" t="n">
        <f>'U024-Update_configures_a_custom'!C5</f>
        <v>0</v>
      </c>
      <c r="E35" s="101" t="n">
        <f>'U024-Update_configures_a_custom'!E5</f>
        <v>1</v>
      </c>
      <c r="F35" s="101" t="n">
        <f>'U024-Update_configures_a_custom'!K5</f>
        <v>0</v>
      </c>
      <c r="G35" s="101" t="n">
        <f>'U024-Update_configures_a_custom'!L5</f>
        <v>0</v>
      </c>
      <c r="H35" s="102" t="n">
        <f>'U024-Update_configures_a_custom'!M5</f>
        <v>0</v>
      </c>
      <c r="I35" s="101" t="n">
        <f>'U024-Update_configures_a_custom'!N5</f>
        <v>1</v>
      </c>
    </row>
    <row r="36" ht="30" customHeight="1">
      <c r="A36" s="100" t="n">
        <v>25</v>
      </c>
      <c r="B36" s="76" t="str">
        <v>U025-A_custom_role_can_take_ove</v>
      </c>
      <c r="C36" s="101" t="n">
        <f>'U025-A_custom_role_can_take_ove'!A5</f>
        <v>0</v>
      </c>
      <c r="D36" s="101" t="n">
        <f>'U025-A_custom_role_can_take_ove'!C5</f>
        <v>0</v>
      </c>
      <c r="E36" s="101" t="n">
        <f>'U025-A_custom_role_can_take_ove'!E5</f>
        <v>1</v>
      </c>
      <c r="F36" s="101" t="n">
        <f>'U025-A_custom_role_can_take_ove'!K5</f>
        <v>0</v>
      </c>
      <c r="G36" s="101" t="n">
        <f>'U025-A_custom_role_can_take_ove'!L5</f>
        <v>0</v>
      </c>
      <c r="H36" s="102" t="n">
        <f>'U025-A_custom_role_can_take_ove'!M5</f>
        <v>0</v>
      </c>
      <c r="I36" s="101" t="n">
        <f>'U025-A_custom_role_can_take_ove'!N5</f>
        <v>1</v>
      </c>
    </row>
    <row r="37" ht="30" customHeight="1">
      <c r="A37" s="100" t="n">
        <v>26</v>
      </c>
      <c r="B37" s="76" t="str">
        <v>U026-Update_refuses_an_unknown_</v>
      </c>
      <c r="C37" s="101" t="n">
        <f>'U026-Update_refuses_an_unknown_'!A5</f>
        <v>0</v>
      </c>
      <c r="D37" s="101" t="n">
        <f>'U026-Update_refuses_an_unknown_'!C5</f>
        <v>0</v>
      </c>
      <c r="E37" s="101" t="n">
        <f>'U026-Update_refuses_an_unknown_'!E5</f>
        <v>1</v>
      </c>
      <c r="F37" s="101" t="n">
        <f>'U026-Update_refuses_an_unknown_'!K5</f>
        <v>0</v>
      </c>
      <c r="G37" s="101" t="n">
        <f>'U026-Update_refuses_an_unknown_'!L5</f>
        <v>0</v>
      </c>
      <c r="H37" s="102" t="n">
        <f>'U026-Update_refuses_an_unknown_'!M5</f>
        <v>0</v>
      </c>
      <c r="I37" s="101" t="n">
        <f>'U026-Update_refuses_an_unknown_'!N5</f>
        <v>1</v>
      </c>
    </row>
    <row r="38" ht="30" customHeight="1">
      <c r="A38" s="100" t="n">
        <v>27</v>
      </c>
      <c r="B38" s="76" t="str">
        <v>U027-Update_answers_save_failed</v>
      </c>
      <c r="C38" s="101" t="n">
        <f>'U027-Update_answers_save_failed'!A5</f>
        <v>0</v>
      </c>
      <c r="D38" s="101" t="n">
        <f>'U027-Update_answers_save_failed'!C5</f>
        <v>0</v>
      </c>
      <c r="E38" s="101" t="n">
        <f>'U027-Update_answers_save_failed'!E5</f>
        <v>1</v>
      </c>
      <c r="F38" s="101" t="n">
        <f>'U027-Update_answers_save_failed'!K5</f>
        <v>0</v>
      </c>
      <c r="G38" s="101" t="n">
        <f>'U027-Update_answers_save_failed'!L5</f>
        <v>0</v>
      </c>
      <c r="H38" s="102" t="n">
        <f>'U027-Update_answers_save_failed'!M5</f>
        <v>0</v>
      </c>
      <c r="I38" s="101" t="n">
        <f>'U027-Update_answers_save_failed'!N5</f>
        <v>1</v>
      </c>
    </row>
    <row r="39" ht="30" customHeight="1">
      <c r="A39" s="100" t="n">
        <v>28</v>
      </c>
      <c r="B39" s="76" t="str">
        <v>U028-List_puts_built_in_roles_f</v>
      </c>
      <c r="C39" s="101" t="n">
        <f>'U028-List_puts_built_in_roles_f'!A5</f>
        <v>0</v>
      </c>
      <c r="D39" s="101" t="n">
        <f>'U028-List_puts_built_in_roles_f'!C5</f>
        <v>0</v>
      </c>
      <c r="E39" s="101" t="n">
        <f>'U028-List_puts_built_in_roles_f'!E5</f>
        <v>1</v>
      </c>
      <c r="F39" s="101" t="n">
        <f>'U028-List_puts_built_in_roles_f'!K5</f>
        <v>0</v>
      </c>
      <c r="G39" s="101" t="n">
        <f>'U028-List_puts_built_in_roles_f'!L5</f>
        <v>0</v>
      </c>
      <c r="H39" s="102" t="n">
        <f>'U028-List_puts_built_in_roles_f'!M5</f>
        <v>0</v>
      </c>
      <c r="I39" s="101" t="n">
        <f>'U028-List_puts_built_in_roles_f'!N5</f>
        <v>1</v>
      </c>
    </row>
    <row r="40" ht="30" customHeight="1">
      <c r="A40" s="100" t="n">
        <v>29</v>
      </c>
      <c r="B40" s="76" t="str">
        <v>U029-Create_saves_the_role_with</v>
      </c>
      <c r="C40" s="101" t="n">
        <f>'U029-Create_saves_the_role_with'!A5</f>
        <v>0</v>
      </c>
      <c r="D40" s="101" t="n">
        <f>'U029-Create_saves_the_role_with'!C5</f>
        <v>0</v>
      </c>
      <c r="E40" s="101" t="n">
        <f>'U029-Create_saves_the_role_with'!E5</f>
        <v>1</v>
      </c>
      <c r="F40" s="101" t="n">
        <f>'U029-Create_saves_the_role_with'!K5</f>
        <v>0</v>
      </c>
      <c r="G40" s="101" t="n">
        <f>'U029-Create_saves_the_role_with'!L5</f>
        <v>0</v>
      </c>
      <c r="H40" s="102" t="n">
        <f>'U029-Create_saves_the_role_with'!M5</f>
        <v>0</v>
      </c>
      <c r="I40" s="101" t="n">
        <f>'U029-Create_saves_the_role_with'!N5</f>
        <v>1</v>
      </c>
    </row>
    <row r="41" ht="30" customHeight="1">
      <c r="A41" s="100" t="n">
        <v>30</v>
      </c>
      <c r="B41" s="76" t="str">
        <v>U030-Create_records_role_create</v>
      </c>
      <c r="C41" s="101" t="n">
        <f>'U030-Create_records_role_create'!A5</f>
        <v>0</v>
      </c>
      <c r="D41" s="101" t="n">
        <f>'U030-Create_records_role_create'!C5</f>
        <v>0</v>
      </c>
      <c r="E41" s="101" t="n">
        <f>'U030-Create_records_role_create'!E5</f>
        <v>1</v>
      </c>
      <c r="F41" s="101" t="n">
        <f>'U030-Create_records_role_create'!K5</f>
        <v>0</v>
      </c>
      <c r="G41" s="101" t="n">
        <f>'U030-Create_records_role_create'!L5</f>
        <v>0</v>
      </c>
      <c r="H41" s="102" t="n">
        <f>'U030-Create_records_role_create'!M5</f>
        <v>0</v>
      </c>
      <c r="I41" s="101" t="n">
        <f>'U030-Create_records_role_create'!N5</f>
        <v>1</v>
      </c>
    </row>
    <row r="42" ht="30" customHeight="1">
      <c r="A42" s="100" t="n">
        <v>31</v>
      </c>
      <c r="B42" s="76" t="str">
        <v>U031-Create_goes_through_the_ad</v>
      </c>
      <c r="C42" s="101" t="n">
        <f>'U031-Create_goes_through_the_ad'!A5</f>
        <v>0</v>
      </c>
      <c r="D42" s="101" t="n">
        <f>'U031-Create_goes_through_the_ad'!C5</f>
        <v>0</v>
      </c>
      <c r="E42" s="101" t="n">
        <f>'U031-Create_goes_through_the_ad'!E5</f>
        <v>1</v>
      </c>
      <c r="F42" s="101" t="n">
        <f>'U031-Create_goes_through_the_ad'!K5</f>
        <v>0</v>
      </c>
      <c r="G42" s="101" t="n">
        <f>'U031-Create_goes_through_the_ad'!L5</f>
        <v>0</v>
      </c>
      <c r="H42" s="102" t="n">
        <f>'U031-Create_goes_through_the_ad'!M5</f>
        <v>0</v>
      </c>
      <c r="I42" s="101" t="n">
        <f>'U031-Create_goes_through_the_ad'!N5</f>
        <v>1</v>
      </c>
    </row>
    <row r="43" ht="30" customHeight="1">
      <c r="A43" s="100" t="n">
        <v>32</v>
      </c>
      <c r="B43" s="76" t="str">
        <v>U032-Create_without_capabilitie</v>
      </c>
      <c r="C43" s="101" t="n">
        <f>'U032-Create_without_capabilitie'!A5</f>
        <v>0</v>
      </c>
      <c r="D43" s="101" t="n">
        <f>'U032-Create_without_capabilitie'!C5</f>
        <v>0</v>
      </c>
      <c r="E43" s="101" t="n">
        <f>'U032-Create_without_capabilitie'!E5</f>
        <v>1</v>
      </c>
      <c r="F43" s="101" t="n">
        <f>'U032-Create_without_capabilitie'!K5</f>
        <v>0</v>
      </c>
      <c r="G43" s="101" t="n">
        <f>'U032-Create_without_capabilitie'!L5</f>
        <v>0</v>
      </c>
      <c r="H43" s="102" t="n">
        <f>'U032-Create_without_capabilitie'!M5</f>
        <v>0</v>
      </c>
      <c r="I43" s="101" t="n">
        <f>'U032-Create_without_capabilitie'!N5</f>
        <v>1</v>
      </c>
    </row>
    <row r="44" ht="30" customHeight="1">
      <c r="A44" s="100" t="n">
        <v>33</v>
      </c>
      <c r="B44" s="76" t="str">
        <v>U033-Create_trims_the_name_and_</v>
      </c>
      <c r="C44" s="101" t="n">
        <f>'U033-Create_trims_the_name_and_'!A5</f>
        <v>0</v>
      </c>
      <c r="D44" s="101" t="n">
        <f>'U033-Create_trims_the_name_and_'!C5</f>
        <v>0</v>
      </c>
      <c r="E44" s="101" t="n">
        <f>'U033-Create_trims_the_name_and_'!E5</f>
        <v>1</v>
      </c>
      <c r="F44" s="101" t="n">
        <f>'U033-Create_trims_the_name_and_'!K5</f>
        <v>0</v>
      </c>
      <c r="G44" s="101" t="n">
        <f>'U033-Create_trims_the_name_and_'!L5</f>
        <v>0</v>
      </c>
      <c r="H44" s="102" t="n">
        <f>'U033-Create_trims_the_name_and_'!M5</f>
        <v>0</v>
      </c>
      <c r="I44" s="101" t="n">
        <f>'U033-Create_trims_the_name_and_'!N5</f>
        <v>1</v>
      </c>
    </row>
    <row r="45" ht="30" customHeight="1">
      <c r="A45" s="100" t="n">
        <v>34</v>
      </c>
      <c r="B45" s="76" t="str">
        <v>U034-Create_stores_a_blank_desc</v>
      </c>
      <c r="C45" s="101" t="n">
        <f>'U034-Create_stores_a_blank_desc'!A5</f>
        <v>0</v>
      </c>
      <c r="D45" s="101" t="n">
        <f>'U034-Create_stores_a_blank_desc'!C5</f>
        <v>0</v>
      </c>
      <c r="E45" s="101" t="n">
        <f>'U034-Create_stores_a_blank_desc'!E5</f>
        <v>1</v>
      </c>
      <c r="F45" s="101" t="n">
        <f>'U034-Create_stores_a_blank_desc'!K5</f>
        <v>0</v>
      </c>
      <c r="G45" s="101" t="n">
        <f>'U034-Create_stores_a_blank_desc'!L5</f>
        <v>0</v>
      </c>
      <c r="H45" s="102" t="n">
        <f>'U034-Create_stores_a_blank_desc'!M5</f>
        <v>0</v>
      </c>
      <c r="I45" s="101" t="n">
        <f>'U034-Create_stores_a_blank_desc'!N5</f>
        <v>1</v>
      </c>
    </row>
    <row r="46" ht="30" customHeight="1">
      <c r="A46" s="100" t="n">
        <v>35</v>
      </c>
      <c r="B46" s="76" t="str">
        <v>U035-Create_answers_MSG20_for_a</v>
      </c>
      <c r="C46" s="101" t="n">
        <f>'U035-Create_answers_MSG20_for_a'!A5</f>
        <v>0</v>
      </c>
      <c r="D46" s="101" t="n">
        <f>'U035-Create_answers_MSG20_for_a'!C5</f>
        <v>0</v>
      </c>
      <c r="E46" s="101" t="n">
        <f>'U035-Create_answers_MSG20_for_a'!E5</f>
        <v>1</v>
      </c>
      <c r="F46" s="101" t="n">
        <f>'U035-Create_answers_MSG20_for_a'!K5</f>
        <v>0</v>
      </c>
      <c r="G46" s="101" t="n">
        <f>'U035-Create_answers_MSG20_for_a'!L5</f>
        <v>0</v>
      </c>
      <c r="H46" s="102" t="n">
        <f>'U035-Create_answers_MSG20_for_a'!M5</f>
        <v>0</v>
      </c>
      <c r="I46" s="101" t="n">
        <f>'U035-Create_answers_MSG20_for_a'!N5</f>
        <v>1</v>
      </c>
    </row>
    <row r="47" ht="30" customHeight="1">
      <c r="A47" s="100" t="n">
        <v>36</v>
      </c>
      <c r="B47" s="76" t="str">
        <v>U036-Create_accepts_64_characte</v>
      </c>
      <c r="C47" s="101" t="n">
        <f>'U036-Create_accepts_64_characte'!A5</f>
        <v>0</v>
      </c>
      <c r="D47" s="101" t="n">
        <f>'U036-Create_accepts_64_characte'!C5</f>
        <v>0</v>
      </c>
      <c r="E47" s="101" t="n">
        <f>'U036-Create_accepts_64_characte'!E5</f>
        <v>1</v>
      </c>
      <c r="F47" s="101" t="n">
        <f>'U036-Create_accepts_64_characte'!K5</f>
        <v>0</v>
      </c>
      <c r="G47" s="101" t="n">
        <f>'U036-Create_accepts_64_characte'!L5</f>
        <v>0</v>
      </c>
      <c r="H47" s="102" t="n">
        <f>'U036-Create_accepts_64_characte'!M5</f>
        <v>0</v>
      </c>
      <c r="I47" s="101" t="n">
        <f>'U036-Create_accepts_64_characte'!N5</f>
        <v>1</v>
      </c>
    </row>
    <row r="48" ht="30" customHeight="1">
      <c r="A48" s="100" t="n">
        <v>37</v>
      </c>
      <c r="B48" s="76" t="str">
        <v>U037-Create_measures_the_name_a</v>
      </c>
      <c r="C48" s="101" t="n">
        <f>'U037-Create_measures_the_name_a'!A5</f>
        <v>0</v>
      </c>
      <c r="D48" s="101" t="n">
        <f>'U037-Create_measures_the_name_a'!C5</f>
        <v>0</v>
      </c>
      <c r="E48" s="101" t="n">
        <f>'U037-Create_measures_the_name_a'!E5</f>
        <v>1</v>
      </c>
      <c r="F48" s="101" t="n">
        <f>'U037-Create_measures_the_name_a'!K5</f>
        <v>0</v>
      </c>
      <c r="G48" s="101" t="n">
        <f>'U037-Create_measures_the_name_a'!L5</f>
        <v>0</v>
      </c>
      <c r="H48" s="102" t="n">
        <f>'U037-Create_measures_the_name_a'!M5</f>
        <v>0</v>
      </c>
      <c r="I48" s="101" t="n">
        <f>'U037-Create_measures_the_name_a'!N5</f>
        <v>1</v>
      </c>
    </row>
    <row r="49" ht="30" customHeight="1">
      <c r="A49" s="100" t="n">
        <v>38</v>
      </c>
      <c r="B49" s="76" t="str">
        <v>U038-Create_refuses_a_descripti</v>
      </c>
      <c r="C49" s="101" t="n">
        <f>'U038-Create_refuses_a_descripti'!A5</f>
        <v>0</v>
      </c>
      <c r="D49" s="101" t="n">
        <f>'U038-Create_refuses_a_descripti'!C5</f>
        <v>0</v>
      </c>
      <c r="E49" s="101" t="n">
        <f>'U038-Create_refuses_a_descripti'!E5</f>
        <v>1</v>
      </c>
      <c r="F49" s="101" t="n">
        <f>'U038-Create_refuses_a_descripti'!K5</f>
        <v>0</v>
      </c>
      <c r="G49" s="101" t="n">
        <f>'U038-Create_refuses_a_descripti'!L5</f>
        <v>0</v>
      </c>
      <c r="H49" s="102" t="n">
        <f>'U038-Create_refuses_a_descripti'!M5</f>
        <v>0</v>
      </c>
      <c r="I49" s="101" t="n">
        <f>'U038-Create_refuses_a_descripti'!N5</f>
        <v>1</v>
      </c>
    </row>
    <row r="50" ht="30" customHeight="1">
      <c r="A50" s="100" t="n">
        <v>39</v>
      </c>
      <c r="B50" s="76" t="str">
        <v>U039-Create_names_every_unknown</v>
      </c>
      <c r="C50" s="101" t="n">
        <f>'U039-Create_names_every_unknown'!A5</f>
        <v>0</v>
      </c>
      <c r="D50" s="101" t="n">
        <f>'U039-Create_names_every_unknown'!C5</f>
        <v>0</v>
      </c>
      <c r="E50" s="101" t="n">
        <f>'U039-Create_names_every_unknown'!E5</f>
        <v>1</v>
      </c>
      <c r="F50" s="101" t="n">
        <f>'U039-Create_names_every_unknown'!K5</f>
        <v>0</v>
      </c>
      <c r="G50" s="101" t="n">
        <f>'U039-Create_names_every_unknown'!L5</f>
        <v>0</v>
      </c>
      <c r="H50" s="102" t="n">
        <f>'U039-Create_names_every_unknown'!M5</f>
        <v>0</v>
      </c>
      <c r="I50" s="101" t="n">
        <f>'U039-Create_names_every_unknown'!N5</f>
        <v>1</v>
      </c>
    </row>
    <row r="51" ht="30" customHeight="1">
      <c r="A51" s="100" t="n">
        <v>40</v>
      </c>
      <c r="B51" s="76" t="str">
        <v>U040-Create_refuses_a_capabilit</v>
      </c>
      <c r="C51" s="101" t="n">
        <f>'U040-Create_refuses_a_capabilit'!A5</f>
        <v>0</v>
      </c>
      <c r="D51" s="101" t="n">
        <f>'U040-Create_refuses_a_capabilit'!C5</f>
        <v>0</v>
      </c>
      <c r="E51" s="101" t="n">
        <f>'U040-Create_refuses_a_capabilit'!E5</f>
        <v>1</v>
      </c>
      <c r="F51" s="101" t="n">
        <f>'U040-Create_refuses_a_capabilit'!K5</f>
        <v>0</v>
      </c>
      <c r="G51" s="101" t="n">
        <f>'U040-Create_refuses_a_capabilit'!L5</f>
        <v>0</v>
      </c>
      <c r="H51" s="102" t="n">
        <f>'U040-Create_refuses_a_capabilit'!M5</f>
        <v>0</v>
      </c>
      <c r="I51" s="101" t="n">
        <f>'U040-Create_refuses_a_capabilit'!N5</f>
        <v>1</v>
      </c>
    </row>
    <row r="52" ht="30" customHeight="1">
      <c r="A52" s="100" t="n">
        <v>41</v>
      </c>
      <c r="B52" s="76" t="str">
        <v>U041-Create_names_a_null_capabi</v>
      </c>
      <c r="C52" s="101" t="n">
        <f>'U041-Create_names_a_null_capabi'!A5</f>
        <v>0</v>
      </c>
      <c r="D52" s="101" t="n">
        <f>'U041-Create_names_a_null_capabi'!C5</f>
        <v>0</v>
      </c>
      <c r="E52" s="101" t="n">
        <f>'U041-Create_names_a_null_capabi'!E5</f>
        <v>1</v>
      </c>
      <c r="F52" s="101" t="n">
        <f>'U041-Create_names_a_null_capabi'!K5</f>
        <v>0</v>
      </c>
      <c r="G52" s="101" t="n">
        <f>'U041-Create_names_a_null_capabi'!L5</f>
        <v>0</v>
      </c>
      <c r="H52" s="102" t="n">
        <f>'U041-Create_names_a_null_capabi'!M5</f>
        <v>0</v>
      </c>
      <c r="I52" s="101" t="n">
        <f>'U041-Create_names_a_null_capabi'!N5</f>
        <v>1</v>
      </c>
    </row>
    <row r="53" ht="30" customHeight="1">
      <c r="A53" s="100" t="n">
        <v>42</v>
      </c>
      <c r="B53" s="76" t="str">
        <v>U042-Create_reports_every_inval</v>
      </c>
      <c r="C53" s="101" t="n">
        <f>'U042-Create_reports_every_inval'!A5</f>
        <v>0</v>
      </c>
      <c r="D53" s="101" t="n">
        <f>'U042-Create_reports_every_inval'!C5</f>
        <v>0</v>
      </c>
      <c r="E53" s="101" t="n">
        <f>'U042-Create_reports_every_inval'!E5</f>
        <v>1</v>
      </c>
      <c r="F53" s="101" t="n">
        <f>'U042-Create_reports_every_inval'!K5</f>
        <v>0</v>
      </c>
      <c r="G53" s="101" t="n">
        <f>'U042-Create_reports_every_inval'!L5</f>
        <v>0</v>
      </c>
      <c r="H53" s="102" t="n">
        <f>'U042-Create_reports_every_inval'!M5</f>
        <v>0</v>
      </c>
      <c r="I53" s="101" t="n">
        <f>'U042-Create_reports_every_inval'!N5</f>
        <v>1</v>
      </c>
    </row>
    <row r="54" ht="30" customHeight="1">
      <c r="A54" s="100" t="n">
        <v>43</v>
      </c>
      <c r="B54" s="76" t="str">
        <v>U043-Create_accepts_capability_</v>
      </c>
      <c r="C54" s="101" t="n">
        <f>'U043-Create_accepts_capability_'!A5</f>
        <v>0</v>
      </c>
      <c r="D54" s="101" t="n">
        <f>'U043-Create_accepts_capability_'!C5</f>
        <v>0</v>
      </c>
      <c r="E54" s="101" t="n">
        <f>'U043-Create_accepts_capability_'!E5</f>
        <v>1</v>
      </c>
      <c r="F54" s="101" t="n">
        <f>'U043-Create_accepts_capability_'!K5</f>
        <v>0</v>
      </c>
      <c r="G54" s="101" t="n">
        <f>'U043-Create_accepts_capability_'!L5</f>
        <v>0</v>
      </c>
      <c r="H54" s="102" t="n">
        <f>'U043-Create_accepts_capability_'!M5</f>
        <v>0</v>
      </c>
      <c r="I54" s="101" t="n">
        <f>'U043-Create_accepts_capability_'!N5</f>
        <v>1</v>
      </c>
    </row>
    <row r="55" ht="30" customHeight="1">
      <c r="A55" s="100" t="n">
        <v>44</v>
      </c>
      <c r="B55" s="76" t="str">
        <v>U044-Create_answers_MSG21_for_a</v>
      </c>
      <c r="C55" s="101" t="n">
        <f>'U044-Create_answers_MSG21_for_a'!A5</f>
        <v>0</v>
      </c>
      <c r="D55" s="101" t="n">
        <f>'U044-Create_answers_MSG21_for_a'!C5</f>
        <v>0</v>
      </c>
      <c r="E55" s="101" t="n">
        <f>'U044-Create_answers_MSG21_for_a'!E5</f>
        <v>1</v>
      </c>
      <c r="F55" s="101" t="n">
        <f>'U044-Create_answers_MSG21_for_a'!K5</f>
        <v>0</v>
      </c>
      <c r="G55" s="101" t="n">
        <f>'U044-Create_answers_MSG21_for_a'!L5</f>
        <v>0</v>
      </c>
      <c r="H55" s="102" t="n">
        <f>'U044-Create_answers_MSG21_for_a'!M5</f>
        <v>0</v>
      </c>
      <c r="I55" s="101" t="n">
        <f>'U044-Create_answers_MSG21_for_a'!N5</f>
        <v>1</v>
      </c>
    </row>
    <row r="56" ht="30" customHeight="1">
      <c r="A56" s="100" t="n">
        <v>45</v>
      </c>
      <c r="B56" s="76" t="str">
        <v>U045-Create_answers_MSG21_for_t</v>
      </c>
      <c r="C56" s="101" t="n">
        <f>'U045-Create_answers_MSG21_for_t'!A5</f>
        <v>0</v>
      </c>
      <c r="D56" s="101" t="n">
        <f>'U045-Create_answers_MSG21_for_t'!C5</f>
        <v>0</v>
      </c>
      <c r="E56" s="101" t="n">
        <f>'U045-Create_answers_MSG21_for_t'!E5</f>
        <v>1</v>
      </c>
      <c r="F56" s="101" t="n">
        <f>'U045-Create_answers_MSG21_for_t'!K5</f>
        <v>0</v>
      </c>
      <c r="G56" s="101" t="n">
        <f>'U045-Create_answers_MSG21_for_t'!L5</f>
        <v>0</v>
      </c>
      <c r="H56" s="102" t="n">
        <f>'U045-Create_answers_MSG21_for_t'!M5</f>
        <v>0</v>
      </c>
      <c r="I56" s="101" t="n">
        <f>'U045-Create_answers_MSG21_for_t'!N5</f>
        <v>1</v>
      </c>
    </row>
    <row r="57" ht="30" customHeight="1">
      <c r="A57" s="100" t="n">
        <v>46</v>
      </c>
      <c r="B57" s="76" t="str">
        <v>U046-Create_stores_the_name_in_</v>
      </c>
      <c r="C57" s="101" t="n">
        <f>'U046-Create_stores_the_name_in_'!A5</f>
        <v>0</v>
      </c>
      <c r="D57" s="101" t="n">
        <f>'U046-Create_stores_the_name_in_'!C5</f>
        <v>0</v>
      </c>
      <c r="E57" s="101" t="n">
        <f>'U046-Create_stores_the_name_in_'!E5</f>
        <v>1</v>
      </c>
      <c r="F57" s="101" t="n">
        <f>'U046-Create_stores_the_name_in_'!K5</f>
        <v>0</v>
      </c>
      <c r="G57" s="101" t="n">
        <f>'U046-Create_stores_the_name_in_'!L5</f>
        <v>0</v>
      </c>
      <c r="H57" s="102" t="n">
        <f>'U046-Create_stores_the_name_in_'!M5</f>
        <v>0</v>
      </c>
      <c r="I57" s="101" t="n">
        <f>'U046-Create_stores_the_name_in_'!N5</f>
        <v>1</v>
      </c>
    </row>
    <row r="58" ht="30" customHeight="1">
      <c r="A58" s="100" t="n">
        <v>47</v>
      </c>
      <c r="B58" s="76" t="str">
        <v>U047-Create_answers_MSG21_for_t</v>
      </c>
      <c r="C58" s="101" t="n">
        <f>'U047-Create_answers_MSG21_for_t'!A5</f>
        <v>0</v>
      </c>
      <c r="D58" s="101" t="n">
        <f>'U047-Create_answers_MSG21_for_t'!C5</f>
        <v>0</v>
      </c>
      <c r="E58" s="101" t="n">
        <f>'U047-Create_answers_MSG21_for_t'!E5</f>
        <v>1</v>
      </c>
      <c r="F58" s="101" t="n">
        <f>'U047-Create_answers_MSG21_for_t'!K5</f>
        <v>0</v>
      </c>
      <c r="G58" s="101" t="n">
        <f>'U047-Create_answers_MSG21_for_t'!L5</f>
        <v>0</v>
      </c>
      <c r="H58" s="102" t="n">
        <f>'U047-Create_answers_MSG21_for_t'!M5</f>
        <v>0</v>
      </c>
      <c r="I58" s="101" t="n">
        <f>'U047-Create_answers_MSG21_for_t'!N5</f>
        <v>1</v>
      </c>
    </row>
    <row r="59" ht="30" customHeight="1">
      <c r="A59" s="100" t="n">
        <v>48</v>
      </c>
      <c r="B59" s="76" t="str">
        <v>U048-Create_answers_MSG21_when_</v>
      </c>
      <c r="C59" s="101" t="n">
        <f>'U048-Create_answers_MSG21_when_'!A5</f>
        <v>0</v>
      </c>
      <c r="D59" s="101" t="n">
        <f>'U048-Create_answers_MSG21_when_'!C5</f>
        <v>0</v>
      </c>
      <c r="E59" s="101" t="n">
        <f>'U048-Create_answers_MSG21_when_'!E5</f>
        <v>1</v>
      </c>
      <c r="F59" s="101" t="n">
        <f>'U048-Create_answers_MSG21_when_'!K5</f>
        <v>0</v>
      </c>
      <c r="G59" s="101" t="n">
        <f>'U048-Create_answers_MSG21_when_'!L5</f>
        <v>0</v>
      </c>
      <c r="H59" s="102" t="n">
        <f>'U048-Create_answers_MSG21_when_'!M5</f>
        <v>0</v>
      </c>
      <c r="I59" s="101" t="n">
        <f>'U048-Create_answers_MSG21_when_'!N5</f>
        <v>1</v>
      </c>
    </row>
    <row r="60" ht="30" customHeight="1">
      <c r="A60" s="100" t="n">
        <v>49</v>
      </c>
      <c r="B60" s="76" t="str">
        <v>U049-Create_answers_save_failed</v>
      </c>
      <c r="C60" s="101" t="n">
        <f>'U049-Create_answers_save_failed'!A5</f>
        <v>0</v>
      </c>
      <c r="D60" s="101" t="n">
        <f>'U049-Create_answers_save_failed'!C5</f>
        <v>0</v>
      </c>
      <c r="E60" s="101" t="n">
        <f>'U049-Create_answers_save_failed'!E5</f>
        <v>1</v>
      </c>
      <c r="F60" s="101" t="n">
        <f>'U049-Create_answers_save_failed'!K5</f>
        <v>0</v>
      </c>
      <c r="G60" s="101" t="n">
        <f>'U049-Create_answers_save_failed'!L5</f>
        <v>0</v>
      </c>
      <c r="H60" s="102" t="n">
        <f>'U049-Create_answers_save_failed'!M5</f>
        <v>0</v>
      </c>
      <c r="I60" s="101" t="n">
        <f>'U049-Create_answers_save_failed'!N5</f>
        <v>1</v>
      </c>
    </row>
    <row r="61" ht="30" customHeight="1">
      <c r="A61" s="100" t="n">
        <v>50</v>
      </c>
      <c r="B61" s="76" t="str">
        <v>U050-Update_renames_a_custom_ro</v>
      </c>
      <c r="C61" s="101" t="n">
        <f>'U050-Update_renames_a_custom_ro'!A5</f>
        <v>0</v>
      </c>
      <c r="D61" s="101" t="n">
        <f>'U050-Update_renames_a_custom_ro'!C5</f>
        <v>0</v>
      </c>
      <c r="E61" s="101" t="n">
        <f>'U050-Update_renames_a_custom_ro'!E5</f>
        <v>1</v>
      </c>
      <c r="F61" s="101" t="n">
        <f>'U050-Update_renames_a_custom_ro'!K5</f>
        <v>0</v>
      </c>
      <c r="G61" s="101" t="n">
        <f>'U050-Update_renames_a_custom_ro'!L5</f>
        <v>0</v>
      </c>
      <c r="H61" s="102" t="n">
        <f>'U050-Update_renames_a_custom_ro'!M5</f>
        <v>0</v>
      </c>
      <c r="I61" s="101" t="n">
        <f>'U050-Update_renames_a_custom_ro'!N5</f>
        <v>1</v>
      </c>
    </row>
    <row r="62" ht="30" customHeight="1">
      <c r="A62" s="100" t="n">
        <v>51</v>
      </c>
      <c r="B62" s="76" t="str">
        <v>U051-Update_records_before_and_</v>
      </c>
      <c r="C62" s="101" t="n">
        <f>'U051-Update_records_before_and_'!A5</f>
        <v>0</v>
      </c>
      <c r="D62" s="101" t="n">
        <f>'U051-Update_records_before_and_'!C5</f>
        <v>0</v>
      </c>
      <c r="E62" s="101" t="n">
        <f>'U051-Update_records_before_and_'!E5</f>
        <v>1</v>
      </c>
      <c r="F62" s="101" t="n">
        <f>'U051-Update_records_before_and_'!K5</f>
        <v>0</v>
      </c>
      <c r="G62" s="101" t="n">
        <f>'U051-Update_records_before_and_'!L5</f>
        <v>0</v>
      </c>
      <c r="H62" s="102" t="n">
        <f>'U051-Update_records_before_and_'!M5</f>
        <v>0</v>
      </c>
      <c r="I62" s="101" t="n">
        <f>'U051-Update_records_before_and_'!N5</f>
        <v>1</v>
      </c>
    </row>
    <row r="63" ht="30" customHeight="1">
      <c r="A63" s="100" t="n">
        <v>52</v>
      </c>
      <c r="B63" s="76" t="str">
        <v>U052-Update_does_not_take_the_i</v>
      </c>
      <c r="C63" s="101" t="n">
        <f>'U052-Update_does_not_take_the_i'!A5</f>
        <v>0</v>
      </c>
      <c r="D63" s="101" t="n">
        <f>'U052-Update_does_not_take_the_i'!C5</f>
        <v>0</v>
      </c>
      <c r="E63" s="101" t="n">
        <f>'U052-Update_does_not_take_the_i'!E5</f>
        <v>1</v>
      </c>
      <c r="F63" s="101" t="n">
        <f>'U052-Update_does_not_take_the_i'!K5</f>
        <v>0</v>
      </c>
      <c r="G63" s="101" t="n">
        <f>'U052-Update_does_not_take_the_i'!L5</f>
        <v>0</v>
      </c>
      <c r="H63" s="102" t="n">
        <f>'U052-Update_does_not_take_the_i'!M5</f>
        <v>0</v>
      </c>
      <c r="I63" s="101" t="n">
        <f>'U052-Update_does_not_take_the_i'!N5</f>
        <v>1</v>
      </c>
    </row>
    <row r="64" ht="30" customHeight="1">
      <c r="A64" s="100" t="n">
        <v>53</v>
      </c>
      <c r="B64" s="76" t="str">
        <v>U053-Update_answers_not_found_f</v>
      </c>
      <c r="C64" s="101" t="n">
        <f>'U053-Update_answers_not_found_f'!A5</f>
        <v>0</v>
      </c>
      <c r="D64" s="101" t="n">
        <f>'U053-Update_answers_not_found_f'!C5</f>
        <v>0</v>
      </c>
      <c r="E64" s="101" t="n">
        <f>'U053-Update_answers_not_found_f'!E5</f>
        <v>1</v>
      </c>
      <c r="F64" s="101" t="n">
        <f>'U053-Update_answers_not_found_f'!K5</f>
        <v>0</v>
      </c>
      <c r="G64" s="101" t="n">
        <f>'U053-Update_answers_not_found_f'!L5</f>
        <v>0</v>
      </c>
      <c r="H64" s="102" t="n">
        <f>'U053-Update_answers_not_found_f'!M5</f>
        <v>0</v>
      </c>
      <c r="I64" s="101" t="n">
        <f>'U053-Update_answers_not_found_f'!N5</f>
        <v>1</v>
      </c>
    </row>
    <row r="65" ht="30" customHeight="1">
      <c r="A65" s="100" t="n">
        <v>54</v>
      </c>
      <c r="B65" s="76" t="str">
        <v>U054-Update_answers_MSG24_for_e</v>
      </c>
      <c r="C65" s="101" t="n">
        <f>'U054-Update_answers_MSG24_for_e'!A5</f>
        <v>0</v>
      </c>
      <c r="D65" s="101" t="n">
        <f>'U054-Update_answers_MSG24_for_e'!C5</f>
        <v>0</v>
      </c>
      <c r="E65" s="101" t="n">
        <f>'U054-Update_answers_MSG24_for_e'!E5</f>
        <v>1</v>
      </c>
      <c r="F65" s="101" t="n">
        <f>'U054-Update_answers_MSG24_for_e'!K5</f>
        <v>0</v>
      </c>
      <c r="G65" s="101" t="n">
        <f>'U054-Update_answers_MSG24_for_e'!L5</f>
        <v>0</v>
      </c>
      <c r="H65" s="102" t="n">
        <f>'U054-Update_answers_MSG24_for_e'!M5</f>
        <v>0</v>
      </c>
      <c r="I65" s="101" t="n">
        <f>'U054-Update_answers_MSG24_for_e'!N5</f>
        <v>1</v>
      </c>
    </row>
    <row r="66" ht="30" customHeight="1">
      <c r="A66" s="100" t="n">
        <v>55</v>
      </c>
      <c r="B66" s="76" t="str">
        <v>U055-Update_answers_MSG24_befor</v>
      </c>
      <c r="C66" s="101" t="n">
        <f>'U055-Update_answers_MSG24_befor'!A5</f>
        <v>0</v>
      </c>
      <c r="D66" s="101" t="n">
        <f>'U055-Update_answers_MSG24_befor'!C5</f>
        <v>0</v>
      </c>
      <c r="E66" s="101" t="n">
        <f>'U055-Update_answers_MSG24_befor'!E5</f>
        <v>1</v>
      </c>
      <c r="F66" s="101" t="n">
        <f>'U055-Update_answers_MSG24_befor'!K5</f>
        <v>0</v>
      </c>
      <c r="G66" s="101" t="n">
        <f>'U055-Update_answers_MSG24_befor'!L5</f>
        <v>0</v>
      </c>
      <c r="H66" s="102" t="n">
        <f>'U055-Update_answers_MSG24_befor'!M5</f>
        <v>0</v>
      </c>
      <c r="I66" s="101" t="n">
        <f>'U055-Update_answers_MSG24_befor'!N5</f>
        <v>1</v>
      </c>
    </row>
    <row r="67" ht="30" customHeight="1">
      <c r="A67" s="100" t="n">
        <v>56</v>
      </c>
      <c r="B67" s="76" t="str">
        <v>U056-Update_answers_MSG20_for_i</v>
      </c>
      <c r="C67" s="101" t="n">
        <f>'U056-Update_answers_MSG20_for_i'!A5</f>
        <v>0</v>
      </c>
      <c r="D67" s="101" t="n">
        <f>'U056-Update_answers_MSG20_for_i'!C5</f>
        <v>0</v>
      </c>
      <c r="E67" s="101" t="n">
        <f>'U056-Update_answers_MSG20_for_i'!E5</f>
        <v>1</v>
      </c>
      <c r="F67" s="101" t="n">
        <f>'U056-Update_answers_MSG20_for_i'!K5</f>
        <v>0</v>
      </c>
      <c r="G67" s="101" t="n">
        <f>'U056-Update_answers_MSG20_for_i'!L5</f>
        <v>0</v>
      </c>
      <c r="H67" s="102" t="n">
        <f>'U056-Update_answers_MSG20_for_i'!M5</f>
        <v>0</v>
      </c>
      <c r="I67" s="101" t="n">
        <f>'U056-Update_answers_MSG20_for_i'!N5</f>
        <v>1</v>
      </c>
    </row>
    <row r="68" ht="30" customHeight="1">
      <c r="A68" s="100" t="n">
        <v>57</v>
      </c>
      <c r="B68" s="76" t="str">
        <v>U057-Update_answers_MSG21_for_t</v>
      </c>
      <c r="C68" s="101" t="n">
        <f>'U057-Update_answers_MSG21_for_t'!A5</f>
        <v>0</v>
      </c>
      <c r="D68" s="101" t="n">
        <f>'U057-Update_answers_MSG21_for_t'!C5</f>
        <v>0</v>
      </c>
      <c r="E68" s="101" t="n">
        <f>'U057-Update_answers_MSG21_for_t'!E5</f>
        <v>1</v>
      </c>
      <c r="F68" s="101" t="n">
        <f>'U057-Update_answers_MSG21_for_t'!K5</f>
        <v>0</v>
      </c>
      <c r="G68" s="101" t="n">
        <f>'U057-Update_answers_MSG21_for_t'!L5</f>
        <v>0</v>
      </c>
      <c r="H68" s="102" t="n">
        <f>'U057-Update_answers_MSG21_for_t'!M5</f>
        <v>0</v>
      </c>
      <c r="I68" s="101" t="n">
        <f>'U057-Update_answers_MSG21_for_t'!N5</f>
        <v>1</v>
      </c>
    </row>
    <row r="69" ht="30" customHeight="1">
      <c r="A69" s="100" t="n">
        <v>58</v>
      </c>
      <c r="B69" s="76" t="str">
        <v>U058-Update_may_change_only_the</v>
      </c>
      <c r="C69" s="101" t="n">
        <f>'U058-Update_may_change_only_the'!A5</f>
        <v>0</v>
      </c>
      <c r="D69" s="101" t="n">
        <f>'U058-Update_may_change_only_the'!C5</f>
        <v>0</v>
      </c>
      <c r="E69" s="101" t="n">
        <f>'U058-Update_may_change_only_the'!E5</f>
        <v>1</v>
      </c>
      <c r="F69" s="101" t="n">
        <f>'U058-Update_may_change_only_the'!K5</f>
        <v>0</v>
      </c>
      <c r="G69" s="101" t="n">
        <f>'U058-Update_may_change_only_the'!L5</f>
        <v>0</v>
      </c>
      <c r="H69" s="102" t="n">
        <f>'U058-Update_may_change_only_the'!M5</f>
        <v>0</v>
      </c>
      <c r="I69" s="101" t="n">
        <f>'U058-Update_may_change_only_the'!N5</f>
        <v>1</v>
      </c>
    </row>
    <row r="70" ht="30" customHeight="1">
      <c r="A70" s="100" t="n">
        <v>59</v>
      </c>
      <c r="B70" s="76" t="str">
        <v>U059-Update_with_nothing_change</v>
      </c>
      <c r="C70" s="101" t="n">
        <f>'U059-Update_with_nothing_change'!A5</f>
        <v>0</v>
      </c>
      <c r="D70" s="101" t="n">
        <f>'U059-Update_with_nothing_change'!C5</f>
        <v>0</v>
      </c>
      <c r="E70" s="101" t="n">
        <f>'U059-Update_with_nothing_change'!E5</f>
        <v>1</v>
      </c>
      <c r="F70" s="101" t="n">
        <f>'U059-Update_with_nothing_change'!K5</f>
        <v>0</v>
      </c>
      <c r="G70" s="101" t="n">
        <f>'U059-Update_with_nothing_change'!L5</f>
        <v>0</v>
      </c>
      <c r="H70" s="102" t="n">
        <f>'U059-Update_with_nothing_change'!M5</f>
        <v>0</v>
      </c>
      <c r="I70" s="101" t="n">
        <f>'U059-Update_with_nothing_change'!N5</f>
        <v>1</v>
      </c>
    </row>
    <row r="71" ht="30" customHeight="1">
      <c r="A71" s="100" t="n">
        <v>60</v>
      </c>
      <c r="B71" s="76" t="str">
        <v>U060-Update_answers_MSG21_when_</v>
      </c>
      <c r="C71" s="101" t="n">
        <f>'U060-Update_answers_MSG21_when_'!A5</f>
        <v>0</v>
      </c>
      <c r="D71" s="101" t="n">
        <f>'U060-Update_answers_MSG21_when_'!C5</f>
        <v>0</v>
      </c>
      <c r="E71" s="101" t="n">
        <f>'U060-Update_answers_MSG21_when_'!E5</f>
        <v>1</v>
      </c>
      <c r="F71" s="101" t="n">
        <f>'U060-Update_answers_MSG21_when_'!K5</f>
        <v>0</v>
      </c>
      <c r="G71" s="101" t="n">
        <f>'U060-Update_answers_MSG21_when_'!L5</f>
        <v>0</v>
      </c>
      <c r="H71" s="102" t="n">
        <f>'U060-Update_answers_MSG21_when_'!M5</f>
        <v>0</v>
      </c>
      <c r="I71" s="101" t="n">
        <f>'U060-Update_answers_MSG21_when_'!N5</f>
        <v>1</v>
      </c>
    </row>
    <row r="72" ht="30" customHeight="1">
      <c r="A72" s="100" t="n">
        <v>61</v>
      </c>
      <c r="B72" s="76" t="str">
        <v>U061-Update_answers_not_found_w</v>
      </c>
      <c r="C72" s="101" t="n">
        <f>'U061-Update_answers_not_found_w'!A5</f>
        <v>0</v>
      </c>
      <c r="D72" s="101" t="n">
        <f>'U061-Update_answers_not_found_w'!C5</f>
        <v>0</v>
      </c>
      <c r="E72" s="101" t="n">
        <f>'U061-Update_answers_not_found_w'!E5</f>
        <v>1</v>
      </c>
      <c r="F72" s="101" t="n">
        <f>'U061-Update_answers_not_found_w'!K5</f>
        <v>0</v>
      </c>
      <c r="G72" s="101" t="n">
        <f>'U061-Update_answers_not_found_w'!L5</f>
        <v>0</v>
      </c>
      <c r="H72" s="102" t="n">
        <f>'U061-Update_answers_not_found_w'!M5</f>
        <v>0</v>
      </c>
      <c r="I72" s="101" t="n">
        <f>'U061-Update_answers_not_found_w'!N5</f>
        <v>1</v>
      </c>
    </row>
    <row r="73" ht="30" customHeight="1">
      <c r="A73" s="100" t="n">
        <v>62</v>
      </c>
      <c r="B73" s="76" t="str">
        <v>U062-Update_answers_save_failed</v>
      </c>
      <c r="C73" s="101" t="n">
        <f>'U062-Update_answers_save_failed'!A5</f>
        <v>0</v>
      </c>
      <c r="D73" s="101" t="n">
        <f>'U062-Update_answers_save_failed'!C5</f>
        <v>0</v>
      </c>
      <c r="E73" s="101" t="n">
        <f>'U062-Update_answers_save_failed'!E5</f>
        <v>1</v>
      </c>
      <c r="F73" s="101" t="n">
        <f>'U062-Update_answers_save_failed'!K5</f>
        <v>0</v>
      </c>
      <c r="G73" s="101" t="n">
        <f>'U062-Update_answers_save_failed'!L5</f>
        <v>0</v>
      </c>
      <c r="H73" s="102" t="n">
        <f>'U062-Update_answers_save_failed'!M5</f>
        <v>0</v>
      </c>
      <c r="I73" s="101" t="n">
        <f>'U062-Update_answers_save_failed'!N5</f>
        <v>1</v>
      </c>
    </row>
    <row r="74" ht="30" customHeight="1">
      <c r="A74" s="100" t="n">
        <v>63</v>
      </c>
      <c r="B74" s="76" t="str">
        <v>U063-Delete_removes_a_custom_ro</v>
      </c>
      <c r="C74" s="101" t="n">
        <f>'U063-Delete_removes_a_custom_ro'!A5</f>
        <v>0</v>
      </c>
      <c r="D74" s="101" t="n">
        <f>'U063-Delete_removes_a_custom_ro'!C5</f>
        <v>0</v>
      </c>
      <c r="E74" s="101" t="n">
        <f>'U063-Delete_removes_a_custom_ro'!E5</f>
        <v>1</v>
      </c>
      <c r="F74" s="101" t="n">
        <f>'U063-Delete_removes_a_custom_ro'!K5</f>
        <v>0</v>
      </c>
      <c r="G74" s="101" t="n">
        <f>'U063-Delete_removes_a_custom_ro'!L5</f>
        <v>0</v>
      </c>
      <c r="H74" s="102" t="n">
        <f>'U063-Delete_removes_a_custom_ro'!M5</f>
        <v>0</v>
      </c>
      <c r="I74" s="101" t="n">
        <f>'U063-Delete_removes_a_custom_ro'!N5</f>
        <v>1</v>
      </c>
    </row>
    <row r="75" ht="30" customHeight="1">
      <c r="A75" s="100" t="n">
        <v>64</v>
      </c>
      <c r="B75" s="76" t="str">
        <v>U064-Delete_records_the_name_an</v>
      </c>
      <c r="C75" s="101" t="n">
        <f>'U064-Delete_records_the_name_an'!A5</f>
        <v>0</v>
      </c>
      <c r="D75" s="101" t="n">
        <f>'U064-Delete_records_the_name_an'!C5</f>
        <v>0</v>
      </c>
      <c r="E75" s="101" t="n">
        <f>'U064-Delete_records_the_name_an'!E5</f>
        <v>1</v>
      </c>
      <c r="F75" s="101" t="n">
        <f>'U064-Delete_records_the_name_an'!K5</f>
        <v>0</v>
      </c>
      <c r="G75" s="101" t="n">
        <f>'U064-Delete_records_the_name_an'!L5</f>
        <v>0</v>
      </c>
      <c r="H75" s="102" t="n">
        <f>'U064-Delete_records_the_name_an'!M5</f>
        <v>0</v>
      </c>
      <c r="I75" s="101" t="n">
        <f>'U064-Delete_records_the_name_an'!N5</f>
        <v>1</v>
      </c>
    </row>
    <row r="76" ht="30" customHeight="1">
      <c r="A76" s="100" t="n">
        <v>65</v>
      </c>
      <c r="B76" s="76" t="str">
        <v>U065-Delete_goes_through_the_ad</v>
      </c>
      <c r="C76" s="101" t="n">
        <f>'U065-Delete_goes_through_the_ad'!A5</f>
        <v>0</v>
      </c>
      <c r="D76" s="101" t="n">
        <f>'U065-Delete_goes_through_the_ad'!C5</f>
        <v>0</v>
      </c>
      <c r="E76" s="101" t="n">
        <f>'U065-Delete_goes_through_the_ad'!E5</f>
        <v>1</v>
      </c>
      <c r="F76" s="101" t="n">
        <f>'U065-Delete_goes_through_the_ad'!K5</f>
        <v>0</v>
      </c>
      <c r="G76" s="101" t="n">
        <f>'U065-Delete_goes_through_the_ad'!L5</f>
        <v>0</v>
      </c>
      <c r="H76" s="102" t="n">
        <f>'U065-Delete_goes_through_the_ad'!M5</f>
        <v>0</v>
      </c>
      <c r="I76" s="101" t="n">
        <f>'U065-Delete_goes_through_the_ad'!N5</f>
        <v>1</v>
      </c>
    </row>
    <row r="77" ht="30" customHeight="1">
      <c r="A77" s="100" t="n">
        <v>66</v>
      </c>
      <c r="B77" s="76" t="str">
        <v>U066-Delete_answers_not_found_f</v>
      </c>
      <c r="C77" s="101" t="n">
        <f>'U066-Delete_answers_not_found_f'!A5</f>
        <v>0</v>
      </c>
      <c r="D77" s="101" t="n">
        <f>'U066-Delete_answers_not_found_f'!C5</f>
        <v>0</v>
      </c>
      <c r="E77" s="101" t="n">
        <f>'U066-Delete_answers_not_found_f'!E5</f>
        <v>1</v>
      </c>
      <c r="F77" s="101" t="n">
        <f>'U066-Delete_answers_not_found_f'!K5</f>
        <v>0</v>
      </c>
      <c r="G77" s="101" t="n">
        <f>'U066-Delete_answers_not_found_f'!L5</f>
        <v>0</v>
      </c>
      <c r="H77" s="102" t="n">
        <f>'U066-Delete_answers_not_found_f'!M5</f>
        <v>0</v>
      </c>
      <c r="I77" s="101" t="n">
        <f>'U066-Delete_answers_not_found_f'!N5</f>
        <v>1</v>
      </c>
    </row>
    <row r="78" ht="30" customHeight="1">
      <c r="A78" s="100" t="n">
        <v>67</v>
      </c>
      <c r="B78" s="76" t="str">
        <v>U067-Delete_answers_MSG24_for_e</v>
      </c>
      <c r="C78" s="101" t="n">
        <f>'U067-Delete_answers_MSG24_for_e'!A5</f>
        <v>0</v>
      </c>
      <c r="D78" s="101" t="n">
        <f>'U067-Delete_answers_MSG24_for_e'!C5</f>
        <v>0</v>
      </c>
      <c r="E78" s="101" t="n">
        <f>'U067-Delete_answers_MSG24_for_e'!E5</f>
        <v>1</v>
      </c>
      <c r="F78" s="101" t="n">
        <f>'U067-Delete_answers_MSG24_for_e'!K5</f>
        <v>0</v>
      </c>
      <c r="G78" s="101" t="n">
        <f>'U067-Delete_answers_MSG24_for_e'!L5</f>
        <v>0</v>
      </c>
      <c r="H78" s="102" t="n">
        <f>'U067-Delete_answers_MSG24_for_e'!M5</f>
        <v>0</v>
      </c>
      <c r="I78" s="101" t="n">
        <f>'U067-Delete_answers_MSG24_for_e'!N5</f>
        <v>1</v>
      </c>
    </row>
    <row r="79" ht="30" customHeight="1">
      <c r="A79" s="100" t="n">
        <v>68</v>
      </c>
      <c r="B79" s="76" t="str">
        <v>U068-Delete_answers_MSG25_with_</v>
      </c>
      <c r="C79" s="101" t="n">
        <f>'U068-Delete_answers_MSG25_with_'!A5</f>
        <v>0</v>
      </c>
      <c r="D79" s="101" t="n">
        <f>'U068-Delete_answers_MSG25_with_'!C5</f>
        <v>0</v>
      </c>
      <c r="E79" s="101" t="n">
        <f>'U068-Delete_answers_MSG25_with_'!E5</f>
        <v>1</v>
      </c>
      <c r="F79" s="101" t="n">
        <f>'U068-Delete_answers_MSG25_with_'!K5</f>
        <v>0</v>
      </c>
      <c r="G79" s="101" t="n">
        <f>'U068-Delete_answers_MSG25_with_'!L5</f>
        <v>0</v>
      </c>
      <c r="H79" s="102" t="n">
        <f>'U068-Delete_answers_MSG25_with_'!M5</f>
        <v>0</v>
      </c>
      <c r="I79" s="101" t="n">
        <f>'U068-Delete_answers_MSG25_with_'!N5</f>
        <v>1</v>
      </c>
    </row>
    <row r="80" ht="30" customHeight="1">
      <c r="A80" s="100" t="n">
        <v>69</v>
      </c>
      <c r="B80" s="76" t="str">
        <v>U069-Delete_answers_MSG25_when_</v>
      </c>
      <c r="C80" s="101" t="n">
        <f>'U069-Delete_answers_MSG25_when_'!A5</f>
        <v>0</v>
      </c>
      <c r="D80" s="101" t="n">
        <f>'U069-Delete_answers_MSG25_when_'!C5</f>
        <v>0</v>
      </c>
      <c r="E80" s="101" t="n">
        <f>'U069-Delete_answers_MSG25_when_'!E5</f>
        <v>1</v>
      </c>
      <c r="F80" s="101" t="n">
        <f>'U069-Delete_answers_MSG25_when_'!K5</f>
        <v>0</v>
      </c>
      <c r="G80" s="101" t="n">
        <f>'U069-Delete_answers_MSG25_when_'!L5</f>
        <v>0</v>
      </c>
      <c r="H80" s="102" t="n">
        <f>'U069-Delete_answers_MSG25_when_'!M5</f>
        <v>0</v>
      </c>
      <c r="I80" s="101" t="n">
        <f>'U069-Delete_answers_MSG25_when_'!N5</f>
        <v>1</v>
      </c>
    </row>
    <row r="81" ht="30" customHeight="1">
      <c r="A81" s="100" t="n">
        <v>70</v>
      </c>
      <c r="B81" s="76" t="str">
        <v>U070-Delete_answers_save_failed</v>
      </c>
      <c r="C81" s="101" t="n">
        <f>'U070-Delete_answers_save_failed'!A5</f>
        <v>0</v>
      </c>
      <c r="D81" s="101" t="n">
        <f>'U070-Delete_answers_save_failed'!C5</f>
        <v>0</v>
      </c>
      <c r="E81" s="101" t="n">
        <f>'U070-Delete_answers_save_failed'!E5</f>
        <v>1</v>
      </c>
      <c r="F81" s="101" t="n">
        <f>'U070-Delete_answers_save_failed'!K5</f>
        <v>0</v>
      </c>
      <c r="G81" s="101" t="n">
        <f>'U070-Delete_answers_save_failed'!L5</f>
        <v>0</v>
      </c>
      <c r="H81" s="102" t="n">
        <f>'U070-Delete_answers_save_failed'!M5</f>
        <v>0</v>
      </c>
      <c r="I81" s="101" t="n">
        <f>'U070-Delete_answers_save_failed'!N5</f>
        <v>1</v>
      </c>
    </row>
    <row r="82" ht="30" customHeight="1">
      <c r="A82" s="100" t="n">
        <v>71</v>
      </c>
      <c r="B82" s="76" t="str">
        <v>U071-Actual_duration_is_indepen</v>
      </c>
      <c r="C82" s="101" t="n">
        <f>'U071-Actual_duration_is_indepen'!A5</f>
        <v>0</v>
      </c>
      <c r="D82" s="101" t="n">
        <f>'U071-Actual_duration_is_indepen'!C5</f>
        <v>0</v>
      </c>
      <c r="E82" s="101" t="n">
        <f>'U071-Actual_duration_is_indepen'!E5</f>
        <v>1</v>
      </c>
      <c r="F82" s="101" t="n">
        <f>'U071-Actual_duration_is_indepen'!K5</f>
        <v>0</v>
      </c>
      <c r="G82" s="101" t="n">
        <f>'U071-Actual_duration_is_indepen'!L5</f>
        <v>0</v>
      </c>
      <c r="H82" s="102" t="n">
        <f>'U071-Actual_duration_is_indepen'!M5</f>
        <v>0</v>
      </c>
      <c r="I82" s="101" t="n">
        <f>'U071-Actual_duration_is_indepen'!N5</f>
        <v>1</v>
      </c>
    </row>
    <row r="83" ht="30" customHeight="1">
      <c r="A83" s="100" t="n">
        <v>72</v>
      </c>
      <c r="B83" s="76" t="str">
        <v>U072-Missing_start_or_backwards</v>
      </c>
      <c r="C83" s="101" t="n">
        <f>'U072-Missing_start_or_backwards'!A5</f>
        <v>0</v>
      </c>
      <c r="D83" s="101" t="n">
        <f>'U072-Missing_start_or_backwards'!C5</f>
        <v>0</v>
      </c>
      <c r="E83" s="101" t="n">
        <f>'U072-Missing_start_or_backwards'!E5</f>
        <v>1</v>
      </c>
      <c r="F83" s="101" t="n">
        <f>'U072-Missing_start_or_backwards'!K5</f>
        <v>0</v>
      </c>
      <c r="G83" s="101" t="n">
        <f>'U072-Missing_start_or_backwards'!L5</f>
        <v>0</v>
      </c>
      <c r="H83" s="102" t="n">
        <f>'U072-Missing_start_or_backwards'!M5</f>
        <v>0</v>
      </c>
      <c r="I83" s="101" t="n">
        <f>'U072-Missing_start_or_backwards'!N5</f>
        <v>1</v>
      </c>
    </row>
    <row r="84" ht="30" customHeight="1">
      <c r="A84" s="100" t="n">
        <v>73</v>
      </c>
      <c r="B84" s="76" t="str">
        <v>U073-Order_token_is_determinist</v>
      </c>
      <c r="C84" s="101" t="n">
        <f>'U073-Order_token_is_determinist'!A5</f>
        <v>0</v>
      </c>
      <c r="D84" s="101" t="n">
        <f>'U073-Order_token_is_determinist'!C5</f>
        <v>0</v>
      </c>
      <c r="E84" s="101" t="n">
        <f>'U073-Order_token_is_determinist'!E5</f>
        <v>1</v>
      </c>
      <c r="F84" s="101" t="n">
        <f>'U073-Order_token_is_determinist'!K5</f>
        <v>0</v>
      </c>
      <c r="G84" s="101" t="n">
        <f>'U073-Order_token_is_determinist'!L5</f>
        <v>0</v>
      </c>
      <c r="H84" s="102" t="n">
        <f>'U073-Order_token_is_determinist'!M5</f>
        <v>0</v>
      </c>
      <c r="I84" s="101" t="n">
        <f>'U073-Order_token_is_determinist'!N5</f>
        <v>1</v>
      </c>
    </row>
    <row r="85" ht="30" customHeight="1">
      <c r="A85" s="100" t="n">
        <v>74</v>
      </c>
      <c r="B85" s="76" t="str">
        <v>U074-Normalization_preserves_ne</v>
      </c>
      <c r="C85" s="101" t="n">
        <f>'U074-Normalization_preserves_ne'!A5</f>
        <v>0</v>
      </c>
      <c r="D85" s="101" t="n">
        <f>'U074-Normalization_preserves_ne'!C5</f>
        <v>0</v>
      </c>
      <c r="E85" s="101" t="n">
        <f>'U074-Normalization_preserves_ne'!E5</f>
        <v>1</v>
      </c>
      <c r="F85" s="101" t="n">
        <f>'U074-Normalization_preserves_ne'!K5</f>
        <v>0</v>
      </c>
      <c r="G85" s="101" t="n">
        <f>'U074-Normalization_preserves_ne'!L5</f>
        <v>0</v>
      </c>
      <c r="H85" s="102" t="n">
        <f>'U074-Normalization_preserves_ne'!M5</f>
        <v>0</v>
      </c>
      <c r="I85" s="101" t="n">
        <f>'U074-Normalization_preserves_ne'!N5</f>
        <v>1</v>
      </c>
    </row>
    <row r="86" ht="30" customHeight="1">
      <c r="A86" s="100" t="n">
        <v>75</v>
      </c>
      <c r="B86" s="76" t="str">
        <v>U075-An_active_user_with_the_ri</v>
      </c>
      <c r="C86" s="101" t="n">
        <f>'U075-An_active_user_with_the_ri'!A5</f>
        <v>0</v>
      </c>
      <c r="D86" s="101" t="n">
        <f>'U075-An_active_user_with_the_ri'!C5</f>
        <v>0</v>
      </c>
      <c r="E86" s="101" t="n">
        <f>'U075-An_active_user_with_the_ri'!E5</f>
        <v>1</v>
      </c>
      <c r="F86" s="101" t="n">
        <f>'U075-An_active_user_with_the_ri'!K5</f>
        <v>0</v>
      </c>
      <c r="G86" s="101" t="n">
        <f>'U075-An_active_user_with_the_ri'!L5</f>
        <v>0</v>
      </c>
      <c r="H86" s="102" t="n">
        <f>'U075-An_active_user_with_the_ri'!M5</f>
        <v>0</v>
      </c>
      <c r="I86" s="101" t="n">
        <f>'U075-An_active_user_with_the_ri'!N5</f>
        <v>1</v>
      </c>
    </row>
    <row r="87" ht="30" customHeight="1">
      <c r="A87" s="100" t="n">
        <v>76</v>
      </c>
      <c r="B87" s="76" t="str">
        <v>U076-Signing_in_issues_an_acces</v>
      </c>
      <c r="C87" s="101" t="n">
        <f>'U076-Signing_in_issues_an_acces'!A5</f>
        <v>0</v>
      </c>
      <c r="D87" s="101" t="n">
        <f>'U076-Signing_in_issues_an_acces'!C5</f>
        <v>0</v>
      </c>
      <c r="E87" s="101" t="n">
        <f>'U076-Signing_in_issues_an_acces'!E5</f>
        <v>1</v>
      </c>
      <c r="F87" s="101" t="n">
        <f>'U076-Signing_in_issues_an_acces'!K5</f>
        <v>0</v>
      </c>
      <c r="G87" s="101" t="n">
        <f>'U076-Signing_in_issues_an_acces'!L5</f>
        <v>0</v>
      </c>
      <c r="H87" s="102" t="n">
        <f>'U076-Signing_in_issues_an_acces'!M5</f>
        <v>0</v>
      </c>
      <c r="I87" s="101" t="n">
        <f>'U076-Signing_in_issues_an_acces'!N5</f>
        <v>1</v>
      </c>
    </row>
    <row r="88" ht="30" customHeight="1">
      <c r="A88" s="100" t="n">
        <v>77</v>
      </c>
      <c r="B88" s="76" t="str">
        <v>U077-Capabilities_come_from_the</v>
      </c>
      <c r="C88" s="101" t="n">
        <f>'U077-Capabilities_come_from_the'!A5</f>
        <v>0</v>
      </c>
      <c r="D88" s="101" t="n">
        <f>'U077-Capabilities_come_from_the'!C5</f>
        <v>0</v>
      </c>
      <c r="E88" s="101" t="n">
        <f>'U077-Capabilities_come_from_the'!E5</f>
        <v>1</v>
      </c>
      <c r="F88" s="101" t="n">
        <f>'U077-Capabilities_come_from_the'!K5</f>
        <v>0</v>
      </c>
      <c r="G88" s="101" t="n">
        <f>'U077-Capabilities_come_from_the'!L5</f>
        <v>0</v>
      </c>
      <c r="H88" s="102" t="n">
        <f>'U077-Capabilities_come_from_the'!M5</f>
        <v>0</v>
      </c>
      <c r="I88" s="101" t="n">
        <f>'U077-Capabilities_come_from_the'!N5</f>
        <v>1</v>
      </c>
    </row>
    <row r="89" ht="30" customHeight="1">
      <c r="A89" s="100" t="n">
        <v>78</v>
      </c>
      <c r="B89" s="76" t="str">
        <v>U078-A_member_signs_in_although</v>
      </c>
      <c r="C89" s="101" t="n">
        <f>'U078-A_member_signs_in_although'!A5</f>
        <v>0</v>
      </c>
      <c r="D89" s="101" t="n">
        <f>'U078-A_member_signs_in_although'!C5</f>
        <v>0</v>
      </c>
      <c r="E89" s="101" t="n">
        <f>'U078-A_member_signs_in_although'!E5</f>
        <v>1</v>
      </c>
      <c r="F89" s="101" t="n">
        <f>'U078-A_member_signs_in_although'!K5</f>
        <v>0</v>
      </c>
      <c r="G89" s="101" t="n">
        <f>'U078-A_member_signs_in_although'!L5</f>
        <v>0</v>
      </c>
      <c r="H89" s="102" t="n">
        <f>'U078-A_member_signs_in_although'!M5</f>
        <v>0</v>
      </c>
      <c r="I89" s="101" t="n">
        <f>'U078-A_member_signs_in_although'!N5</f>
        <v>1</v>
      </c>
    </row>
    <row r="90" ht="30" customHeight="1">
      <c r="A90" s="100" t="n">
        <v>79</v>
      </c>
      <c r="B90" s="76" t="str">
        <v>U079-Email_case_and_surrounding</v>
      </c>
      <c r="C90" s="101" t="n">
        <f>'U079-Email_case_and_surrounding'!A5</f>
        <v>0</v>
      </c>
      <c r="D90" s="101" t="n">
        <f>'U079-Email_case_and_surrounding'!C5</f>
        <v>0</v>
      </c>
      <c r="E90" s="101" t="n">
        <f>'U079-Email_case_and_surrounding'!E5</f>
        <v>1</v>
      </c>
      <c r="F90" s="101" t="n">
        <f>'U079-Email_case_and_surrounding'!K5</f>
        <v>0</v>
      </c>
      <c r="G90" s="101" t="n">
        <f>'U079-Email_case_and_surrounding'!L5</f>
        <v>0</v>
      </c>
      <c r="H90" s="102" t="n">
        <f>'U079-Email_case_and_surrounding'!M5</f>
        <v>0</v>
      </c>
      <c r="I90" s="101" t="n">
        <f>'U079-Email_case_and_surrounding'!N5</f>
        <v>1</v>
      </c>
    </row>
    <row r="91" ht="30" customHeight="1">
      <c r="A91" s="100" t="n">
        <v>80</v>
      </c>
      <c r="B91" s="76" t="str">
        <v>U080-An_unknown_email_is_reject</v>
      </c>
      <c r="C91" s="101" t="n">
        <f>'U080-An_unknown_email_is_reject'!A5</f>
        <v>0</v>
      </c>
      <c r="D91" s="101" t="n">
        <f>'U080-An_unknown_email_is_reject'!C5</f>
        <v>0</v>
      </c>
      <c r="E91" s="101" t="n">
        <f>'U080-An_unknown_email_is_reject'!E5</f>
        <v>1</v>
      </c>
      <c r="F91" s="101" t="n">
        <f>'U080-An_unknown_email_is_reject'!K5</f>
        <v>0</v>
      </c>
      <c r="G91" s="101" t="n">
        <f>'U080-An_unknown_email_is_reject'!L5</f>
        <v>0</v>
      </c>
      <c r="H91" s="102" t="n">
        <f>'U080-An_unknown_email_is_reject'!M5</f>
        <v>0</v>
      </c>
      <c r="I91" s="101" t="n">
        <f>'U080-An_unknown_email_is_reject'!N5</f>
        <v>1</v>
      </c>
    </row>
    <row r="92" ht="30" customHeight="1">
      <c r="A92" s="100" t="n">
        <v>81</v>
      </c>
      <c r="B92" s="76" t="str">
        <v>U081-A_wrong_password_is_reject</v>
      </c>
      <c r="C92" s="101" t="n">
        <f>'U081-A_wrong_password_is_reject'!A5</f>
        <v>0</v>
      </c>
      <c r="D92" s="101" t="n">
        <f>'U081-A_wrong_password_is_reject'!C5</f>
        <v>0</v>
      </c>
      <c r="E92" s="101" t="n">
        <f>'U081-A_wrong_password_is_reject'!E5</f>
        <v>1</v>
      </c>
      <c r="F92" s="101" t="n">
        <f>'U081-A_wrong_password_is_reject'!K5</f>
        <v>0</v>
      </c>
      <c r="G92" s="101" t="n">
        <f>'U081-A_wrong_password_is_reject'!L5</f>
        <v>0</v>
      </c>
      <c r="H92" s="102" t="n">
        <f>'U081-A_wrong_password_is_reject'!M5</f>
        <v>0</v>
      </c>
      <c r="I92" s="101" t="n">
        <f>'U081-A_wrong_password_is_reject'!N5</f>
        <v>1</v>
      </c>
    </row>
    <row r="93" ht="30" customHeight="1">
      <c r="A93" s="100" t="n">
        <v>82</v>
      </c>
      <c r="B93" s="76" t="str">
        <v>U082-An_unknown_email_and_a_wro</v>
      </c>
      <c r="C93" s="101" t="n">
        <f>'U082-An_unknown_email_and_a_wro'!A5</f>
        <v>0</v>
      </c>
      <c r="D93" s="101" t="n">
        <f>'U082-An_unknown_email_and_a_wro'!C5</f>
        <v>0</v>
      </c>
      <c r="E93" s="101" t="n">
        <f>'U082-An_unknown_email_and_a_wro'!E5</f>
        <v>1</v>
      </c>
      <c r="F93" s="101" t="n">
        <f>'U082-An_unknown_email_and_a_wro'!K5</f>
        <v>0</v>
      </c>
      <c r="G93" s="101" t="n">
        <f>'U082-An_unknown_email_and_a_wro'!L5</f>
        <v>0</v>
      </c>
      <c r="H93" s="102" t="n">
        <f>'U082-An_unknown_email_and_a_wro'!M5</f>
        <v>0</v>
      </c>
      <c r="I93" s="101" t="n">
        <f>'U082-An_unknown_email_and_a_wro'!N5</f>
        <v>1</v>
      </c>
    </row>
    <row r="94" ht="30" customHeight="1">
      <c r="A94" s="100" t="n">
        <v>83</v>
      </c>
      <c r="B94" s="76" t="str">
        <v>U083-An_unknown_email_still_cos</v>
      </c>
      <c r="C94" s="101" t="n">
        <f>'U083-An_unknown_email_still_cos'!A5</f>
        <v>0</v>
      </c>
      <c r="D94" s="101" t="n">
        <f>'U083-An_unknown_email_still_cos'!C5</f>
        <v>0</v>
      </c>
      <c r="E94" s="101" t="n">
        <f>'U083-An_unknown_email_still_cos'!E5</f>
        <v>1</v>
      </c>
      <c r="F94" s="101" t="n">
        <f>'U083-An_unknown_email_still_cos'!K5</f>
        <v>0</v>
      </c>
      <c r="G94" s="101" t="n">
        <f>'U083-An_unknown_email_still_cos'!L5</f>
        <v>0</v>
      </c>
      <c r="H94" s="102" t="n">
        <f>'U083-An_unknown_email_still_cos'!M5</f>
        <v>0</v>
      </c>
      <c r="I94" s="101" t="n">
        <f>'U083-An_unknown_email_still_cos'!N5</f>
        <v>1</v>
      </c>
    </row>
    <row r="95" ht="30" customHeight="1">
      <c r="A95" s="100" t="n">
        <v>84</v>
      </c>
      <c r="B95" s="76" t="str">
        <v>U084-The_dummy_hash_comes_from_</v>
      </c>
      <c r="C95" s="101" t="n">
        <f>'U084-The_dummy_hash_comes_from_'!A5</f>
        <v>0</v>
      </c>
      <c r="D95" s="101" t="n">
        <f>'U084-The_dummy_hash_comes_from_'!C5</f>
        <v>0</v>
      </c>
      <c r="E95" s="101" t="n">
        <f>'U084-The_dummy_hash_comes_from_'!E5</f>
        <v>1</v>
      </c>
      <c r="F95" s="101" t="n">
        <f>'U084-The_dummy_hash_comes_from_'!K5</f>
        <v>0</v>
      </c>
      <c r="G95" s="101" t="n">
        <f>'U084-The_dummy_hash_comes_from_'!L5</f>
        <v>0</v>
      </c>
      <c r="H95" s="102" t="n">
        <f>'U084-The_dummy_hash_comes_from_'!M5</f>
        <v>0</v>
      </c>
      <c r="I95" s="101" t="n">
        <f>'U084-The_dummy_hash_comes_from_'!N5</f>
        <v>1</v>
      </c>
    </row>
    <row r="96" ht="30" customHeight="1">
      <c r="A96" s="100" t="n">
        <v>85</v>
      </c>
      <c r="B96" s="76" t="str">
        <v>U085-The_dummy_hash_never_match</v>
      </c>
      <c r="C96" s="101" t="n">
        <f>'U085-The_dummy_hash_never_match'!A5</f>
        <v>0</v>
      </c>
      <c r="D96" s="101" t="n">
        <f>'U085-The_dummy_hash_never_match'!C5</f>
        <v>0</v>
      </c>
      <c r="E96" s="101" t="n">
        <f>'U085-The_dummy_hash_never_match'!E5</f>
        <v>1</v>
      </c>
      <c r="F96" s="101" t="n">
        <f>'U085-The_dummy_hash_never_match'!K5</f>
        <v>0</v>
      </c>
      <c r="G96" s="101" t="n">
        <f>'U085-The_dummy_hash_never_match'!L5</f>
        <v>0</v>
      </c>
      <c r="H96" s="102" t="n">
        <f>'U085-The_dummy_hash_never_match'!M5</f>
        <v>0</v>
      </c>
      <c r="I96" s="101" t="n">
        <f>'U085-The_dummy_hash_never_match'!N5</f>
        <v>1</v>
      </c>
    </row>
    <row r="97" ht="30" customHeight="1">
      <c r="A97" s="100" t="n">
        <v>86</v>
      </c>
      <c r="B97" s="76" t="str">
        <v>U086-A_known_email_and_an_unkno</v>
      </c>
      <c r="C97" s="101" t="n">
        <f>'U086-A_known_email_and_an_unkno'!A5</f>
        <v>0</v>
      </c>
      <c r="D97" s="101" t="n">
        <f>'U086-A_known_email_and_an_unkno'!C5</f>
        <v>0</v>
      </c>
      <c r="E97" s="101" t="n">
        <f>'U086-A_known_email_and_an_unkno'!E5</f>
        <v>1</v>
      </c>
      <c r="F97" s="101" t="n">
        <f>'U086-A_known_email_and_an_unkno'!K5</f>
        <v>0</v>
      </c>
      <c r="G97" s="101" t="n">
        <f>'U086-A_known_email_and_an_unkno'!L5</f>
        <v>0</v>
      </c>
      <c r="H97" s="102" t="n">
        <f>'U086-A_known_email_and_an_unkno'!M5</f>
        <v>0</v>
      </c>
      <c r="I97" s="101" t="n">
        <f>'U086-A_known_email_and_an_unkno'!N5</f>
        <v>1</v>
      </c>
    </row>
    <row r="98" ht="30" customHeight="1">
      <c r="A98" s="100" t="n">
        <v>87</v>
      </c>
      <c r="B98" s="76" t="str">
        <v>U087-Blank_input_is_rejected_wi</v>
      </c>
      <c r="C98" s="101" t="n">
        <f>'U087-Blank_input_is_rejected_wi'!A5</f>
        <v>0</v>
      </c>
      <c r="D98" s="101" t="n">
        <f>'U087-Blank_input_is_rejected_wi'!C5</f>
        <v>0</v>
      </c>
      <c r="E98" s="101" t="n">
        <f>'U087-Blank_input_is_rejected_wi'!E5</f>
        <v>1</v>
      </c>
      <c r="F98" s="101" t="n">
        <f>'U087-Blank_input_is_rejected_wi'!K5</f>
        <v>0</v>
      </c>
      <c r="G98" s="101" t="n">
        <f>'U087-Blank_input_is_rejected_wi'!L5</f>
        <v>0</v>
      </c>
      <c r="H98" s="102" t="n">
        <f>'U087-Blank_input_is_rejected_wi'!M5</f>
        <v>0</v>
      </c>
      <c r="I98" s="101" t="n">
        <f>'U087-Blank_input_is_rejected_wi'!N5</f>
        <v>1</v>
      </c>
    </row>
    <row r="99" ht="30" customHeight="1">
      <c r="A99" s="100" t="n">
        <v>88</v>
      </c>
      <c r="B99" s="76" t="str">
        <v>U088-A_failed_attempt_issues_no</v>
      </c>
      <c r="C99" s="101" t="n">
        <f>'U088-A_failed_attempt_issues_no'!A5</f>
        <v>0</v>
      </c>
      <c r="D99" s="101" t="n">
        <f>'U088-A_failed_attempt_issues_no'!C5</f>
        <v>0</v>
      </c>
      <c r="E99" s="101" t="n">
        <f>'U088-A_failed_attempt_issues_no'!E5</f>
        <v>1</v>
      </c>
      <c r="F99" s="101" t="n">
        <f>'U088-A_failed_attempt_issues_no'!K5</f>
        <v>0</v>
      </c>
      <c r="G99" s="101" t="n">
        <f>'U088-A_failed_attempt_issues_no'!L5</f>
        <v>0</v>
      </c>
      <c r="H99" s="102" t="n">
        <f>'U088-A_failed_attempt_issues_no'!M5</f>
        <v>0</v>
      </c>
      <c r="I99" s="101" t="n">
        <f>'U088-A_failed_attempt_issues_no'!N5</f>
        <v>1</v>
      </c>
    </row>
    <row r="100" ht="30" customHeight="1">
      <c r="A100" s="100" t="n">
        <v>89</v>
      </c>
      <c r="B100" s="76" t="str">
        <v>U089-A_placeholder_password_has</v>
      </c>
      <c r="C100" s="101" t="n">
        <f>'U089-A_placeholder_password_has'!A5</f>
        <v>0</v>
      </c>
      <c r="D100" s="101" t="n">
        <f>'U089-A_placeholder_password_has'!C5</f>
        <v>0</v>
      </c>
      <c r="E100" s="101" t="n">
        <f>'U089-A_placeholder_password_has'!E5</f>
        <v>1</v>
      </c>
      <c r="F100" s="101" t="n">
        <f>'U089-A_placeholder_password_has'!K5</f>
        <v>0</v>
      </c>
      <c r="G100" s="101" t="n">
        <f>'U089-A_placeholder_password_has'!L5</f>
        <v>0</v>
      </c>
      <c r="H100" s="102" t="n">
        <f>'U089-A_placeholder_password_has'!M5</f>
        <v>0</v>
      </c>
      <c r="I100" s="101" t="n">
        <f>'U089-A_placeholder_password_has'!N5</f>
        <v>1</v>
      </c>
    </row>
    <row r="101" ht="30" customHeight="1">
      <c r="A101" s="100" t="n">
        <v>90</v>
      </c>
      <c r="B101" s="76" t="str">
        <v>U090-A_deactivated_account_is_t</v>
      </c>
      <c r="C101" s="101" t="n">
        <f>'U090-A_deactivated_account_is_t'!A5</f>
        <v>0</v>
      </c>
      <c r="D101" s="101" t="n">
        <f>'U090-A_deactivated_account_is_t'!C5</f>
        <v>0</v>
      </c>
      <c r="E101" s="101" t="n">
        <f>'U090-A_deactivated_account_is_t'!E5</f>
        <v>1</v>
      </c>
      <c r="F101" s="101" t="n">
        <f>'U090-A_deactivated_account_is_t'!K5</f>
        <v>0</v>
      </c>
      <c r="G101" s="101" t="n">
        <f>'U090-A_deactivated_account_is_t'!L5</f>
        <v>0</v>
      </c>
      <c r="H101" s="102" t="n">
        <f>'U090-A_deactivated_account_is_t'!M5</f>
        <v>0</v>
      </c>
      <c r="I101" s="101" t="n">
        <f>'U090-A_deactivated_account_is_t'!N5</f>
        <v>1</v>
      </c>
    </row>
    <row r="102" ht="30" customHeight="1">
      <c r="A102" s="100" t="n">
        <v>91</v>
      </c>
      <c r="B102" s="76" t="str">
        <v>U091-A_deactivated_account_with</v>
      </c>
      <c r="C102" s="101" t="n">
        <f>'U091-A_deactivated_account_with'!A5</f>
        <v>0</v>
      </c>
      <c r="D102" s="101" t="n">
        <f>'U091-A_deactivated_account_with'!C5</f>
        <v>0</v>
      </c>
      <c r="E102" s="101" t="n">
        <f>'U091-A_deactivated_account_with'!E5</f>
        <v>1</v>
      </c>
      <c r="F102" s="101" t="n">
        <f>'U091-A_deactivated_account_with'!K5</f>
        <v>0</v>
      </c>
      <c r="G102" s="101" t="n">
        <f>'U091-A_deactivated_account_with'!L5</f>
        <v>0</v>
      </c>
      <c r="H102" s="102" t="n">
        <f>'U091-A_deactivated_account_with'!M5</f>
        <v>0</v>
      </c>
      <c r="I102" s="101" t="n">
        <f>'U091-A_deactivated_account_with'!N5</f>
        <v>1</v>
      </c>
    </row>
    <row r="103" ht="30" customHeight="1">
      <c r="A103" s="100" t="n">
        <v>92</v>
      </c>
      <c r="B103" s="76" t="str">
        <v>U092-A_role_that_grants_nothing</v>
      </c>
      <c r="C103" s="101" t="n">
        <f>'U092-A_role_that_grants_nothing'!A5</f>
        <v>0</v>
      </c>
      <c r="D103" s="101" t="n">
        <f>'U092-A_role_that_grants_nothing'!C5</f>
        <v>0</v>
      </c>
      <c r="E103" s="101" t="n">
        <f>'U092-A_role_that_grants_nothing'!E5</f>
        <v>1</v>
      </c>
      <c r="F103" s="101" t="n">
        <f>'U092-A_role_that_grants_nothing'!K5</f>
        <v>0</v>
      </c>
      <c r="G103" s="101" t="n">
        <f>'U092-A_role_that_grants_nothing'!L5</f>
        <v>0</v>
      </c>
      <c r="H103" s="102" t="n">
        <f>'U092-A_role_that_grants_nothing'!M5</f>
        <v>0</v>
      </c>
      <c r="I103" s="101" t="n">
        <f>'U092-A_role_that_grants_nothing'!N5</f>
        <v>1</v>
      </c>
    </row>
    <row r="104" ht="30" customHeight="1">
      <c r="A104" s="100" t="n">
        <v>93</v>
      </c>
      <c r="B104" s="76" t="str">
        <v>U093-A_custom_role_signs_in_wit</v>
      </c>
      <c r="C104" s="101" t="n">
        <f>'U093-A_custom_role_signs_in_wit'!A5</f>
        <v>0</v>
      </c>
      <c r="D104" s="101" t="n">
        <f>'U093-A_custom_role_signs_in_wit'!C5</f>
        <v>0</v>
      </c>
      <c r="E104" s="101" t="n">
        <f>'U093-A_custom_role_signs_in_wit'!E5</f>
        <v>1</v>
      </c>
      <c r="F104" s="101" t="n">
        <f>'U093-A_custom_role_signs_in_wit'!K5</f>
        <v>0</v>
      </c>
      <c r="G104" s="101" t="n">
        <f>'U093-A_custom_role_signs_in_wit'!L5</f>
        <v>0</v>
      </c>
      <c r="H104" s="102" t="n">
        <f>'U093-A_custom_role_signs_in_wit'!M5</f>
        <v>0</v>
      </c>
      <c r="I104" s="101" t="n">
        <f>'U093-A_custom_role_signs_in_wit'!N5</f>
        <v>1</v>
      </c>
    </row>
    <row r="105" ht="30" customHeight="1">
      <c r="A105" s="100" t="n">
        <v>94</v>
      </c>
      <c r="B105" s="76" t="str">
        <v>U094-A_refresh_token_can_be_exc</v>
      </c>
      <c r="C105" s="101" t="n">
        <f>'U094-A_refresh_token_can_be_exc'!A5</f>
        <v>0</v>
      </c>
      <c r="D105" s="101" t="n">
        <f>'U094-A_refresh_token_can_be_exc'!C5</f>
        <v>0</v>
      </c>
      <c r="E105" s="101" t="n">
        <f>'U094-A_refresh_token_can_be_exc'!E5</f>
        <v>1</v>
      </c>
      <c r="F105" s="101" t="n">
        <f>'U094-A_refresh_token_can_be_exc'!K5</f>
        <v>0</v>
      </c>
      <c r="G105" s="101" t="n">
        <f>'U094-A_refresh_token_can_be_exc'!L5</f>
        <v>0</v>
      </c>
      <c r="H105" s="102" t="n">
        <f>'U094-A_refresh_token_can_be_exc'!M5</f>
        <v>0</v>
      </c>
      <c r="I105" s="101" t="n">
        <f>'U094-A_refresh_token_can_be_exc'!N5</f>
        <v>1</v>
      </c>
    </row>
    <row r="106" ht="30" customHeight="1">
      <c r="A106" s="100" t="n">
        <v>95</v>
      </c>
      <c r="B106" s="76" t="str">
        <v>U095-A_refresh_token_works_only</v>
      </c>
      <c r="C106" s="101" t="n">
        <f>'U095-A_refresh_token_works_only'!A5</f>
        <v>0</v>
      </c>
      <c r="D106" s="101" t="n">
        <f>'U095-A_refresh_token_works_only'!C5</f>
        <v>0</v>
      </c>
      <c r="E106" s="101" t="n">
        <f>'U095-A_refresh_token_works_only'!E5</f>
        <v>1</v>
      </c>
      <c r="F106" s="101" t="n">
        <f>'U095-A_refresh_token_works_only'!K5</f>
        <v>0</v>
      </c>
      <c r="G106" s="101" t="n">
        <f>'U095-A_refresh_token_works_only'!L5</f>
        <v>0</v>
      </c>
      <c r="H106" s="102" t="n">
        <f>'U095-A_refresh_token_works_only'!M5</f>
        <v>0</v>
      </c>
      <c r="I106" s="101" t="n">
        <f>'U095-A_refresh_token_works_only'!N5</f>
        <v>1</v>
      </c>
    </row>
    <row r="107" ht="30" customHeight="1">
      <c r="A107" s="100" t="n">
        <v>96</v>
      </c>
      <c r="B107" s="76" t="str">
        <v>U096-A_database_error_during_re</v>
      </c>
      <c r="C107" s="101" t="n">
        <f>'U096-A_database_error_during_re'!A5</f>
        <v>0</v>
      </c>
      <c r="D107" s="101" t="n">
        <f>'U096-A_database_error_during_re'!C5</f>
        <v>0</v>
      </c>
      <c r="E107" s="101" t="n">
        <f>'U096-A_database_error_during_re'!E5</f>
        <v>1</v>
      </c>
      <c r="F107" s="101" t="n">
        <f>'U096-A_database_error_during_re'!K5</f>
        <v>0</v>
      </c>
      <c r="G107" s="101" t="n">
        <f>'U096-A_database_error_during_re'!L5</f>
        <v>0</v>
      </c>
      <c r="H107" s="102" t="n">
        <f>'U096-A_database_error_during_re'!M5</f>
        <v>0</v>
      </c>
      <c r="I107" s="101" t="n">
        <f>'U096-A_database_error_during_re'!N5</f>
        <v>1</v>
      </c>
    </row>
    <row r="108" ht="30" customHeight="1">
      <c r="A108" s="100" t="n">
        <v>97</v>
      </c>
      <c r="B108" s="76" t="str">
        <v>U097-An_expired_refresh_token_i</v>
      </c>
      <c r="C108" s="101" t="n">
        <f>'U097-An_expired_refresh_token_i'!A5</f>
        <v>0</v>
      </c>
      <c r="D108" s="101" t="n">
        <f>'U097-An_expired_refresh_token_i'!C5</f>
        <v>0</v>
      </c>
      <c r="E108" s="101" t="n">
        <f>'U097-An_expired_refresh_token_i'!E5</f>
        <v>1</v>
      </c>
      <c r="F108" s="101" t="n">
        <f>'U097-An_expired_refresh_token_i'!K5</f>
        <v>0</v>
      </c>
      <c r="G108" s="101" t="n">
        <f>'U097-An_expired_refresh_token_i'!L5</f>
        <v>0</v>
      </c>
      <c r="H108" s="102" t="n">
        <f>'U097-An_expired_refresh_token_i'!M5</f>
        <v>0</v>
      </c>
      <c r="I108" s="101" t="n">
        <f>'U097-An_expired_refresh_token_i'!N5</f>
        <v>1</v>
      </c>
    </row>
    <row r="109" ht="30" customHeight="1">
      <c r="A109" s="100" t="n">
        <v>98</v>
      </c>
      <c r="B109" s="76" t="str">
        <v>U098-A_missing_or_unknown_refre</v>
      </c>
      <c r="C109" s="101" t="n">
        <f>'U098-A_missing_or_unknown_refre'!A5</f>
        <v>0</v>
      </c>
      <c r="D109" s="101" t="n">
        <f>'U098-A_missing_or_unknown_refre'!C5</f>
        <v>0</v>
      </c>
      <c r="E109" s="101" t="n">
        <f>'U098-A_missing_or_unknown_refre'!E5</f>
        <v>1</v>
      </c>
      <c r="F109" s="101" t="n">
        <f>'U098-A_missing_or_unknown_refre'!K5</f>
        <v>0</v>
      </c>
      <c r="G109" s="101" t="n">
        <f>'U098-A_missing_or_unknown_refre'!L5</f>
        <v>0</v>
      </c>
      <c r="H109" s="102" t="n">
        <f>'U098-A_missing_or_unknown_refre'!M5</f>
        <v>0</v>
      </c>
      <c r="I109" s="101" t="n">
        <f>'U098-A_missing_or_unknown_refre'!N5</f>
        <v>1</v>
      </c>
    </row>
    <row r="110" ht="30" customHeight="1">
      <c r="A110" s="100" t="n">
        <v>99</v>
      </c>
      <c r="B110" s="76" t="str">
        <v>U099-Deactivating_an_account_en</v>
      </c>
      <c r="C110" s="101" t="n">
        <f>'U099-Deactivating_an_account_en'!A5</f>
        <v>0</v>
      </c>
      <c r="D110" s="101" t="n">
        <f>'U099-Deactivating_an_account_en'!C5</f>
        <v>0</v>
      </c>
      <c r="E110" s="101" t="n">
        <f>'U099-Deactivating_an_account_en'!E5</f>
        <v>1</v>
      </c>
      <c r="F110" s="101" t="n">
        <f>'U099-Deactivating_an_account_en'!K5</f>
        <v>0</v>
      </c>
      <c r="G110" s="101" t="n">
        <f>'U099-Deactivating_an_account_en'!L5</f>
        <v>0</v>
      </c>
      <c r="H110" s="102" t="n">
        <f>'U099-Deactivating_an_account_en'!M5</f>
        <v>0</v>
      </c>
      <c r="I110" s="101" t="n">
        <f>'U099-Deactivating_an_account_en'!N5</f>
        <v>1</v>
      </c>
    </row>
    <row r="111" ht="30" customHeight="1">
      <c r="A111" s="100" t="n">
        <v>100</v>
      </c>
      <c r="B111" s="76" t="str">
        <v>U100-Losing_every_capability_re</v>
      </c>
      <c r="C111" s="101" t="n">
        <f>'U100-Losing_every_capability_re'!A5</f>
        <v>0</v>
      </c>
      <c r="D111" s="101" t="n">
        <f>'U100-Losing_every_capability_re'!C5</f>
        <v>0</v>
      </c>
      <c r="E111" s="101" t="n">
        <f>'U100-Losing_every_capability_re'!E5</f>
        <v>1</v>
      </c>
      <c r="F111" s="101" t="n">
        <f>'U100-Losing_every_capability_re'!K5</f>
        <v>0</v>
      </c>
      <c r="G111" s="101" t="n">
        <f>'U100-Losing_every_capability_re'!L5</f>
        <v>0</v>
      </c>
      <c r="H111" s="102" t="n">
        <f>'U100-Losing_every_capability_re'!M5</f>
        <v>0</v>
      </c>
      <c r="I111" s="101" t="n">
        <f>'U100-Losing_every_capability_re'!N5</f>
        <v>1</v>
      </c>
    </row>
    <row r="112" ht="30" customHeight="1">
      <c r="A112" s="100" t="n">
        <v>101</v>
      </c>
      <c r="B112" s="76" t="str">
        <v>U101-A_capability_granted_meanw</v>
      </c>
      <c r="C112" s="101" t="n">
        <f>'U101-A_capability_granted_meanw'!A5</f>
        <v>0</v>
      </c>
      <c r="D112" s="101" t="n">
        <f>'U101-A_capability_granted_meanw'!C5</f>
        <v>0</v>
      </c>
      <c r="E112" s="101" t="n">
        <f>'U101-A_capability_granted_meanw'!E5</f>
        <v>1</v>
      </c>
      <c r="F112" s="101" t="n">
        <f>'U101-A_capability_granted_meanw'!K5</f>
        <v>0</v>
      </c>
      <c r="G112" s="101" t="n">
        <f>'U101-A_capability_granted_meanw'!L5</f>
        <v>0</v>
      </c>
      <c r="H112" s="102" t="n">
        <f>'U101-A_capability_granted_meanw'!M5</f>
        <v>0</v>
      </c>
      <c r="I112" s="101" t="n">
        <f>'U101-A_capability_granted_meanw'!N5</f>
        <v>1</v>
      </c>
    </row>
    <row r="113" ht="30" customHeight="1">
      <c r="A113" s="100" t="n">
        <v>102</v>
      </c>
      <c r="B113" s="76" t="str">
        <v>U102-Signing_out_destroys_the_s</v>
      </c>
      <c r="C113" s="101" t="n">
        <f>'U102-Signing_out_destroys_the_s'!A5</f>
        <v>0</v>
      </c>
      <c r="D113" s="101" t="n">
        <f>'U102-Signing_out_destroys_the_s'!C5</f>
        <v>0</v>
      </c>
      <c r="E113" s="101" t="n">
        <f>'U102-Signing_out_destroys_the_s'!E5</f>
        <v>1</v>
      </c>
      <c r="F113" s="101" t="n">
        <f>'U102-Signing_out_destroys_the_s'!K5</f>
        <v>0</v>
      </c>
      <c r="G113" s="101" t="n">
        <f>'U102-Signing_out_destroys_the_s'!L5</f>
        <v>0</v>
      </c>
      <c r="H113" s="102" t="n">
        <f>'U102-Signing_out_destroys_the_s'!M5</f>
        <v>0</v>
      </c>
      <c r="I113" s="101" t="n">
        <f>'U102-Signing_out_destroys_the_s'!N5</f>
        <v>1</v>
      </c>
    </row>
    <row r="114" ht="30" customHeight="1">
      <c r="A114" s="100" t="n">
        <v>103</v>
      </c>
      <c r="B114" s="76" t="str">
        <v>U103-Signing_out_twice_is_not_a</v>
      </c>
      <c r="C114" s="101" t="n">
        <f>'U103-Signing_out_twice_is_not_a'!A5</f>
        <v>0</v>
      </c>
      <c r="D114" s="101" t="n">
        <f>'U103-Signing_out_twice_is_not_a'!C5</f>
        <v>0</v>
      </c>
      <c r="E114" s="101" t="n">
        <f>'U103-Signing_out_twice_is_not_a'!E5</f>
        <v>1</v>
      </c>
      <c r="F114" s="101" t="n">
        <f>'U103-Signing_out_twice_is_not_a'!K5</f>
        <v>0</v>
      </c>
      <c r="G114" s="101" t="n">
        <f>'U103-Signing_out_twice_is_not_a'!L5</f>
        <v>0</v>
      </c>
      <c r="H114" s="102" t="n">
        <f>'U103-Signing_out_twice_is_not_a'!M5</f>
        <v>0</v>
      </c>
      <c r="I114" s="101" t="n">
        <f>'U103-Signing_out_twice_is_not_a'!N5</f>
        <v>1</v>
      </c>
    </row>
    <row r="115" ht="30" customHeight="1">
      <c r="A115" s="100" t="n">
        <v>104</v>
      </c>
      <c r="B115" s="76" t="str">
        <v>U104-Signing_out_one_session_le</v>
      </c>
      <c r="C115" s="101" t="n">
        <f>'U104-Signing_out_one_session_le'!A5</f>
        <v>0</v>
      </c>
      <c r="D115" s="101" t="n">
        <f>'U104-Signing_out_one_session_le'!C5</f>
        <v>0</v>
      </c>
      <c r="E115" s="101" t="n">
        <f>'U104-Signing_out_one_session_le'!E5</f>
        <v>1</v>
      </c>
      <c r="F115" s="101" t="n">
        <f>'U104-Signing_out_one_session_le'!K5</f>
        <v>0</v>
      </c>
      <c r="G115" s="101" t="n">
        <f>'U104-Signing_out_one_session_le'!L5</f>
        <v>0</v>
      </c>
      <c r="H115" s="102" t="n">
        <f>'U104-Signing_out_one_session_le'!M5</f>
        <v>0</v>
      </c>
      <c r="I115" s="101" t="n">
        <f>'U104-Signing_out_one_session_le'!N5</f>
        <v>1</v>
      </c>
    </row>
    <row r="116" ht="30" customHeight="1">
      <c r="A116" s="100" t="n">
        <v>105</v>
      </c>
      <c r="B116" s="76" t="str">
        <v>U105-A_linked_active_account_si</v>
      </c>
      <c r="C116" s="101" t="n">
        <f>'U105-A_linked_active_account_si'!A5</f>
        <v>0</v>
      </c>
      <c r="D116" s="101" t="n">
        <f>'U105-A_linked_active_account_si'!C5</f>
        <v>0</v>
      </c>
      <c r="E116" s="101" t="n">
        <f>'U105-A_linked_active_account_si'!E5</f>
        <v>1</v>
      </c>
      <c r="F116" s="101" t="n">
        <f>'U105-A_linked_active_account_si'!K5</f>
        <v>0</v>
      </c>
      <c r="G116" s="101" t="n">
        <f>'U105-A_linked_active_account_si'!L5</f>
        <v>0</v>
      </c>
      <c r="H116" s="102" t="n">
        <f>'U105-A_linked_active_account_si'!M5</f>
        <v>0</v>
      </c>
      <c r="I116" s="101" t="n">
        <f>'U105-A_linked_active_account_si'!N5</f>
        <v>1</v>
      </c>
    </row>
    <row r="117" ht="30" customHeight="1">
      <c r="A117" s="100" t="n">
        <v>106</v>
      </c>
      <c r="B117" s="76" t="str">
        <v>U106-Google_sign_in_issues_the_</v>
      </c>
      <c r="C117" s="101" t="n">
        <f>'U106-Google_sign_in_issues_the_'!A5</f>
        <v>0</v>
      </c>
      <c r="D117" s="101" t="n">
        <f>'U106-Google_sign_in_issues_the_'!C5</f>
        <v>0</v>
      </c>
      <c r="E117" s="101" t="n">
        <f>'U106-Google_sign_in_issues_the_'!E5</f>
        <v>1</v>
      </c>
      <c r="F117" s="101" t="n">
        <f>'U106-Google_sign_in_issues_the_'!K5</f>
        <v>0</v>
      </c>
      <c r="G117" s="101" t="n">
        <f>'U106-Google_sign_in_issues_the_'!L5</f>
        <v>0</v>
      </c>
      <c r="H117" s="102" t="n">
        <f>'U106-Google_sign_in_issues_the_'!M5</f>
        <v>0</v>
      </c>
      <c r="I117" s="101" t="n">
        <f>'U106-Google_sign_in_issues_the_'!N5</f>
        <v>1</v>
      </c>
    </row>
    <row r="118" ht="30" customHeight="1">
      <c r="A118" s="100" t="n">
        <v>107</v>
      </c>
      <c r="B118" s="76" t="str">
        <v>U107-An_account_with_both_a_pas</v>
      </c>
      <c r="C118" s="101" t="n">
        <f>'U107-An_account_with_both_a_pas'!A5</f>
        <v>0</v>
      </c>
      <c r="D118" s="101" t="n">
        <f>'U107-An_account_with_both_a_pas'!C5</f>
        <v>0</v>
      </c>
      <c r="E118" s="101" t="n">
        <f>'U107-An_account_with_both_a_pas'!E5</f>
        <v>1</v>
      </c>
      <c r="F118" s="101" t="n">
        <f>'U107-An_account_with_both_a_pas'!K5</f>
        <v>0</v>
      </c>
      <c r="G118" s="101" t="n">
        <f>'U107-An_account_with_both_a_pas'!L5</f>
        <v>0</v>
      </c>
      <c r="H118" s="102" t="n">
        <f>'U107-An_account_with_both_a_pas'!M5</f>
        <v>0</v>
      </c>
      <c r="I118" s="101" t="n">
        <f>'U107-An_account_with_both_a_pas'!N5</f>
        <v>1</v>
      </c>
    </row>
    <row r="119" ht="30" customHeight="1">
      <c r="A119" s="100" t="n">
        <v>108</v>
      </c>
      <c r="B119" s="76" t="str">
        <v>U108-A_member_signs_in_with_goo</v>
      </c>
      <c r="C119" s="101" t="n">
        <f>'U108-A_member_signs_in_with_goo'!A5</f>
        <v>0</v>
      </c>
      <c r="D119" s="101" t="n">
        <f>'U108-A_member_signs_in_with_goo'!C5</f>
        <v>0</v>
      </c>
      <c r="E119" s="101" t="n">
        <f>'U108-A_member_signs_in_with_goo'!E5</f>
        <v>1</v>
      </c>
      <c r="F119" s="101" t="n">
        <f>'U108-A_member_signs_in_with_goo'!K5</f>
        <v>0</v>
      </c>
      <c r="G119" s="101" t="n">
        <f>'U108-A_member_signs_in_with_goo'!L5</f>
        <v>0</v>
      </c>
      <c r="H119" s="102" t="n">
        <f>'U108-A_member_signs_in_with_goo'!M5</f>
        <v>0</v>
      </c>
      <c r="I119" s="101" t="n">
        <f>'U108-A_member_signs_in_with_goo'!N5</f>
        <v>1</v>
      </c>
    </row>
    <row r="120" ht="30" customHeight="1">
      <c r="A120" s="100" t="n">
        <v>109</v>
      </c>
      <c r="B120" s="76" t="str">
        <v>U109-A_token_that_does_not_veri</v>
      </c>
      <c r="C120" s="101" t="n">
        <f>'U109-A_token_that_does_not_veri'!A5</f>
        <v>0</v>
      </c>
      <c r="D120" s="101" t="n">
        <f>'U109-A_token_that_does_not_veri'!C5</f>
        <v>0</v>
      </c>
      <c r="E120" s="101" t="n">
        <f>'U109-A_token_that_does_not_veri'!E5</f>
        <v>1</v>
      </c>
      <c r="F120" s="101" t="n">
        <f>'U109-A_token_that_does_not_veri'!K5</f>
        <v>0</v>
      </c>
      <c r="G120" s="101" t="n">
        <f>'U109-A_token_that_does_not_veri'!L5</f>
        <v>0</v>
      </c>
      <c r="H120" s="102" t="n">
        <f>'U109-A_token_that_does_not_veri'!M5</f>
        <v>0</v>
      </c>
      <c r="I120" s="101" t="n">
        <f>'U109-A_token_that_does_not_veri'!N5</f>
        <v>1</v>
      </c>
    </row>
    <row r="121" ht="30" customHeight="1">
      <c r="A121" s="100" t="n">
        <v>110</v>
      </c>
      <c r="B121" s="76" t="str">
        <v>U110-The_database_is_not_consul</v>
      </c>
      <c r="C121" s="101" t="n">
        <f>'U110-The_database_is_not_consul'!A5</f>
        <v>0</v>
      </c>
      <c r="D121" s="101" t="n">
        <f>'U110-The_database_is_not_consul'!C5</f>
        <v>0</v>
      </c>
      <c r="E121" s="101" t="n">
        <f>'U110-The_database_is_not_consul'!E5</f>
        <v>1</v>
      </c>
      <c r="F121" s="101" t="n">
        <f>'U110-The_database_is_not_consul'!K5</f>
        <v>0</v>
      </c>
      <c r="G121" s="101" t="n">
        <f>'U110-The_database_is_not_consul'!L5</f>
        <v>0</v>
      </c>
      <c r="H121" s="102" t="n">
        <f>'U110-The_database_is_not_consul'!M5</f>
        <v>0</v>
      </c>
      <c r="I121" s="101" t="n">
        <f>'U110-The_database_is_not_consul'!N5</f>
        <v>1</v>
      </c>
    </row>
    <row r="122" ht="30" customHeight="1">
      <c r="A122" s="100" t="n">
        <v>111</v>
      </c>
      <c r="B122" s="76" t="str">
        <v>U111-A_google_account_nobody_li</v>
      </c>
      <c r="C122" s="101" t="n">
        <f>'U111-A_google_account_nobody_li'!A5</f>
        <v>0</v>
      </c>
      <c r="D122" s="101" t="n">
        <f>'U111-A_google_account_nobody_li'!C5</f>
        <v>0</v>
      </c>
      <c r="E122" s="101" t="n">
        <f>'U111-A_google_account_nobody_li'!E5</f>
        <v>1</v>
      </c>
      <c r="F122" s="101" t="n">
        <f>'U111-A_google_account_nobody_li'!K5</f>
        <v>0</v>
      </c>
      <c r="G122" s="101" t="n">
        <f>'U111-A_google_account_nobody_li'!L5</f>
        <v>0</v>
      </c>
      <c r="H122" s="102" t="n">
        <f>'U111-A_google_account_nobody_li'!M5</f>
        <v>0</v>
      </c>
      <c r="I122" s="101" t="n">
        <f>'U111-A_google_account_nobody_li'!N5</f>
        <v>1</v>
      </c>
    </row>
    <row r="123" ht="30" customHeight="1">
      <c r="A123" s="100" t="n">
        <v>112</v>
      </c>
      <c r="B123" s="76" t="str">
        <v>U112-An_account_created_with_th</v>
      </c>
      <c r="C123" s="101" t="n">
        <f>'U112-An_account_created_with_th'!A5</f>
        <v>0</v>
      </c>
      <c r="D123" s="101" t="n">
        <f>'U112-An_account_created_with_th'!C5</f>
        <v>0</v>
      </c>
      <c r="E123" s="101" t="n">
        <f>'U112-An_account_created_with_th'!E5</f>
        <v>1</v>
      </c>
      <c r="F123" s="101" t="n">
        <f>'U112-An_account_created_with_th'!K5</f>
        <v>0</v>
      </c>
      <c r="G123" s="101" t="n">
        <f>'U112-An_account_created_with_th'!L5</f>
        <v>0</v>
      </c>
      <c r="H123" s="102" t="n">
        <f>'U112-An_account_created_with_th'!M5</f>
        <v>0</v>
      </c>
      <c r="I123" s="101" t="n">
        <f>'U112-An_account_created_with_th'!N5</f>
        <v>1</v>
      </c>
    </row>
    <row r="124" ht="30" customHeight="1">
      <c r="A124" s="100" t="n">
        <v>113</v>
      </c>
      <c r="B124" s="76" t="str">
        <v>U113-An_account_already_linked_</v>
      </c>
      <c r="C124" s="101" t="n">
        <f>'U113-An_account_already_linked_'!A5</f>
        <v>0</v>
      </c>
      <c r="D124" s="101" t="n">
        <f>'U113-An_account_already_linked_'!C5</f>
        <v>0</v>
      </c>
      <c r="E124" s="101" t="n">
        <f>'U113-An_account_already_linked_'!E5</f>
        <v>1</v>
      </c>
      <c r="F124" s="101" t="n">
        <f>'U113-An_account_already_linked_'!K5</f>
        <v>0</v>
      </c>
      <c r="G124" s="101" t="n">
        <f>'U113-An_account_already_linked_'!L5</f>
        <v>0</v>
      </c>
      <c r="H124" s="102" t="n">
        <f>'U113-An_account_already_linked_'!M5</f>
        <v>0</v>
      </c>
      <c r="I124" s="101" t="n">
        <f>'U113-An_account_already_linked_'!N5</f>
        <v>1</v>
      </c>
    </row>
    <row r="125" ht="30" customHeight="1">
      <c r="A125" s="100" t="n">
        <v>114</v>
      </c>
      <c r="B125" s="76" t="str">
        <v>U114-An_account_deactivated_bef</v>
      </c>
      <c r="C125" s="101" t="n">
        <f>'U114-An_account_deactivated_bef'!A5</f>
        <v>0</v>
      </c>
      <c r="D125" s="101" t="n">
        <f>'U114-An_account_deactivated_bef'!C5</f>
        <v>0</v>
      </c>
      <c r="E125" s="101" t="n">
        <f>'U114-An_account_deactivated_bef'!E5</f>
        <v>1</v>
      </c>
      <c r="F125" s="101" t="n">
        <f>'U114-An_account_deactivated_bef'!K5</f>
        <v>0</v>
      </c>
      <c r="G125" s="101" t="n">
        <f>'U114-An_account_deactivated_bef'!L5</f>
        <v>0</v>
      </c>
      <c r="H125" s="102" t="n">
        <f>'U114-An_account_deactivated_bef'!M5</f>
        <v>0</v>
      </c>
      <c r="I125" s="101" t="n">
        <f>'U114-An_account_deactivated_bef'!N5</f>
        <v>1</v>
      </c>
    </row>
    <row r="126" ht="30" customHeight="1">
      <c r="A126" s="100" t="n">
        <v>115</v>
      </c>
      <c r="B126" s="76" t="str">
        <v>U115-A_deactivated_account_link</v>
      </c>
      <c r="C126" s="101" t="n">
        <f>'U115-A_deactivated_account_link'!A5</f>
        <v>0</v>
      </c>
      <c r="D126" s="101" t="n">
        <f>'U115-A_deactivated_account_link'!C5</f>
        <v>0</v>
      </c>
      <c r="E126" s="101" t="n">
        <f>'U115-A_deactivated_account_link'!E5</f>
        <v>1</v>
      </c>
      <c r="F126" s="101" t="n">
        <f>'U115-A_deactivated_account_link'!K5</f>
        <v>0</v>
      </c>
      <c r="G126" s="101" t="n">
        <f>'U115-A_deactivated_account_link'!L5</f>
        <v>0</v>
      </c>
      <c r="H126" s="102" t="n">
        <f>'U115-A_deactivated_account_link'!M5</f>
        <v>0</v>
      </c>
      <c r="I126" s="101" t="n">
        <f>'U115-A_deactivated_account_link'!N5</f>
        <v>1</v>
      </c>
    </row>
    <row r="127" ht="30" customHeight="1">
      <c r="A127" s="100" t="n">
        <v>116</v>
      </c>
      <c r="B127" s="76" t="str">
        <v>U116-A_deactivated_linked_accou</v>
      </c>
      <c r="C127" s="101" t="n">
        <f>'U116-A_deactivated_linked_accou'!A5</f>
        <v>0</v>
      </c>
      <c r="D127" s="101" t="n">
        <f>'U116-A_deactivated_linked_accou'!C5</f>
        <v>0</v>
      </c>
      <c r="E127" s="101" t="n">
        <f>'U116-A_deactivated_linked_accou'!E5</f>
        <v>1</v>
      </c>
      <c r="F127" s="101" t="n">
        <f>'U116-A_deactivated_linked_accou'!K5</f>
        <v>0</v>
      </c>
      <c r="G127" s="101" t="n">
        <f>'U116-A_deactivated_linked_accou'!L5</f>
        <v>0</v>
      </c>
      <c r="H127" s="102" t="n">
        <f>'U116-A_deactivated_linked_accou'!M5</f>
        <v>0</v>
      </c>
      <c r="I127" s="101" t="n">
        <f>'U116-A_deactivated_linked_accou'!N5</f>
        <v>1</v>
      </c>
    </row>
    <row r="128" ht="30" customHeight="1">
      <c r="A128" s="100" t="n">
        <v>117</v>
      </c>
      <c r="B128" s="76" t="str">
        <v>U117-A_linked_account_whose_rol</v>
      </c>
      <c r="C128" s="101" t="n">
        <f>'U117-A_linked_account_whose_rol'!A5</f>
        <v>0</v>
      </c>
      <c r="D128" s="101" t="n">
        <f>'U117-A_linked_account_whose_rol'!C5</f>
        <v>0</v>
      </c>
      <c r="E128" s="101" t="n">
        <f>'U117-A_linked_account_whose_rol'!E5</f>
        <v>1</v>
      </c>
      <c r="F128" s="101" t="n">
        <f>'U117-A_linked_account_whose_rol'!K5</f>
        <v>0</v>
      </c>
      <c r="G128" s="101" t="n">
        <f>'U117-A_linked_account_whose_rol'!L5</f>
        <v>0</v>
      </c>
      <c r="H128" s="102" t="n">
        <f>'U117-A_linked_account_whose_rol'!M5</f>
        <v>0</v>
      </c>
      <c r="I128" s="101" t="n">
        <f>'U117-A_linked_account_whose_rol'!N5</f>
        <v>1</v>
      </c>
    </row>
    <row r="129" ht="30" customHeight="1">
      <c r="A129" s="100" t="n">
        <v>118</v>
      </c>
      <c r="B129" s="76" t="str">
        <v>U118-A_google_only_account_cann</v>
      </c>
      <c r="C129" s="101" t="n">
        <f>'U118-A_google_only_account_cann'!A5</f>
        <v>0</v>
      </c>
      <c r="D129" s="101" t="n">
        <f>'U118-A_google_only_account_cann'!C5</f>
        <v>0</v>
      </c>
      <c r="E129" s="101" t="n">
        <f>'U118-A_google_only_account_cann'!E5</f>
        <v>1</v>
      </c>
      <c r="F129" s="101" t="n">
        <f>'U118-A_google_only_account_cann'!K5</f>
        <v>0</v>
      </c>
      <c r="G129" s="101" t="n">
        <f>'U118-A_google_only_account_cann'!L5</f>
        <v>0</v>
      </c>
      <c r="H129" s="102" t="n">
        <f>'U118-A_google_only_account_cann'!M5</f>
        <v>0</v>
      </c>
      <c r="I129" s="101" t="n">
        <f>'U118-A_google_only_account_cann'!N5</f>
        <v>1</v>
      </c>
    </row>
    <row r="130" ht="30" customHeight="1">
      <c r="A130" s="100" t="n">
        <v>119</v>
      </c>
      <c r="B130" s="76" t="str">
        <v>U119-A_session_started_with_goo</v>
      </c>
      <c r="C130" s="101" t="n">
        <f>'U119-A_session_started_with_goo'!A5</f>
        <v>0</v>
      </c>
      <c r="D130" s="101" t="n">
        <f>'U119-A_session_started_with_goo'!C5</f>
        <v>0</v>
      </c>
      <c r="E130" s="101" t="n">
        <f>'U119-A_session_started_with_goo'!E5</f>
        <v>1</v>
      </c>
      <c r="F130" s="101" t="n">
        <f>'U119-A_session_started_with_goo'!K5</f>
        <v>0</v>
      </c>
      <c r="G130" s="101" t="n">
        <f>'U119-A_session_started_with_goo'!L5</f>
        <v>0</v>
      </c>
      <c r="H130" s="102" t="n">
        <f>'U119-A_session_started_with_goo'!M5</f>
        <v>0</v>
      </c>
      <c r="I130" s="101" t="n">
        <f>'U119-A_session_started_with_goo'!N5</f>
        <v>1</v>
      </c>
    </row>
    <row r="131" ht="30" customHeight="1">
      <c r="A131" s="100" t="n">
        <v>120</v>
      </c>
      <c r="B131" s="76" t="str">
        <v>U120-Signing_out_of_a_google_se</v>
      </c>
      <c r="C131" s="101" t="n">
        <f>'U120-Signing_out_of_a_google_se'!A5</f>
        <v>0</v>
      </c>
      <c r="D131" s="101" t="n">
        <f>'U120-Signing_out_of_a_google_se'!C5</f>
        <v>0</v>
      </c>
      <c r="E131" s="101" t="n">
        <f>'U120-Signing_out_of_a_google_se'!E5</f>
        <v>1</v>
      </c>
      <c r="F131" s="101" t="n">
        <f>'U120-Signing_out_of_a_google_se'!K5</f>
        <v>0</v>
      </c>
      <c r="G131" s="101" t="n">
        <f>'U120-Signing_out_of_a_google_se'!L5</f>
        <v>0</v>
      </c>
      <c r="H131" s="102" t="n">
        <f>'U120-Signing_out_of_a_google_se'!M5</f>
        <v>0</v>
      </c>
      <c r="I131" s="101" t="n">
        <f>'U120-Signing_out_of_a_google_se'!N5</f>
        <v>1</v>
      </c>
    </row>
    <row r="132" ht="30" customHeight="1">
      <c r="A132" s="100" t="n">
        <v>121</v>
      </c>
      <c r="B132" s="76" t="str">
        <v>U121-Deactivating_a_google_acco</v>
      </c>
      <c r="C132" s="101" t="n">
        <f>'U121-Deactivating_a_google_acco'!A5</f>
        <v>0</v>
      </c>
      <c r="D132" s="101" t="n">
        <f>'U121-Deactivating_a_google_acco'!C5</f>
        <v>0</v>
      </c>
      <c r="E132" s="101" t="n">
        <f>'U121-Deactivating_a_google_acco'!E5</f>
        <v>1</v>
      </c>
      <c r="F132" s="101" t="n">
        <f>'U121-Deactivating_a_google_acco'!K5</f>
        <v>0</v>
      </c>
      <c r="G132" s="101" t="n">
        <f>'U121-Deactivating_a_google_acco'!L5</f>
        <v>0</v>
      </c>
      <c r="H132" s="102" t="n">
        <f>'U121-Deactivating_a_google_acco'!M5</f>
        <v>0</v>
      </c>
      <c r="I132" s="101" t="n">
        <f>'U121-Deactivating_a_google_acco'!N5</f>
        <v>1</v>
      </c>
    </row>
    <row r="133" ht="30" customHeight="1">
      <c r="A133" s="100" t="n">
        <v>122</v>
      </c>
      <c r="B133" s="76" t="str">
        <v>U122-A_payload_with_a_verified_</v>
      </c>
      <c r="C133" s="101" t="n">
        <f>'U122-A_payload_with_a_verified_'!A5</f>
        <v>0</v>
      </c>
      <c r="D133" s="101" t="n">
        <f>'U122-A_payload_with_a_verified_'!C5</f>
        <v>0</v>
      </c>
      <c r="E133" s="101" t="n">
        <f>'U122-A_payload_with_a_verified_'!E5</f>
        <v>1</v>
      </c>
      <c r="F133" s="101" t="n">
        <f>'U122-A_payload_with_a_verified_'!K5</f>
        <v>0</v>
      </c>
      <c r="G133" s="101" t="n">
        <f>'U122-A_payload_with_a_verified_'!L5</f>
        <v>0</v>
      </c>
      <c r="H133" s="102" t="n">
        <f>'U122-A_payload_with_a_verified_'!M5</f>
        <v>0</v>
      </c>
      <c r="I133" s="101" t="n">
        <f>'U122-A_payload_with_a_verified_'!N5</f>
        <v>1</v>
      </c>
    </row>
    <row r="134" ht="30" customHeight="1">
      <c r="A134" s="100" t="n">
        <v>123</v>
      </c>
      <c r="B134" s="76" t="str">
        <v>U123-A_payload_whose_email_is_n</v>
      </c>
      <c r="C134" s="101" t="n">
        <f>'U123-A_payload_whose_email_is_n'!A5</f>
        <v>0</v>
      </c>
      <c r="D134" s="101" t="n">
        <f>'U123-A_payload_whose_email_is_n'!C5</f>
        <v>0</v>
      </c>
      <c r="E134" s="101" t="n">
        <f>'U123-A_payload_whose_email_is_n'!E5</f>
        <v>1</v>
      </c>
      <c r="F134" s="101" t="n">
        <f>'U123-A_payload_whose_email_is_n'!K5</f>
        <v>0</v>
      </c>
      <c r="G134" s="101" t="n">
        <f>'U123-A_payload_whose_email_is_n'!L5</f>
        <v>0</v>
      </c>
      <c r="H134" s="102" t="n">
        <f>'U123-A_payload_whose_email_is_n'!M5</f>
        <v>0</v>
      </c>
      <c r="I134" s="101" t="n">
        <f>'U123-A_payload_whose_email_is_n'!N5</f>
        <v>1</v>
      </c>
    </row>
    <row r="135" ht="30" customHeight="1">
      <c r="A135" s="100" t="n">
        <v>124</v>
      </c>
      <c r="B135" s="76" t="str">
        <v>U124-A_payload_without_a_usable</v>
      </c>
      <c r="C135" s="101" t="n">
        <f>'U124-A_payload_without_a_usable'!A5</f>
        <v>0</v>
      </c>
      <c r="D135" s="101" t="n">
        <f>'U124-A_payload_without_a_usable'!C5</f>
        <v>0</v>
      </c>
      <c r="E135" s="101" t="n">
        <f>'U124-A_payload_without_a_usable'!E5</f>
        <v>1</v>
      </c>
      <c r="F135" s="101" t="n">
        <f>'U124-A_payload_without_a_usable'!K5</f>
        <v>0</v>
      </c>
      <c r="G135" s="101" t="n">
        <f>'U124-A_payload_without_a_usable'!L5</f>
        <v>0</v>
      </c>
      <c r="H135" s="102" t="n">
        <f>'U124-A_payload_without_a_usable'!M5</f>
        <v>0</v>
      </c>
      <c r="I135" s="101" t="n">
        <f>'U124-A_payload_without_a_usable'!N5</f>
        <v>1</v>
      </c>
    </row>
    <row r="136" ht="30" customHeight="1">
      <c r="A136" s="100" t="n">
        <v>125</v>
      </c>
      <c r="B136" s="76" t="str">
        <v>U125-A_blank_token_is_refused_w</v>
      </c>
      <c r="C136" s="101" t="n">
        <f>'U125-A_blank_token_is_refused_w'!A5</f>
        <v>0</v>
      </c>
      <c r="D136" s="101" t="n">
        <f>'U125-A_blank_token_is_refused_w'!C5</f>
        <v>0</v>
      </c>
      <c r="E136" s="101" t="n">
        <f>'U125-A_blank_token_is_refused_w'!E5</f>
        <v>1</v>
      </c>
      <c r="F136" s="101" t="n">
        <f>'U125-A_blank_token_is_refused_w'!K5</f>
        <v>0</v>
      </c>
      <c r="G136" s="101" t="n">
        <f>'U125-A_blank_token_is_refused_w'!L5</f>
        <v>0</v>
      </c>
      <c r="H136" s="102" t="n">
        <f>'U125-A_blank_token_is_refused_w'!M5</f>
        <v>0</v>
      </c>
      <c r="I136" s="101" t="n">
        <f>'U125-A_blank_token_is_refused_w'!N5</f>
        <v>1</v>
      </c>
    </row>
    <row r="137" ht="30" customHeight="1">
      <c r="A137" s="100" t="n">
        <v>126</v>
      </c>
      <c r="B137" s="76" t="str">
        <v>U126-A_malformed_token_returns_</v>
      </c>
      <c r="C137" s="101" t="n">
        <f>'U126-A_malformed_token_returns_'!A5</f>
        <v>0</v>
      </c>
      <c r="D137" s="101" t="n">
        <f>'U126-A_malformed_token_returns_'!C5</f>
        <v>0</v>
      </c>
      <c r="E137" s="101" t="n">
        <f>'U126-A_malformed_token_returns_'!E5</f>
        <v>1</v>
      </c>
      <c r="F137" s="101" t="n">
        <f>'U126-A_malformed_token_returns_'!K5</f>
        <v>0</v>
      </c>
      <c r="G137" s="101" t="n">
        <f>'U126-A_malformed_token_returns_'!L5</f>
        <v>0</v>
      </c>
      <c r="H137" s="102" t="n">
        <f>'U126-A_malformed_token_returns_'!M5</f>
        <v>0</v>
      </c>
      <c r="I137" s="101" t="n">
        <f>'U126-A_malformed_token_returns_'!N5</f>
        <v>1</v>
      </c>
    </row>
    <row r="138" ht="30" customHeight="1">
      <c r="A138" s="100" t="n">
        <v>127</v>
      </c>
      <c r="B138" s="76" t="str">
        <v>U127-A_well_formed_but_forged_t</v>
      </c>
      <c r="C138" s="101" t="n">
        <f>'U127-A_well_formed_but_forged_t'!A5</f>
        <v>0</v>
      </c>
      <c r="D138" s="101" t="n">
        <f>'U127-A_well_formed_but_forged_t'!C5</f>
        <v>0</v>
      </c>
      <c r="E138" s="101" t="n">
        <f>'U127-A_well_formed_but_forged_t'!E5</f>
        <v>1</v>
      </c>
      <c r="F138" s="101" t="n">
        <f>'U127-A_well_formed_but_forged_t'!K5</f>
        <v>0</v>
      </c>
      <c r="G138" s="101" t="n">
        <f>'U127-A_well_formed_but_forged_t'!L5</f>
        <v>0</v>
      </c>
      <c r="H138" s="102" t="n">
        <f>'U127-A_well_formed_but_forged_t'!M5</f>
        <v>0</v>
      </c>
      <c r="I138" s="101" t="n">
        <f>'U127-A_well_formed_but_forged_t'!N5</f>
        <v>1</v>
      </c>
    </row>
    <row r="139" ht="30" customHeight="1">
      <c r="A139" s="100" t="n">
        <v>128</v>
      </c>
      <c r="B139" s="76" t="str">
        <v>U128-The_access_token_identifie</v>
      </c>
      <c r="C139" s="101" t="n">
        <f>'U128-The_access_token_identifie'!A5</f>
        <v>0</v>
      </c>
      <c r="D139" s="101" t="n">
        <f>'U128-The_access_token_identifie'!C5</f>
        <v>0</v>
      </c>
      <c r="E139" s="101" t="n">
        <f>'U128-The_access_token_identifie'!E5</f>
        <v>1</v>
      </c>
      <c r="F139" s="101" t="n">
        <f>'U128-The_access_token_identifie'!K5</f>
        <v>0</v>
      </c>
      <c r="G139" s="101" t="n">
        <f>'U128-The_access_token_identifie'!L5</f>
        <v>0</v>
      </c>
      <c r="H139" s="102" t="n">
        <f>'U128-The_access_token_identifie'!M5</f>
        <v>0</v>
      </c>
      <c r="I139" s="101" t="n">
        <f>'U128-The_access_token_identifie'!N5</f>
        <v>1</v>
      </c>
    </row>
    <row r="140" ht="30" customHeight="1">
      <c r="A140" s="100" t="n">
        <v>129</v>
      </c>
      <c r="B140" s="76" t="str">
        <v>U129-The_access_token_carries_o</v>
      </c>
      <c r="C140" s="101" t="n">
        <f>'U129-The_access_token_carries_o'!A5</f>
        <v>0</v>
      </c>
      <c r="D140" s="101" t="n">
        <f>'U129-The_access_token_carries_o'!C5</f>
        <v>0</v>
      </c>
      <c r="E140" s="101" t="n">
        <f>'U129-The_access_token_carries_o'!E5</f>
        <v>1</v>
      </c>
      <c r="F140" s="101" t="n">
        <f>'U129-The_access_token_carries_o'!K5</f>
        <v>0</v>
      </c>
      <c r="G140" s="101" t="n">
        <f>'U129-The_access_token_carries_o'!L5</f>
        <v>0</v>
      </c>
      <c r="H140" s="102" t="n">
        <f>'U129-The_access_token_carries_o'!M5</f>
        <v>0</v>
      </c>
      <c r="I140" s="101" t="n">
        <f>'U129-The_access_token_carries_o'!N5</f>
        <v>1</v>
      </c>
    </row>
    <row r="141" ht="30" customHeight="1">
      <c r="A141" s="100" t="n">
        <v>130</v>
      </c>
      <c r="B141" s="76" t="str">
        <v>U130-An_access_token_for_a_memb</v>
      </c>
      <c r="C141" s="101" t="n">
        <f>'U130-An_access_token_for_a_memb'!A5</f>
        <v>0</v>
      </c>
      <c r="D141" s="101" t="n">
        <f>'U130-An_access_token_for_a_memb'!C5</f>
        <v>0</v>
      </c>
      <c r="E141" s="101" t="n">
        <f>'U130-An_access_token_for_a_memb'!E5</f>
        <v>1</v>
      </c>
      <c r="F141" s="101" t="n">
        <f>'U130-An_access_token_for_a_memb'!K5</f>
        <v>0</v>
      </c>
      <c r="G141" s="101" t="n">
        <f>'U130-An_access_token_for_a_memb'!L5</f>
        <v>0</v>
      </c>
      <c r="H141" s="102" t="n">
        <f>'U130-An_access_token_for_a_memb'!M5</f>
        <v>0</v>
      </c>
      <c r="I141" s="101" t="n">
        <f>'U130-An_access_token_for_a_memb'!N5</f>
        <v>1</v>
      </c>
    </row>
    <row r="142" ht="30" customHeight="1">
      <c r="A142" s="100" t="n">
        <v>131</v>
      </c>
      <c r="B142" s="76" t="str">
        <v>U131-The_access_token_never_car</v>
      </c>
      <c r="C142" s="101" t="n">
        <f>'U131-The_access_token_never_car'!A5</f>
        <v>0</v>
      </c>
      <c r="D142" s="101" t="n">
        <f>'U131-The_access_token_never_car'!C5</f>
        <v>0</v>
      </c>
      <c r="E142" s="101" t="n">
        <f>'U131-The_access_token_never_car'!E5</f>
        <v>1</v>
      </c>
      <c r="F142" s="101" t="n">
        <f>'U131-The_access_token_never_car'!K5</f>
        <v>0</v>
      </c>
      <c r="G142" s="101" t="n">
        <f>'U131-The_access_token_never_car'!L5</f>
        <v>0</v>
      </c>
      <c r="H142" s="102" t="n">
        <f>'U131-The_access_token_never_car'!M5</f>
        <v>0</v>
      </c>
      <c r="I142" s="101" t="n">
        <f>'U131-The_access_token_never_car'!N5</f>
        <v>1</v>
      </c>
    </row>
    <row r="143" ht="30" customHeight="1">
      <c r="A143" s="100" t="n">
        <v>132</v>
      </c>
      <c r="B143" s="76" t="str">
        <v>U132-Every_access_token_has_its</v>
      </c>
      <c r="C143" s="101" t="n">
        <f>'U132-Every_access_token_has_its'!A5</f>
        <v>0</v>
      </c>
      <c r="D143" s="101" t="n">
        <f>'U132-Every_access_token_has_its'!C5</f>
        <v>0</v>
      </c>
      <c r="E143" s="101" t="n">
        <f>'U132-Every_access_token_has_its'!E5</f>
        <v>1</v>
      </c>
      <c r="F143" s="101" t="n">
        <f>'U132-Every_access_token_has_its'!K5</f>
        <v>0</v>
      </c>
      <c r="G143" s="101" t="n">
        <f>'U132-Every_access_token_has_its'!L5</f>
        <v>0</v>
      </c>
      <c r="H143" s="102" t="n">
        <f>'U132-Every_access_token_has_its'!M5</f>
        <v>0</v>
      </c>
      <c r="I143" s="101" t="n">
        <f>'U132-Every_access_token_has_its'!N5</f>
        <v>1</v>
      </c>
    </row>
    <row r="144" ht="30" customHeight="1">
      <c r="A144" s="100" t="n">
        <v>133</v>
      </c>
      <c r="B144" s="76" t="str">
        <v>U133-The_access_token_expires_a</v>
      </c>
      <c r="C144" s="101" t="n">
        <f>'U133-The_access_token_expires_a'!A5</f>
        <v>0</v>
      </c>
      <c r="D144" s="101" t="n">
        <f>'U133-The_access_token_expires_a'!C5</f>
        <v>0</v>
      </c>
      <c r="E144" s="101" t="n">
        <f>'U133-The_access_token_expires_a'!E5</f>
        <v>1</v>
      </c>
      <c r="F144" s="101" t="n">
        <f>'U133-The_access_token_expires_a'!K5</f>
        <v>0</v>
      </c>
      <c r="G144" s="101" t="n">
        <f>'U133-The_access_token_expires_a'!L5</f>
        <v>0</v>
      </c>
      <c r="H144" s="102" t="n">
        <f>'U133-The_access_token_expires_a'!M5</f>
        <v>0</v>
      </c>
      <c r="I144" s="101" t="n">
        <f>'U133-The_access_token_expires_a'!N5</f>
        <v>1</v>
      </c>
    </row>
    <row r="145" ht="30" customHeight="1">
      <c r="A145" s="100" t="n">
        <v>134</v>
      </c>
      <c r="B145" s="76" t="str">
        <v>U134-The_access_token_validates</v>
      </c>
      <c r="C145" s="101" t="n">
        <f>'U134-The_access_token_validates'!A5</f>
        <v>0</v>
      </c>
      <c r="D145" s="101" t="n">
        <f>'U134-The_access_token_validates'!C5</f>
        <v>0</v>
      </c>
      <c r="E145" s="101" t="n">
        <f>'U134-The_access_token_validates'!E5</f>
        <v>1</v>
      </c>
      <c r="F145" s="101" t="n">
        <f>'U134-The_access_token_validates'!K5</f>
        <v>0</v>
      </c>
      <c r="G145" s="101" t="n">
        <f>'U134-The_access_token_validates'!L5</f>
        <v>0</v>
      </c>
      <c r="H145" s="102" t="n">
        <f>'U134-The_access_token_validates'!M5</f>
        <v>0</v>
      </c>
      <c r="I145" s="101" t="n">
        <f>'U134-The_access_token_validates'!N5</f>
        <v>1</v>
      </c>
    </row>
    <row r="146" ht="30" customHeight="1">
      <c r="A146" s="100" t="n">
        <v>135</v>
      </c>
      <c r="B146" s="76" t="str">
        <v>U135-A_token_signed_with_anothe</v>
      </c>
      <c r="C146" s="101" t="n">
        <f>'U135-A_token_signed_with_anothe'!A5</f>
        <v>0</v>
      </c>
      <c r="D146" s="101" t="n">
        <f>'U135-A_token_signed_with_anothe'!C5</f>
        <v>0</v>
      </c>
      <c r="E146" s="101" t="n">
        <f>'U135-A_token_signed_with_anothe'!E5</f>
        <v>1</v>
      </c>
      <c r="F146" s="101" t="n">
        <f>'U135-A_token_signed_with_anothe'!K5</f>
        <v>0</v>
      </c>
      <c r="G146" s="101" t="n">
        <f>'U135-A_token_signed_with_anothe'!L5</f>
        <v>0</v>
      </c>
      <c r="H146" s="102" t="n">
        <f>'U135-A_token_signed_with_anothe'!M5</f>
        <v>0</v>
      </c>
      <c r="I146" s="101" t="n">
        <f>'U135-A_token_signed_with_anothe'!N5</f>
        <v>1</v>
      </c>
    </row>
    <row r="147" ht="30" customHeight="1">
      <c r="A147" s="100" t="n">
        <v>136</v>
      </c>
      <c r="B147" s="76" t="str">
        <v>U136-A_tampered_token_is_reject</v>
      </c>
      <c r="C147" s="101" t="n">
        <f>'U136-A_tampered_token_is_reject'!A5</f>
        <v>0</v>
      </c>
      <c r="D147" s="101" t="n">
        <f>'U136-A_tampered_token_is_reject'!C5</f>
        <v>0</v>
      </c>
      <c r="E147" s="101" t="n">
        <f>'U136-A_tampered_token_is_reject'!E5</f>
        <v>1</v>
      </c>
      <c r="F147" s="101" t="n">
        <f>'U136-A_tampered_token_is_reject'!K5</f>
        <v>0</v>
      </c>
      <c r="G147" s="101" t="n">
        <f>'U136-A_tampered_token_is_reject'!L5</f>
        <v>0</v>
      </c>
      <c r="H147" s="102" t="n">
        <f>'U136-A_tampered_token_is_reject'!M5</f>
        <v>0</v>
      </c>
      <c r="I147" s="101" t="n">
        <f>'U136-A_tampered_token_is_reject'!N5</f>
        <v>1</v>
      </c>
    </row>
    <row r="148" ht="30" customHeight="1">
      <c r="A148" s="100" t="n">
        <v>137</v>
      </c>
      <c r="B148" s="76" t="str">
        <v>U137-A_token_from_another_issue</v>
      </c>
      <c r="C148" s="101" t="n">
        <f>'U137-A_token_from_another_issue'!A5</f>
        <v>0</v>
      </c>
      <c r="D148" s="101" t="n">
        <f>'U137-A_token_from_another_issue'!C5</f>
        <v>0</v>
      </c>
      <c r="E148" s="101" t="n">
        <f>'U137-A_token_from_another_issue'!E5</f>
        <v>1</v>
      </c>
      <c r="F148" s="101" t="n">
        <f>'U137-A_token_from_another_issue'!K5</f>
        <v>0</v>
      </c>
      <c r="G148" s="101" t="n">
        <f>'U137-A_token_from_another_issue'!L5</f>
        <v>0</v>
      </c>
      <c r="H148" s="102" t="n">
        <f>'U137-A_token_from_another_issue'!M5</f>
        <v>0</v>
      </c>
      <c r="I148" s="101" t="n">
        <f>'U137-A_token_from_another_issue'!N5</f>
        <v>1</v>
      </c>
    </row>
    <row r="149" ht="30" customHeight="1">
      <c r="A149" s="100" t="n">
        <v>138</v>
      </c>
      <c r="B149" s="76" t="str">
        <v>U138-A_fresh_token_carries_no_n</v>
      </c>
      <c r="C149" s="101" t="n">
        <f>'U138-A_fresh_token_carries_no_n'!A5</f>
        <v>0</v>
      </c>
      <c r="D149" s="101" t="n">
        <f>'U138-A_fresh_token_carries_no_n'!C5</f>
        <v>0</v>
      </c>
      <c r="E149" s="101" t="n">
        <f>'U138-A_fresh_token_carries_no_n'!E5</f>
        <v>1</v>
      </c>
      <c r="F149" s="101" t="n">
        <f>'U138-A_fresh_token_carries_no_n'!K5</f>
        <v>0</v>
      </c>
      <c r="G149" s="101" t="n">
        <f>'U138-A_fresh_token_carries_no_n'!L5</f>
        <v>0</v>
      </c>
      <c r="H149" s="102" t="n">
        <f>'U138-A_fresh_token_carries_no_n'!M5</f>
        <v>0</v>
      </c>
      <c r="I149" s="101" t="n">
        <f>'U138-A_fresh_token_carries_no_n'!N5</f>
        <v>1</v>
      </c>
    </row>
    <row r="150" ht="30" customHeight="1">
      <c r="A150" s="100" t="n">
        <v>139</v>
      </c>
      <c r="B150" s="76" t="str">
        <v>U139-A_token_validates_against_</v>
      </c>
      <c r="C150" s="101" t="n">
        <f>'U139-A_token_validates_against_'!A5</f>
        <v>0</v>
      </c>
      <c r="D150" s="101" t="n">
        <f>'U139-A_token_validates_against_'!C5</f>
        <v>0</v>
      </c>
      <c r="E150" s="101" t="n">
        <f>'U139-A_token_validates_against_'!E5</f>
        <v>1</v>
      </c>
      <c r="F150" s="101" t="n">
        <f>'U139-A_token_validates_against_'!K5</f>
        <v>0</v>
      </c>
      <c r="G150" s="101" t="n">
        <f>'U139-A_token_validates_against_'!L5</f>
        <v>0</v>
      </c>
      <c r="H150" s="102" t="n">
        <f>'U139-A_token_validates_against_'!M5</f>
        <v>0</v>
      </c>
      <c r="I150" s="101" t="n">
        <f>'U139-A_token_validates_against_'!N5</f>
        <v>1</v>
      </c>
    </row>
    <row r="151" ht="30" customHeight="1">
      <c r="A151" s="100" t="n">
        <v>140</v>
      </c>
      <c r="B151" s="76" t="str">
        <v>U140-Refresh_tokens_are_unique_</v>
      </c>
      <c r="C151" s="101" t="n">
        <f>'U140-Refresh_tokens_are_unique_'!A5</f>
        <v>0</v>
      </c>
      <c r="D151" s="101" t="n">
        <f>'U140-Refresh_tokens_are_unique_'!C5</f>
        <v>0</v>
      </c>
      <c r="E151" s="101" t="n">
        <f>'U140-Refresh_tokens_are_unique_'!E5</f>
        <v>1</v>
      </c>
      <c r="F151" s="101" t="n">
        <f>'U140-Refresh_tokens_are_unique_'!K5</f>
        <v>0</v>
      </c>
      <c r="G151" s="101" t="n">
        <f>'U140-Refresh_tokens_are_unique_'!L5</f>
        <v>0</v>
      </c>
      <c r="H151" s="102" t="n">
        <f>'U140-Refresh_tokens_are_unique_'!M5</f>
        <v>0</v>
      </c>
      <c r="I151" s="101" t="n">
        <f>'U140-Refresh_tokens_are_unique_'!N5</f>
        <v>1</v>
      </c>
    </row>
    <row r="152" ht="30" customHeight="1">
      <c r="A152" s="100" t="n">
        <v>141</v>
      </c>
      <c r="B152" s="76" t="str">
        <v>U141-The_refresh_token_lifetime</v>
      </c>
      <c r="C152" s="101" t="n">
        <f>'U141-The_refresh_token_lifetime'!A5</f>
        <v>0</v>
      </c>
      <c r="D152" s="101" t="n">
        <f>'U141-The_refresh_token_lifetime'!C5</f>
        <v>0</v>
      </c>
      <c r="E152" s="101" t="n">
        <f>'U141-The_refresh_token_lifetime'!E5</f>
        <v>1</v>
      </c>
      <c r="F152" s="101" t="n">
        <f>'U141-The_refresh_token_lifetime'!K5</f>
        <v>0</v>
      </c>
      <c r="G152" s="101" t="n">
        <f>'U141-The_refresh_token_lifetime'!L5</f>
        <v>0</v>
      </c>
      <c r="H152" s="102" t="n">
        <f>'U141-The_refresh_token_lifetime'!M5</f>
        <v>0</v>
      </c>
      <c r="I152" s="101" t="n">
        <f>'U141-The_refresh_token_lifetime'!N5</f>
        <v>1</v>
      </c>
    </row>
    <row r="153" ht="30" customHeight="1">
      <c r="A153" s="100" t="n">
        <v>142</v>
      </c>
      <c r="B153" s="76" t="str">
        <v>U142-A_password_verifies_agains</v>
      </c>
      <c r="C153" s="101" t="n">
        <f>'U142-A_password_verifies_agains'!A5</f>
        <v>0</v>
      </c>
      <c r="D153" s="101" t="n">
        <f>'U142-A_password_verifies_agains'!C5</f>
        <v>0</v>
      </c>
      <c r="E153" s="101" t="n">
        <f>'U142-A_password_verifies_agains'!E5</f>
        <v>1</v>
      </c>
      <c r="F153" s="101" t="n">
        <f>'U142-A_password_verifies_agains'!K5</f>
        <v>0</v>
      </c>
      <c r="G153" s="101" t="n">
        <f>'U142-A_password_verifies_agains'!L5</f>
        <v>0</v>
      </c>
      <c r="H153" s="102" t="n">
        <f>'U142-A_password_verifies_agains'!M5</f>
        <v>0</v>
      </c>
      <c r="I153" s="101" t="n">
        <f>'U142-A_password_verifies_agains'!N5</f>
        <v>1</v>
      </c>
    </row>
    <row r="154" ht="30" customHeight="1">
      <c r="A154" s="100" t="n">
        <v>143</v>
      </c>
      <c r="B154" s="76" t="str">
        <v>U143-A_different_password_does_</v>
      </c>
      <c r="C154" s="101" t="n">
        <f>'U143-A_different_password_does_'!A5</f>
        <v>0</v>
      </c>
      <c r="D154" s="101" t="n">
        <f>'U143-A_different_password_does_'!C5</f>
        <v>0</v>
      </c>
      <c r="E154" s="101" t="n">
        <f>'U143-A_different_password_does_'!E5</f>
        <v>1</v>
      </c>
      <c r="F154" s="101" t="n">
        <f>'U143-A_different_password_does_'!K5</f>
        <v>0</v>
      </c>
      <c r="G154" s="101" t="n">
        <f>'U143-A_different_password_does_'!L5</f>
        <v>0</v>
      </c>
      <c r="H154" s="102" t="n">
        <f>'U143-A_different_password_does_'!M5</f>
        <v>0</v>
      </c>
      <c r="I154" s="101" t="n">
        <f>'U143-A_different_password_does_'!N5</f>
        <v>1</v>
      </c>
    </row>
    <row r="155" ht="30" customHeight="1">
      <c r="A155" s="100" t="n">
        <v>144</v>
      </c>
      <c r="B155" s="76" t="str">
        <v>U144-Password_comparison_is_cas</v>
      </c>
      <c r="C155" s="101" t="n">
        <f>'U144-Password_comparison_is_cas'!A5</f>
        <v>0</v>
      </c>
      <c r="D155" s="101" t="n">
        <f>'U144-Password_comparison_is_cas'!C5</f>
        <v>0</v>
      </c>
      <c r="E155" s="101" t="n">
        <f>'U144-Password_comparison_is_cas'!E5</f>
        <v>1</v>
      </c>
      <c r="F155" s="101" t="n">
        <f>'U144-Password_comparison_is_cas'!K5</f>
        <v>0</v>
      </c>
      <c r="G155" s="101" t="n">
        <f>'U144-Password_comparison_is_cas'!L5</f>
        <v>0</v>
      </c>
      <c r="H155" s="102" t="n">
        <f>'U144-Password_comparison_is_cas'!M5</f>
        <v>0</v>
      </c>
      <c r="I155" s="101" t="n">
        <f>'U144-Password_comparison_is_cas'!N5</f>
        <v>1</v>
      </c>
    </row>
    <row r="156" ht="30" customHeight="1">
      <c r="A156" s="100" t="n">
        <v>145</v>
      </c>
      <c r="B156" s="76" t="str">
        <v>U145-The_hash_does_not_contain_</v>
      </c>
      <c r="C156" s="101" t="n">
        <f>'U145-The_hash_does_not_contain_'!A5</f>
        <v>0</v>
      </c>
      <c r="D156" s="101" t="n">
        <f>'U145-The_hash_does_not_contain_'!C5</f>
        <v>0</v>
      </c>
      <c r="E156" s="101" t="n">
        <f>'U145-The_hash_does_not_contain_'!E5</f>
        <v>1</v>
      </c>
      <c r="F156" s="101" t="n">
        <f>'U145-The_hash_does_not_contain_'!K5</f>
        <v>0</v>
      </c>
      <c r="G156" s="101" t="n">
        <f>'U145-The_hash_does_not_contain_'!L5</f>
        <v>0</v>
      </c>
      <c r="H156" s="102" t="n">
        <f>'U145-The_hash_does_not_contain_'!M5</f>
        <v>0</v>
      </c>
      <c r="I156" s="101" t="n">
        <f>'U145-The_hash_does_not_contain_'!N5</f>
        <v>1</v>
      </c>
    </row>
    <row r="157" ht="30" customHeight="1">
      <c r="A157" s="100" t="n">
        <v>146</v>
      </c>
      <c r="B157" s="76" t="str">
        <v>U146-The_same_password_hashes_d</v>
      </c>
      <c r="C157" s="101" t="n">
        <f>'U146-The_same_password_hashes_d'!A5</f>
        <v>0</v>
      </c>
      <c r="D157" s="101" t="n">
        <f>'U146-The_same_password_hashes_d'!C5</f>
        <v>0</v>
      </c>
      <c r="E157" s="101" t="n">
        <f>'U146-The_same_password_hashes_d'!E5</f>
        <v>1</v>
      </c>
      <c r="F157" s="101" t="n">
        <f>'U146-The_same_password_hashes_d'!K5</f>
        <v>0</v>
      </c>
      <c r="G157" s="101" t="n">
        <f>'U146-The_same_password_hashes_d'!L5</f>
        <v>0</v>
      </c>
      <c r="H157" s="102" t="n">
        <f>'U146-The_same_password_hashes_d'!M5</f>
        <v>0</v>
      </c>
      <c r="I157" s="101" t="n">
        <f>'U146-The_same_password_hashes_d'!N5</f>
        <v>1</v>
      </c>
    </row>
    <row r="158" ht="30" customHeight="1">
      <c r="A158" s="100" t="n">
        <v>147</v>
      </c>
      <c r="B158" s="76" t="str">
        <v>U147-The_hash_fits_the_column</v>
      </c>
      <c r="C158" s="101" t="n">
        <f>'U147-The_hash_fits_the_column'!A5</f>
        <v>0</v>
      </c>
      <c r="D158" s="101" t="n">
        <f>'U147-The_hash_fits_the_column'!C5</f>
        <v>0</v>
      </c>
      <c r="E158" s="101" t="n">
        <f>'U147-The_hash_fits_the_column'!E5</f>
        <v>1</v>
      </c>
      <c r="F158" s="101" t="n">
        <f>'U147-The_hash_fits_the_column'!K5</f>
        <v>0</v>
      </c>
      <c r="G158" s="101" t="n">
        <f>'U147-The_hash_fits_the_column'!L5</f>
        <v>0</v>
      </c>
      <c r="H158" s="102" t="n">
        <f>'U147-The_hash_fits_the_column'!M5</f>
        <v>0</v>
      </c>
      <c r="I158" s="101" t="n">
        <f>'U147-The_hash_fits_the_column'!N5</f>
        <v>1</v>
      </c>
    </row>
    <row r="159" ht="30" customHeight="1">
      <c r="A159" s="100" t="n">
        <v>148</v>
      </c>
      <c r="B159" s="76" t="str">
        <v>U148-A_malformed_stored_hash_fa</v>
      </c>
      <c r="C159" s="101" t="n">
        <f>'U148-A_malformed_stored_hash_fa'!A5</f>
        <v>0</v>
      </c>
      <c r="D159" s="101" t="n">
        <f>'U148-A_malformed_stored_hash_fa'!C5</f>
        <v>0</v>
      </c>
      <c r="E159" s="101" t="n">
        <f>'U148-A_malformed_stored_hash_fa'!E5</f>
        <v>1</v>
      </c>
      <c r="F159" s="101" t="n">
        <f>'U148-A_malformed_stored_hash_fa'!K5</f>
        <v>0</v>
      </c>
      <c r="G159" s="101" t="n">
        <f>'U148-A_malformed_stored_hash_fa'!L5</f>
        <v>0</v>
      </c>
      <c r="H159" s="102" t="n">
        <f>'U148-A_malformed_stored_hash_fa'!M5</f>
        <v>0</v>
      </c>
      <c r="I159" s="101" t="n">
        <f>'U148-A_malformed_stored_hash_fa'!N5</f>
        <v>1</v>
      </c>
    </row>
    <row r="160" ht="30" customHeight="1">
      <c r="A160" s="100" t="n">
        <v>149</v>
      </c>
      <c r="B160" s="76" t="str">
        <v>U149-A_long_passphrase_is_suppo</v>
      </c>
      <c r="C160" s="101" t="n">
        <f>'U149-A_long_passphrase_is_suppo'!A5</f>
        <v>0</v>
      </c>
      <c r="D160" s="101" t="n">
        <f>'U149-A_long_passphrase_is_suppo'!C5</f>
        <v>0</v>
      </c>
      <c r="E160" s="101" t="n">
        <f>'U149-A_long_passphrase_is_suppo'!E5</f>
        <v>1</v>
      </c>
      <c r="F160" s="101" t="n">
        <f>'U149-A_long_passphrase_is_suppo'!K5</f>
        <v>0</v>
      </c>
      <c r="G160" s="101" t="n">
        <f>'U149-A_long_passphrase_is_suppo'!L5</f>
        <v>0</v>
      </c>
      <c r="H160" s="102" t="n">
        <f>'U149-A_long_passphrase_is_suppo'!M5</f>
        <v>0</v>
      </c>
      <c r="I160" s="101" t="n">
        <f>'U149-A_long_passphrase_is_suppo'!N5</f>
        <v>1</v>
      </c>
    </row>
    <row r="161" ht="30" customHeight="1">
      <c r="A161" s="100" t="n">
        <v>150</v>
      </c>
      <c r="B161" s="76" t="str">
        <v>U150-Reconciliation_failures_ar</v>
      </c>
      <c r="C161" s="101" t="n">
        <f>'U150-Reconciliation_failures_ar'!A5</f>
        <v>0</v>
      </c>
      <c r="D161" s="101" t="n">
        <f>'U150-Reconciliation_failures_ar'!C5</f>
        <v>0</v>
      </c>
      <c r="E161" s="101" t="n">
        <f>'U150-Reconciliation_failures_ar'!E5</f>
        <v>1</v>
      </c>
      <c r="F161" s="101" t="n">
        <f>'U150-Reconciliation_failures_ar'!K5</f>
        <v>0</v>
      </c>
      <c r="G161" s="101" t="n">
        <f>'U150-Reconciliation_failures_ar'!L5</f>
        <v>0</v>
      </c>
      <c r="H161" s="102" t="n">
        <f>'U150-Reconciliation_failures_ar'!M5</f>
        <v>0</v>
      </c>
      <c r="I161" s="101" t="n">
        <f>'U150-Reconciliation_failures_ar'!N5</f>
        <v>1</v>
      </c>
    </row>
    <row r="162" ht="30" customHeight="1">
      <c r="A162" s="100" t="n">
        <v>151</v>
      </c>
      <c r="B162" s="76" t="str">
        <v>U151-Host_cancellation_during_r</v>
      </c>
      <c r="C162" s="101" t="n">
        <f>'U151-Host_cancellation_during_r'!A5</f>
        <v>0</v>
      </c>
      <c r="D162" s="101" t="n">
        <f>'U151-Host_cancellation_during_r'!C5</f>
        <v>0</v>
      </c>
      <c r="E162" s="101" t="n">
        <f>'U151-Host_cancellation_during_r'!E5</f>
        <v>1</v>
      </c>
      <c r="F162" s="101" t="n">
        <f>'U151-Host_cancellation_during_r'!K5</f>
        <v>0</v>
      </c>
      <c r="G162" s="101" t="n">
        <f>'U151-Host_cancellation_during_r'!L5</f>
        <v>0</v>
      </c>
      <c r="H162" s="102" t="n">
        <f>'U151-Host_cancellation_during_r'!M5</f>
        <v>0</v>
      </c>
      <c r="I162" s="101" t="n">
        <f>'U151-Host_cancellation_during_r'!N5</f>
        <v>1</v>
      </c>
    </row>
    <row r="163" ht="30" customHeight="1">
      <c r="A163" s="100" t="n">
        <v>152</v>
      </c>
      <c r="B163" s="76" t="str">
        <v>U152-Sends_the_link_to_the_regi</v>
      </c>
      <c r="C163" s="101" t="n">
        <f>'U152-Sends_the_link_to_the_regi'!A5</f>
        <v>0</v>
      </c>
      <c r="D163" s="101" t="n">
        <f>'U152-Sends_the_link_to_the_regi'!C5</f>
        <v>0</v>
      </c>
      <c r="E163" s="101" t="n">
        <f>'U152-Sends_the_link_to_the_regi'!E5</f>
        <v>1</v>
      </c>
      <c r="F163" s="101" t="n">
        <f>'U152-Sends_the_link_to_the_regi'!K5</f>
        <v>0</v>
      </c>
      <c r="G163" s="101" t="n">
        <f>'U152-Sends_the_link_to_the_regi'!L5</f>
        <v>0</v>
      </c>
      <c r="H163" s="102" t="n">
        <f>'U152-Sends_the_link_to_the_regi'!M5</f>
        <v>0</v>
      </c>
      <c r="I163" s="101" t="n">
        <f>'U152-Sends_the_link_to_the_regi'!N5</f>
        <v>1</v>
      </c>
    </row>
    <row r="164" ht="30" customHeight="1">
      <c r="A164" s="100" t="n">
        <v>153</v>
      </c>
      <c r="B164" s="76" t="str">
        <v>U153-The_token_travels_in_the_f</v>
      </c>
      <c r="C164" s="101" t="n">
        <f>'U153-The_token_travels_in_the_f'!A5</f>
        <v>0</v>
      </c>
      <c r="D164" s="101" t="n">
        <f>'U153-The_token_travels_in_the_f'!C5</f>
        <v>0</v>
      </c>
      <c r="E164" s="101" t="n">
        <f>'U153-The_token_travels_in_the_f'!E5</f>
        <v>1</v>
      </c>
      <c r="F164" s="101" t="n">
        <f>'U153-The_token_travels_in_the_f'!K5</f>
        <v>0</v>
      </c>
      <c r="G164" s="101" t="n">
        <f>'U153-The_token_travels_in_the_f'!L5</f>
        <v>0</v>
      </c>
      <c r="H164" s="102" t="n">
        <f>'U153-The_token_travels_in_the_f'!M5</f>
        <v>0</v>
      </c>
      <c r="I164" s="101" t="n">
        <f>'U153-The_token_travels_in_the_f'!N5</f>
        <v>1</v>
      </c>
    </row>
    <row r="165" ht="30" customHeight="1">
      <c r="A165" s="100" t="n">
        <v>154</v>
      </c>
      <c r="B165" s="76" t="str">
        <v>U154-Disabled_email_delivery_is</v>
      </c>
      <c r="C165" s="101" t="n">
        <f>'U154-Disabled_email_delivery_is'!A5</f>
        <v>0</v>
      </c>
      <c r="D165" s="101" t="n">
        <f>'U154-Disabled_email_delivery_is'!C5</f>
        <v>0</v>
      </c>
      <c r="E165" s="101" t="n">
        <f>'U154-Disabled_email_delivery_is'!E5</f>
        <v>1</v>
      </c>
      <c r="F165" s="101" t="n">
        <f>'U154-Disabled_email_delivery_is'!K5</f>
        <v>0</v>
      </c>
      <c r="G165" s="101" t="n">
        <f>'U154-Disabled_email_delivery_is'!L5</f>
        <v>0</v>
      </c>
      <c r="H165" s="102" t="n">
        <f>'U154-Disabled_email_delivery_is'!M5</f>
        <v>0</v>
      </c>
      <c r="I165" s="101" t="n">
        <f>'U154-Disabled_email_delivery_is'!N5</f>
        <v>1</v>
      </c>
    </row>
    <row r="166" ht="30" customHeight="1">
      <c r="A166" s="100" t="n">
        <v>155</v>
      </c>
      <c r="B166" s="76" t="str">
        <v>U155-A_server_error_is_a_failed</v>
      </c>
      <c r="C166" s="101" t="n">
        <f>'U155-A_server_error_is_a_failed'!A5</f>
        <v>0</v>
      </c>
      <c r="D166" s="101" t="n">
        <f>'U155-A_server_error_is_a_failed'!C5</f>
        <v>0</v>
      </c>
      <c r="E166" s="101" t="n">
        <f>'U155-A_server_error_is_a_failed'!E5</f>
        <v>1</v>
      </c>
      <c r="F166" s="101" t="n">
        <f>'U155-A_server_error_is_a_failed'!K5</f>
        <v>0</v>
      </c>
      <c r="G166" s="101" t="n">
        <f>'U155-A_server_error_is_a_failed'!L5</f>
        <v>0</v>
      </c>
      <c r="H166" s="102" t="n">
        <f>'U155-A_server_error_is_a_failed'!M5</f>
        <v>0</v>
      </c>
      <c r="I166" s="101" t="n">
        <f>'U155-A_server_error_is_a_failed'!N5</f>
        <v>1</v>
      </c>
    </row>
    <row r="167" ht="30" customHeight="1">
      <c r="A167" s="100" t="n">
        <v>156</v>
      </c>
      <c r="B167" s="76" t="str">
        <v>U156-A_server_that_never_answer</v>
      </c>
      <c r="C167" s="101" t="n">
        <f>'U156-A_server_that_never_answer'!A5</f>
        <v>0</v>
      </c>
      <c r="D167" s="101" t="n">
        <f>'U156-A_server_that_never_answer'!C5</f>
        <v>0</v>
      </c>
      <c r="E167" s="101" t="n">
        <f>'U156-A_server_that_never_answer'!E5</f>
        <v>1</v>
      </c>
      <c r="F167" s="101" t="n">
        <f>'U156-A_server_that_never_answer'!K5</f>
        <v>0</v>
      </c>
      <c r="G167" s="101" t="n">
        <f>'U156-A_server_that_never_answer'!L5</f>
        <v>0</v>
      </c>
      <c r="H167" s="102" t="n">
        <f>'U156-A_server_that_never_answer'!M5</f>
        <v>0</v>
      </c>
      <c r="I167" s="101" t="n">
        <f>'U156-A_server_that_never_answer'!N5</f>
        <v>1</v>
      </c>
    </row>
    <row r="168" ht="30" customHeight="1">
      <c r="A168" s="100" t="n">
        <v>157</v>
      </c>
      <c r="B168" s="76" t="str">
        <v>U157-A_cancelled_request_is_not</v>
      </c>
      <c r="C168" s="101" t="n">
        <f>'U157-A_cancelled_request_is_not'!A5</f>
        <v>0</v>
      </c>
      <c r="D168" s="101" t="n">
        <f>'U157-A_cancelled_request_is_not'!C5</f>
        <v>0</v>
      </c>
      <c r="E168" s="101" t="n">
        <f>'U157-A_cancelled_request_is_not'!E5</f>
        <v>1</v>
      </c>
      <c r="F168" s="101" t="n">
        <f>'U157-A_cancelled_request_is_not'!K5</f>
        <v>0</v>
      </c>
      <c r="G168" s="101" t="n">
        <f>'U157-A_cancelled_request_is_not'!L5</f>
        <v>0</v>
      </c>
      <c r="H168" s="102" t="n">
        <f>'U157-A_cancelled_request_is_not'!M5</f>
        <v>0</v>
      </c>
      <c r="I168" s="101" t="n">
        <f>'U157-A_cancelled_request_is_not'!N5</f>
        <v>1</v>
      </c>
    </row>
    <row r="169" ht="30" customHeight="1">
      <c r="A169" s="100" t="n">
        <v>158</v>
      </c>
      <c r="B169" s="76" t="str">
        <v>U158-Delegate_is_not_added_by_r</v>
      </c>
      <c r="C169" s="101" t="n">
        <f>'U158-Delegate_is_not_added_by_r'!A5</f>
        <v>0</v>
      </c>
      <c r="D169" s="101" t="n">
        <f>'U158-Delegate_is_not_added_by_r'!C5</f>
        <v>0</v>
      </c>
      <c r="E169" s="101" t="n">
        <f>'U158-Delegate_is_not_added_by_r'!E5</f>
        <v>1</v>
      </c>
      <c r="F169" s="101" t="n">
        <f>'U158-Delegate_is_not_added_by_r'!K5</f>
        <v>0</v>
      </c>
      <c r="G169" s="101" t="n">
        <f>'U158-Delegate_is_not_added_by_r'!L5</f>
        <v>0</v>
      </c>
      <c r="H169" s="102" t="n">
        <f>'U158-Delegate_is_not_added_by_r'!M5</f>
        <v>0</v>
      </c>
      <c r="I169" s="101" t="n">
        <f>'U158-Delegate_is_not_added_by_r'!N5</f>
        <v>1</v>
      </c>
    </row>
    <row r="170" ht="30" customHeight="1">
      <c r="A170" s="100" t="n">
        <v>159</v>
      </c>
      <c r="B170" s="76" t="str">
        <v>U159-Snapshot_excludes_inactive</v>
      </c>
      <c r="C170" s="101" t="n">
        <f>'U159-Snapshot_excludes_inactive'!A5</f>
        <v>0</v>
      </c>
      <c r="D170" s="101" t="n">
        <f>'U159-Snapshot_excludes_inactive'!C5</f>
        <v>0</v>
      </c>
      <c r="E170" s="101" t="n">
        <f>'U159-Snapshot_excludes_inactive'!E5</f>
        <v>1</v>
      </c>
      <c r="F170" s="101" t="n">
        <f>'U159-Snapshot_excludes_inactive'!K5</f>
        <v>0</v>
      </c>
      <c r="G170" s="101" t="n">
        <f>'U159-Snapshot_excludes_inactive'!L5</f>
        <v>0</v>
      </c>
      <c r="H170" s="102" t="n">
        <f>'U159-Snapshot_excludes_inactive'!M5</f>
        <v>0</v>
      </c>
      <c r="I170" s="101" t="n">
        <f>'U159-Snapshot_excludes_inactive'!N5</f>
        <v>1</v>
      </c>
    </row>
    <row r="171" ht="30" customHeight="1">
      <c r="A171" s="100" t="n">
        <v>160</v>
      </c>
      <c r="B171" s="76" t="str">
        <v>U160-Empty_query_uses_defaults</v>
      </c>
      <c r="C171" s="101" t="n">
        <f>'U160-Empty_query_uses_defaults'!A5</f>
        <v>0</v>
      </c>
      <c r="D171" s="101" t="n">
        <f>'U160-Empty_query_uses_defaults'!C5</f>
        <v>0</v>
      </c>
      <c r="E171" s="101" t="n">
        <f>'U160-Empty_query_uses_defaults'!E5</f>
        <v>1</v>
      </c>
      <c r="F171" s="101" t="n">
        <f>'U160-Empty_query_uses_defaults'!K5</f>
        <v>0</v>
      </c>
      <c r="G171" s="101" t="n">
        <f>'U160-Empty_query_uses_defaults'!L5</f>
        <v>0</v>
      </c>
      <c r="H171" s="102" t="n">
        <f>'U160-Empty_query_uses_defaults'!M5</f>
        <v>0</v>
      </c>
      <c r="I171" s="101" t="n">
        <f>'U160-Empty_query_uses_defaults'!N5</f>
        <v>1</v>
      </c>
    </row>
    <row r="172" ht="30" customHeight="1">
      <c r="A172" s="100" t="n">
        <v>161</v>
      </c>
      <c r="B172" s="76" t="str">
        <v>U161-Valid_query_normalizes_dat</v>
      </c>
      <c r="C172" s="101" t="n">
        <f>'U161-Valid_query_normalizes_dat'!A5</f>
        <v>0</v>
      </c>
      <c r="D172" s="101" t="n">
        <f>'U161-Valid_query_normalizes_dat'!C5</f>
        <v>0</v>
      </c>
      <c r="E172" s="101" t="n">
        <f>'U161-Valid_query_normalizes_dat'!E5</f>
        <v>1</v>
      </c>
      <c r="F172" s="101" t="n">
        <f>'U161-Valid_query_normalizes_dat'!K5</f>
        <v>0</v>
      </c>
      <c r="G172" s="101" t="n">
        <f>'U161-Valid_query_normalizes_dat'!L5</f>
        <v>0</v>
      </c>
      <c r="H172" s="102" t="n">
        <f>'U161-Valid_query_normalizes_dat'!M5</f>
        <v>0</v>
      </c>
      <c r="I172" s="101" t="n">
        <f>'U161-Valid_query_normalizes_dat'!N5</f>
        <v>1</v>
      </c>
    </row>
    <row r="173" ht="30" customHeight="1">
      <c r="A173" s="100" t="n">
        <v>162</v>
      </c>
      <c r="B173" s="76" t="str">
        <v>U162-Timestamp_with_timezone_is</v>
      </c>
      <c r="C173" s="101" t="n">
        <f>'U162-Timestamp_with_timezone_is'!A5</f>
        <v>0</v>
      </c>
      <c r="D173" s="101" t="n">
        <f>'U162-Timestamp_with_timezone_is'!C5</f>
        <v>0</v>
      </c>
      <c r="E173" s="101" t="n">
        <f>'U162-Timestamp_with_timezone_is'!E5</f>
        <v>1</v>
      </c>
      <c r="F173" s="101" t="n">
        <f>'U162-Timestamp_with_timezone_is'!K5</f>
        <v>0</v>
      </c>
      <c r="G173" s="101" t="n">
        <f>'U162-Timestamp_with_timezone_is'!L5</f>
        <v>0</v>
      </c>
      <c r="H173" s="102" t="n">
        <f>'U162-Timestamp_with_timezone_is'!M5</f>
        <v>0</v>
      </c>
      <c r="I173" s="101" t="n">
        <f>'U162-Timestamp_with_timezone_is'!N5</f>
        <v>1</v>
      </c>
    </row>
    <row r="174" ht="30" customHeight="1">
      <c r="A174" s="100" t="n">
        <v>163</v>
      </c>
      <c r="B174" s="76" t="str">
        <v>U163-Sort_field_without_directi</v>
      </c>
      <c r="C174" s="101" t="n">
        <f>'U163-Sort_field_without_directi'!A5</f>
        <v>0</v>
      </c>
      <c r="D174" s="101" t="n">
        <f>'U163-Sort_field_without_directi'!C5</f>
        <v>0</v>
      </c>
      <c r="E174" s="101" t="n">
        <f>'U163-Sort_field_without_directi'!E5</f>
        <v>1</v>
      </c>
      <c r="F174" s="101" t="n">
        <f>'U163-Sort_field_without_directi'!K5</f>
        <v>0</v>
      </c>
      <c r="G174" s="101" t="n">
        <f>'U163-Sort_field_without_directi'!L5</f>
        <v>0</v>
      </c>
      <c r="H174" s="102" t="n">
        <f>'U163-Sort_field_without_directi'!M5</f>
        <v>0</v>
      </c>
      <c r="I174" s="101" t="n">
        <f>'U163-Sort_field_without_directi'!N5</f>
        <v>1</v>
      </c>
    </row>
    <row r="175" ht="30" customHeight="1">
      <c r="A175" s="100" t="n">
        <v>164</v>
      </c>
      <c r="B175" s="76" t="str">
        <v>U164-Direction_without_sort_fie</v>
      </c>
      <c r="C175" s="101" t="n">
        <f>'U164-Direction_without_sort_fie'!A5</f>
        <v>0</v>
      </c>
      <c r="D175" s="101" t="n">
        <f>'U164-Direction_without_sort_fie'!C5</f>
        <v>0</v>
      </c>
      <c r="E175" s="101" t="n">
        <f>'U164-Direction_without_sort_fie'!E5</f>
        <v>1</v>
      </c>
      <c r="F175" s="101" t="n">
        <f>'U164-Direction_without_sort_fie'!K5</f>
        <v>0</v>
      </c>
      <c r="G175" s="101" t="n">
        <f>'U164-Direction_without_sort_fie'!L5</f>
        <v>0</v>
      </c>
      <c r="H175" s="102" t="n">
        <f>'U164-Direction_without_sort_fie'!M5</f>
        <v>0</v>
      </c>
      <c r="I175" s="101" t="n">
        <f>'U164-Direction_without_sort_fie'!N5</f>
        <v>1</v>
      </c>
    </row>
    <row r="176" ht="30" customHeight="1">
      <c r="A176" s="100" t="n">
        <v>165</v>
      </c>
      <c r="B176" s="76" t="str">
        <v>U165-Invalid_value_returns_its_</v>
      </c>
      <c r="C176" s="101" t="n">
        <f>'U165-Invalid_value_returns_its_'!A5</f>
        <v>0</v>
      </c>
      <c r="D176" s="101" t="n">
        <f>'U165-Invalid_value_returns_its_'!C5</f>
        <v>0</v>
      </c>
      <c r="E176" s="101" t="n">
        <f>'U165-Invalid_value_returns_its_'!E5</f>
        <v>1</v>
      </c>
      <c r="F176" s="101" t="n">
        <f>'U165-Invalid_value_returns_its_'!K5</f>
        <v>0</v>
      </c>
      <c r="G176" s="101" t="n">
        <f>'U165-Invalid_value_returns_its_'!L5</f>
        <v>0</v>
      </c>
      <c r="H176" s="102" t="n">
        <f>'U165-Invalid_value_returns_its_'!M5</f>
        <v>0</v>
      </c>
      <c r="I176" s="101" t="n">
        <f>'U165-Invalid_value_returns_its_'!N5</f>
        <v>1</v>
      </c>
    </row>
    <row r="177" ht="30" customHeight="1">
      <c r="A177" s="100" t="n">
        <v>166</v>
      </c>
      <c r="B177" s="76" t="str">
        <v>U166-Reversed_range_is_invalid</v>
      </c>
      <c r="C177" s="101" t="n">
        <f>'U166-Reversed_range_is_invalid'!A5</f>
        <v>0</v>
      </c>
      <c r="D177" s="101" t="n">
        <f>'U166-Reversed_range_is_invalid'!C5</f>
        <v>0</v>
      </c>
      <c r="E177" s="101" t="n">
        <f>'U166-Reversed_range_is_invalid'!E5</f>
        <v>1</v>
      </c>
      <c r="F177" s="101" t="n">
        <f>'U166-Reversed_range_is_invalid'!K5</f>
        <v>0</v>
      </c>
      <c r="G177" s="101" t="n">
        <f>'U166-Reversed_range_is_invalid'!L5</f>
        <v>0</v>
      </c>
      <c r="H177" s="102" t="n">
        <f>'U166-Reversed_range_is_invalid'!M5</f>
        <v>0</v>
      </c>
      <c r="I177" s="101" t="n">
        <f>'U166-Reversed_range_is_invalid'!N5</f>
        <v>1</v>
      </c>
    </row>
    <row r="178" ht="30" customHeight="1">
      <c r="A178" s="100" t="n">
        <v>167</v>
      </c>
      <c r="B178" s="76" t="str">
        <v>U167-Large_page_is_valid_query</v>
      </c>
      <c r="C178" s="101" t="n">
        <f>'U167-Large_page_is_valid_query'!A5</f>
        <v>0</v>
      </c>
      <c r="D178" s="101" t="n">
        <f>'U167-Large_page_is_valid_query'!C5</f>
        <v>0</v>
      </c>
      <c r="E178" s="101" t="n">
        <f>'U167-Large_page_is_valid_query'!E5</f>
        <v>1</v>
      </c>
      <c r="F178" s="101" t="n">
        <f>'U167-Large_page_is_valid_query'!K5</f>
        <v>0</v>
      </c>
      <c r="G178" s="101" t="n">
        <f>'U167-Large_page_is_valid_query'!L5</f>
        <v>0</v>
      </c>
      <c r="H178" s="102" t="n">
        <f>'U167-Large_page_is_valid_query'!M5</f>
        <v>0</v>
      </c>
      <c r="I178" s="101" t="n">
        <f>'U167-Large_page_is_valid_query'!N5</f>
        <v>1</v>
      </c>
    </row>
    <row r="179" ht="30" customHeight="1">
      <c r="A179" s="100" t="n">
        <v>168</v>
      </c>
      <c r="B179" s="76" t="str">
        <v>U168-Parser_reports_independent</v>
      </c>
      <c r="C179" s="101" t="n">
        <f>'U168-Parser_reports_independent'!A5</f>
        <v>0</v>
      </c>
      <c r="D179" s="101" t="n">
        <f>'U168-Parser_reports_independent'!C5</f>
        <v>0</v>
      </c>
      <c r="E179" s="101" t="n">
        <f>'U168-Parser_reports_independent'!E5</f>
        <v>1</v>
      </c>
      <c r="F179" s="101" t="n">
        <f>'U168-Parser_reports_independent'!K5</f>
        <v>0</v>
      </c>
      <c r="G179" s="101" t="n">
        <f>'U168-Parser_reports_independent'!L5</f>
        <v>0</v>
      </c>
      <c r="H179" s="102" t="n">
        <f>'U168-Parser_reports_independent'!M5</f>
        <v>0</v>
      </c>
      <c r="I179" s="101" t="n">
        <f>'U168-Parser_reports_independent'!N5</f>
        <v>1</v>
      </c>
    </row>
    <row r="180" ht="30" customHeight="1">
      <c r="A180" s="100" t="n">
        <v>169</v>
      </c>
      <c r="B180" s="76" t="str">
        <v>U169-In_memory_and_query_polici</v>
      </c>
      <c r="C180" s="101" t="n">
        <f>'U169-In_memory_and_query_polici'!A5</f>
        <v>0</v>
      </c>
      <c r="D180" s="101" t="n">
        <f>'U169-In_memory_and_query_polici'!C5</f>
        <v>0</v>
      </c>
      <c r="E180" s="101" t="n">
        <f>'U169-In_memory_and_query_polici'!E5</f>
        <v>1</v>
      </c>
      <c r="F180" s="101" t="n">
        <f>'U169-In_memory_and_query_polici'!K5</f>
        <v>0</v>
      </c>
      <c r="G180" s="101" t="n">
        <f>'U169-In_memory_and_query_polici'!L5</f>
        <v>0</v>
      </c>
      <c r="H180" s="102" t="n">
        <f>'U169-In_memory_and_query_polici'!M5</f>
        <v>0</v>
      </c>
      <c r="I180" s="101" t="n">
        <f>'U169-In_memory_and_query_polici'!N5</f>
        <v>1</v>
      </c>
    </row>
    <row r="181" ht="30" customHeight="1">
      <c r="A181" s="100" t="n">
        <v>170</v>
      </c>
      <c r="B181" s="76" t="str">
        <v>U170-Reassignment_revokes_the_o</v>
      </c>
      <c r="C181" s="101" t="n">
        <f>'U170-Reassignment_revokes_the_o'!A5</f>
        <v>0</v>
      </c>
      <c r="D181" s="101" t="n">
        <f>'U170-Reassignment_revokes_the_o'!C5</f>
        <v>0</v>
      </c>
      <c r="E181" s="101" t="n">
        <f>'U170-Reassignment_revokes_the_o'!E5</f>
        <v>1</v>
      </c>
      <c r="F181" s="101" t="n">
        <f>'U170-Reassignment_revokes_the_o'!K5</f>
        <v>0</v>
      </c>
      <c r="G181" s="101" t="n">
        <f>'U170-Reassignment_revokes_the_o'!L5</f>
        <v>0</v>
      </c>
      <c r="H181" s="102" t="n">
        <f>'U170-Reassignment_revokes_the_o'!M5</f>
        <v>0</v>
      </c>
      <c r="I181" s="101" t="n">
        <f>'U170-Reassignment_revokes_the_o'!N5</f>
        <v>1</v>
      </c>
    </row>
    <row r="182" ht="30" customHeight="1">
      <c r="A182" s="100" t="n">
        <v>171</v>
      </c>
      <c r="B182" s="76" t="str">
        <v>U171-Assigned_secretary_can_rea</v>
      </c>
      <c r="C182" s="101" t="n">
        <f>'U171-Assigned_secretary_can_rea'!A5</f>
        <v>0</v>
      </c>
      <c r="D182" s="101" t="n">
        <f>'U171-Assigned_secretary_can_rea'!C5</f>
        <v>0</v>
      </c>
      <c r="E182" s="101" t="n">
        <f>'U171-Assigned_secretary_can_rea'!E5</f>
        <v>1</v>
      </c>
      <c r="F182" s="101" t="n">
        <f>'U171-Assigned_secretary_can_rea'!K5</f>
        <v>0</v>
      </c>
      <c r="G182" s="101" t="n">
        <f>'U171-Assigned_secretary_can_rea'!L5</f>
        <v>0</v>
      </c>
      <c r="H182" s="102" t="n">
        <f>'U171-Assigned_secretary_can_rea'!M5</f>
        <v>0</v>
      </c>
      <c r="I182" s="101" t="n">
        <f>'U171-Assigned_secretary_can_rea'!N5</f>
        <v>1</v>
      </c>
    </row>
    <row r="183" ht="30" customHeight="1">
      <c r="A183" s="100" t="n">
        <v>172</v>
      </c>
      <c r="B183" s="76" t="str">
        <v>U172-Assigned_chair_reads_conte</v>
      </c>
      <c r="C183" s="101" t="n">
        <f>'U172-Assigned_chair_reads_conte'!A5</f>
        <v>0</v>
      </c>
      <c r="D183" s="101" t="n">
        <f>'U172-Assigned_chair_reads_conte'!C5</f>
        <v>0</v>
      </c>
      <c r="E183" s="101" t="n">
        <f>'U172-Assigned_chair_reads_conte'!E5</f>
        <v>1</v>
      </c>
      <c r="F183" s="101" t="n">
        <f>'U172-Assigned_chair_reads_conte'!K5</f>
        <v>0</v>
      </c>
      <c r="G183" s="101" t="n">
        <f>'U172-Assigned_chair_reads_conte'!L5</f>
        <v>0</v>
      </c>
      <c r="H183" s="102" t="n">
        <f>'U172-Assigned_chair_reads_conte'!M5</f>
        <v>0</v>
      </c>
      <c r="I183" s="101" t="n">
        <f>'U172-Assigned_chair_reads_conte'!N5</f>
        <v>1</v>
      </c>
    </row>
    <row r="184" ht="30" customHeight="1">
      <c r="A184" s="100" t="n">
        <v>173</v>
      </c>
      <c r="B184" s="76" t="str">
        <v>U173-Unassigned_or_ineligible_s</v>
      </c>
      <c r="C184" s="101" t="n">
        <f>'U173-Unassigned_or_ineligible_s'!A5</f>
        <v>0</v>
      </c>
      <c r="D184" s="101" t="n">
        <f>'U173-Unassigned_or_ineligible_s'!C5</f>
        <v>0</v>
      </c>
      <c r="E184" s="101" t="n">
        <f>'U173-Unassigned_or_ineligible_s'!E5</f>
        <v>1</v>
      </c>
      <c r="F184" s="101" t="n">
        <f>'U173-Unassigned_or_ineligible_s'!K5</f>
        <v>0</v>
      </c>
      <c r="G184" s="101" t="n">
        <f>'U173-Unassigned_or_ineligible_s'!L5</f>
        <v>0</v>
      </c>
      <c r="H184" s="102" t="n">
        <f>'U173-Unassigned_or_ineligible_s'!M5</f>
        <v>0</v>
      </c>
      <c r="I184" s="101" t="n">
        <f>'U173-Unassigned_or_ineligible_s'!N5</f>
        <v>1</v>
      </c>
    </row>
    <row r="185" ht="30" customHeight="1">
      <c r="A185" s="100" t="n">
        <v>174</v>
      </c>
      <c r="B185" s="76" t="str">
        <v>U174-Invalid_participant_assign</v>
      </c>
      <c r="C185" s="101" t="n">
        <f>'U174-Invalid_participant_assign'!A5</f>
        <v>0</v>
      </c>
      <c r="D185" s="101" t="n">
        <f>'U174-Invalid_participant_assign'!C5</f>
        <v>0</v>
      </c>
      <c r="E185" s="101" t="n">
        <f>'U174-Invalid_participant_assign'!E5</f>
        <v>1</v>
      </c>
      <c r="F185" s="101" t="n">
        <f>'U174-Invalid_participant_assign'!K5</f>
        <v>0</v>
      </c>
      <c r="G185" s="101" t="n">
        <f>'U174-Invalid_participant_assign'!L5</f>
        <v>0</v>
      </c>
      <c r="H185" s="102" t="n">
        <f>'U174-Invalid_participant_assign'!M5</f>
        <v>0</v>
      </c>
      <c r="I185" s="101" t="n">
        <f>'U174-Invalid_participant_assign'!N5</f>
        <v>1</v>
      </c>
    </row>
    <row r="186" ht="30" customHeight="1">
      <c r="A186" s="100" t="n">
        <v>175</v>
      </c>
      <c r="B186" s="76" t="str">
        <v>U175-Create_rejects_a_missing_o</v>
      </c>
      <c r="C186" s="101" t="n">
        <f>'U175-Create_rejects_a_missing_o'!A5</f>
        <v>0</v>
      </c>
      <c r="D186" s="101" t="n">
        <f>'U175-Create_rejects_a_missing_o'!C5</f>
        <v>0</v>
      </c>
      <c r="E186" s="101" t="n">
        <f>'U175-Create_rejects_a_missing_o'!E5</f>
        <v>1</v>
      </c>
      <c r="F186" s="101" t="n">
        <f>'U175-Create_rejects_a_missing_o'!K5</f>
        <v>0</v>
      </c>
      <c r="G186" s="101" t="n">
        <f>'U175-Create_rejects_a_missing_o'!L5</f>
        <v>0</v>
      </c>
      <c r="H186" s="102" t="n">
        <f>'U175-Create_rejects_a_missing_o'!M5</f>
        <v>0</v>
      </c>
      <c r="I186" s="101" t="n">
        <f>'U175-Create_rejects_a_missing_o'!N5</f>
        <v>1</v>
      </c>
    </row>
    <row r="187" ht="30" customHeight="1">
      <c r="A187" s="100" t="n">
        <v>176</v>
      </c>
      <c r="B187" s="76" t="str">
        <v>U176-Validation_collects_field_</v>
      </c>
      <c r="C187" s="101" t="n">
        <f>'U176-Validation_collects_field_'!A5</f>
        <v>0</v>
      </c>
      <c r="D187" s="101" t="n">
        <f>'U176-Validation_collects_field_'!C5</f>
        <v>0</v>
      </c>
      <c r="E187" s="101" t="n">
        <f>'U176-Validation_collects_field_'!E5</f>
        <v>1</v>
      </c>
      <c r="F187" s="101" t="n">
        <f>'U176-Validation_collects_field_'!K5</f>
        <v>0</v>
      </c>
      <c r="G187" s="101" t="n">
        <f>'U176-Validation_collects_field_'!L5</f>
        <v>0</v>
      </c>
      <c r="H187" s="102" t="n">
        <f>'U176-Validation_collects_field_'!M5</f>
        <v>0</v>
      </c>
      <c r="I187" s="101" t="n">
        <f>'U176-Validation_collects_field_'!N5</f>
        <v>1</v>
      </c>
    </row>
    <row r="188" ht="30" customHeight="1">
      <c r="A188" s="100" t="n">
        <v>177</v>
      </c>
      <c r="B188" s="76" t="str">
        <v>U177-Create_accepts_each_suppor</v>
      </c>
      <c r="C188" s="101" t="n">
        <f>'U177-Create_accepts_each_suppor'!A5</f>
        <v>0</v>
      </c>
      <c r="D188" s="101" t="n">
        <f>'U177-Create_accepts_each_suppor'!C5</f>
        <v>0</v>
      </c>
      <c r="E188" s="101" t="n">
        <f>'U177-Create_accepts_each_suppor'!E5</f>
        <v>1</v>
      </c>
      <c r="F188" s="101" t="n">
        <f>'U177-Create_accepts_each_suppor'!K5</f>
        <v>0</v>
      </c>
      <c r="G188" s="101" t="n">
        <f>'U177-Create_accepts_each_suppor'!L5</f>
        <v>0</v>
      </c>
      <c r="H188" s="102" t="n">
        <f>'U177-Create_accepts_each_suppor'!M5</f>
        <v>0</v>
      </c>
      <c r="I188" s="101" t="n">
        <f>'U177-Create_accepts_each_suppor'!N5</f>
        <v>1</v>
      </c>
    </row>
    <row r="189" ht="30" customHeight="1">
      <c r="A189" s="100" t="n">
        <v>178</v>
      </c>
      <c r="B189" s="76" t="str">
        <v>U178-Create_uses_form_defaults</v>
      </c>
      <c r="C189" s="101" t="n">
        <f>'U178-Create_uses_form_defaults'!A5</f>
        <v>0</v>
      </c>
      <c r="D189" s="101" t="n">
        <f>'U178-Create_uses_form_defaults'!C5</f>
        <v>0</v>
      </c>
      <c r="E189" s="101" t="n">
        <f>'U178-Create_uses_form_defaults'!E5</f>
        <v>1</v>
      </c>
      <c r="F189" s="101" t="n">
        <f>'U178-Create_uses_form_defaults'!K5</f>
        <v>0</v>
      </c>
      <c r="G189" s="101" t="n">
        <f>'U178-Create_uses_form_defaults'!L5</f>
        <v>0</v>
      </c>
      <c r="H189" s="102" t="n">
        <f>'U178-Create_uses_form_defaults'!M5</f>
        <v>0</v>
      </c>
      <c r="I189" s="101" t="n">
        <f>'U178-Create_uses_form_defaults'!N5</f>
        <v>1</v>
      </c>
    </row>
    <row r="190" ht="30" customHeight="1">
      <c r="A190" s="100" t="n">
        <v>179</v>
      </c>
      <c r="B190" s="76" t="str">
        <v>U179-Create_accepts_the_documen</v>
      </c>
      <c r="C190" s="101" t="n">
        <f>'U179-Create_accepts_the_documen'!A5</f>
        <v>0</v>
      </c>
      <c r="D190" s="101" t="n">
        <f>'U179-Create_accepts_the_documen'!C5</f>
        <v>0</v>
      </c>
      <c r="E190" s="101" t="n">
        <f>'U179-Create_accepts_the_documen'!E5</f>
        <v>1</v>
      </c>
      <c r="F190" s="101" t="n">
        <f>'U179-Create_accepts_the_documen'!K5</f>
        <v>0</v>
      </c>
      <c r="G190" s="101" t="n">
        <f>'U179-Create_accepts_the_documen'!L5</f>
        <v>0</v>
      </c>
      <c r="H190" s="102" t="n">
        <f>'U179-Create_accepts_the_documen'!M5</f>
        <v>0</v>
      </c>
      <c r="I190" s="101" t="n">
        <f>'U179-Create_accepts_the_documen'!N5</f>
        <v>1</v>
      </c>
    </row>
    <row r="191" ht="30" customHeight="1">
      <c r="A191" s="100" t="n">
        <v>180</v>
      </c>
      <c r="B191" s="76" t="str">
        <v>U180-Create_stores_the_planned_</v>
      </c>
      <c r="C191" s="101" t="n">
        <f>'U180-Create_stores_the_planned_'!A5</f>
        <v>0</v>
      </c>
      <c r="D191" s="101" t="n">
        <f>'U180-Create_stores_the_planned_'!C5</f>
        <v>0</v>
      </c>
      <c r="E191" s="101" t="n">
        <f>'U180-Create_stores_the_planned_'!E5</f>
        <v>1</v>
      </c>
      <c r="F191" s="101" t="n">
        <f>'U180-Create_stores_the_planned_'!K5</f>
        <v>0</v>
      </c>
      <c r="G191" s="101" t="n">
        <f>'U180-Create_stores_the_planned_'!L5</f>
        <v>0</v>
      </c>
      <c r="H191" s="102" t="n">
        <f>'U180-Create_stores_the_planned_'!M5</f>
        <v>0</v>
      </c>
      <c r="I191" s="101" t="n">
        <f>'U180-Create_stores_the_planned_'!N5</f>
        <v>1</v>
      </c>
    </row>
    <row r="192" ht="30" customHeight="1">
      <c r="A192" s="100" t="n">
        <v>181</v>
      </c>
      <c r="B192" s="76" t="str">
        <v>U181-Create_rejects_a_time_with</v>
      </c>
      <c r="C192" s="101" t="n">
        <f>'U181-Create_rejects_a_time_with'!A5</f>
        <v>0</v>
      </c>
      <c r="D192" s="101" t="n">
        <f>'U181-Create_rejects_a_time_with'!C5</f>
        <v>0</v>
      </c>
      <c r="E192" s="101" t="n">
        <f>'U181-Create_rejects_a_time_with'!E5</f>
        <v>1</v>
      </c>
      <c r="F192" s="101" t="n">
        <f>'U181-Create_rejects_a_time_with'!K5</f>
        <v>0</v>
      </c>
      <c r="G192" s="101" t="n">
        <f>'U181-Create_rejects_a_time_with'!L5</f>
        <v>0</v>
      </c>
      <c r="H192" s="102" t="n">
        <f>'U181-Create_rejects_a_time_with'!M5</f>
        <v>0</v>
      </c>
      <c r="I192" s="101" t="n">
        <f>'U181-Create_rejects_a_time_with'!N5</f>
        <v>1</v>
      </c>
    </row>
    <row r="193" ht="30" customHeight="1">
      <c r="A193" s="100" t="n">
        <v>182</v>
      </c>
      <c r="B193" s="76" t="str">
        <v>U182-Update_of_a_draft_keeps_a_</v>
      </c>
      <c r="C193" s="101" t="n">
        <f>'U182-Update_of_a_draft_keeps_a_'!A5</f>
        <v>0</v>
      </c>
      <c r="D193" s="101" t="n">
        <f>'U182-Update_of_a_draft_keeps_a_'!C5</f>
        <v>0</v>
      </c>
      <c r="E193" s="101" t="n">
        <f>'U182-Update_of_a_draft_keeps_a_'!E5</f>
        <v>1</v>
      </c>
      <c r="F193" s="101" t="n">
        <f>'U182-Update_of_a_draft_keeps_a_'!K5</f>
        <v>0</v>
      </c>
      <c r="G193" s="101" t="n">
        <f>'U182-Update_of_a_draft_keeps_a_'!L5</f>
        <v>0</v>
      </c>
      <c r="H193" s="102" t="n">
        <f>'U182-Update_of_a_draft_keeps_a_'!M5</f>
        <v>0</v>
      </c>
      <c r="I193" s="101" t="n">
        <f>'U182-Update_of_a_draft_keeps_a_'!N5</f>
        <v>1</v>
      </c>
    </row>
    <row r="194" ht="30" customHeight="1">
      <c r="A194" s="100" t="n">
        <v>183</v>
      </c>
      <c r="B194" s="76" t="str">
        <v>U183-Create_leaves_the_approver</v>
      </c>
      <c r="C194" s="101" t="n">
        <f>'U183-Create_leaves_the_approver'!A5</f>
        <v>0</v>
      </c>
      <c r="D194" s="101" t="n">
        <f>'U183-Create_leaves_the_approver'!C5</f>
        <v>0</v>
      </c>
      <c r="E194" s="101" t="n">
        <f>'U183-Create_leaves_the_approver'!E5</f>
        <v>1</v>
      </c>
      <c r="F194" s="101" t="n">
        <f>'U183-Create_leaves_the_approver'!K5</f>
        <v>0</v>
      </c>
      <c r="G194" s="101" t="n">
        <f>'U183-Create_leaves_the_approver'!L5</f>
        <v>0</v>
      </c>
      <c r="H194" s="102" t="n">
        <f>'U183-Create_leaves_the_approver'!M5</f>
        <v>0</v>
      </c>
      <c r="I194" s="101" t="n">
        <f>'U183-Create_leaves_the_approver'!N5</f>
        <v>1</v>
      </c>
    </row>
    <row r="195" ht="30" customHeight="1">
      <c r="A195" s="100" t="n">
        <v>184</v>
      </c>
      <c r="B195" s="76" t="str">
        <v>U184-Create_does_not_assign_or_</v>
      </c>
      <c r="C195" s="101" t="n">
        <f>'U184-Create_does_not_assign_or_'!A5</f>
        <v>0</v>
      </c>
      <c r="D195" s="101" t="n">
        <f>'U184-Create_does_not_assign_or_'!C5</f>
        <v>0</v>
      </c>
      <c r="E195" s="101" t="n">
        <f>'U184-Create_does_not_assign_or_'!E5</f>
        <v>1</v>
      </c>
      <c r="F195" s="101" t="n">
        <f>'U184-Create_does_not_assign_or_'!K5</f>
        <v>0</v>
      </c>
      <c r="G195" s="101" t="n">
        <f>'U184-Create_does_not_assign_or_'!L5</f>
        <v>0</v>
      </c>
      <c r="H195" s="102" t="n">
        <f>'U184-Create_does_not_assign_or_'!M5</f>
        <v>0</v>
      </c>
      <c r="I195" s="101" t="n">
        <f>'U184-Create_does_not_assign_or_'!N5</f>
        <v>1</v>
      </c>
    </row>
    <row r="196" ht="30" customHeight="1">
      <c r="A196" s="100" t="n">
        <v>185</v>
      </c>
      <c r="B196" s="76" t="str">
        <v>U185-Update_changes_draft_field</v>
      </c>
      <c r="C196" s="101" t="n">
        <f>'U185-Update_changes_draft_field'!A5</f>
        <v>0</v>
      </c>
      <c r="D196" s="101" t="n">
        <f>'U185-Update_changes_draft_field'!C5</f>
        <v>0</v>
      </c>
      <c r="E196" s="101" t="n">
        <f>'U185-Update_changes_draft_field'!E5</f>
        <v>1</v>
      </c>
      <c r="F196" s="101" t="n">
        <f>'U185-Update_changes_draft_field'!K5</f>
        <v>0</v>
      </c>
      <c r="G196" s="101" t="n">
        <f>'U185-Update_changes_draft_field'!L5</f>
        <v>0</v>
      </c>
      <c r="H196" s="102" t="n">
        <f>'U185-Update_changes_draft_field'!M5</f>
        <v>0</v>
      </c>
      <c r="I196" s="101" t="n">
        <f>'U185-Update_changes_draft_field'!N5</f>
        <v>1</v>
      </c>
    </row>
    <row r="197" ht="30" customHeight="1">
      <c r="A197" s="100" t="n">
        <v>186</v>
      </c>
      <c r="B197" s="76" t="str">
        <v>U186-Update_uses_form_defaults</v>
      </c>
      <c r="C197" s="101" t="n">
        <f>'U186-Update_uses_form_defaults'!A5</f>
        <v>0</v>
      </c>
      <c r="D197" s="101" t="n">
        <f>'U186-Update_uses_form_defaults'!C5</f>
        <v>0</v>
      </c>
      <c r="E197" s="101" t="n">
        <f>'U186-Update_uses_form_defaults'!E5</f>
        <v>1</v>
      </c>
      <c r="F197" s="101" t="n">
        <f>'U186-Update_uses_form_defaults'!K5</f>
        <v>0</v>
      </c>
      <c r="G197" s="101" t="n">
        <f>'U186-Update_uses_form_defaults'!L5</f>
        <v>0</v>
      </c>
      <c r="H197" s="102" t="n">
        <f>'U186-Update_uses_form_defaults'!M5</f>
        <v>0</v>
      </c>
      <c r="I197" s="101" t="n">
        <f>'U186-Update_uses_form_defaults'!N5</f>
        <v>1</v>
      </c>
    </row>
    <row r="198" ht="30" customHeight="1">
      <c r="A198" s="100" t="n">
        <v>187</v>
      </c>
      <c r="B198" s="76" t="str">
        <v>U187-Update_changes_rejected_in</v>
      </c>
      <c r="C198" s="101" t="n">
        <f>'U187-Update_changes_rejected_in'!A5</f>
        <v>0</v>
      </c>
      <c r="D198" s="101" t="n">
        <f>'U187-Update_changes_rejected_in'!C5</f>
        <v>0</v>
      </c>
      <c r="E198" s="101" t="n">
        <f>'U187-Update_changes_rejected_in'!E5</f>
        <v>1</v>
      </c>
      <c r="F198" s="101" t="n">
        <f>'U187-Update_changes_rejected_in'!K5</f>
        <v>0</v>
      </c>
      <c r="G198" s="101" t="n">
        <f>'U187-Update_changes_rejected_in'!L5</f>
        <v>0</v>
      </c>
      <c r="H198" s="102" t="n">
        <f>'U187-Update_changes_rejected_in'!M5</f>
        <v>0</v>
      </c>
      <c r="I198" s="101" t="n">
        <f>'U187-Update_changes_rejected_in'!N5</f>
        <v>1</v>
      </c>
    </row>
    <row r="199" ht="30" customHeight="1">
      <c r="A199" s="100" t="n">
        <v>188</v>
      </c>
      <c r="B199" s="76" t="str">
        <v>U188-Update_returns_validation_</v>
      </c>
      <c r="C199" s="101" t="n">
        <f>'U188-Update_returns_validation_'!A5</f>
        <v>0</v>
      </c>
      <c r="D199" s="101" t="n">
        <f>'U188-Update_returns_validation_'!C5</f>
        <v>0</v>
      </c>
      <c r="E199" s="101" t="n">
        <f>'U188-Update_returns_validation_'!E5</f>
        <v>1</v>
      </c>
      <c r="F199" s="101" t="n">
        <f>'U188-Update_returns_validation_'!K5</f>
        <v>0</v>
      </c>
      <c r="G199" s="101" t="n">
        <f>'U188-Update_returns_validation_'!L5</f>
        <v>0</v>
      </c>
      <c r="H199" s="102" t="n">
        <f>'U188-Update_returns_validation_'!M5</f>
        <v>0</v>
      </c>
      <c r="I199" s="101" t="n">
        <f>'U188-Update_returns_validation_'!N5</f>
        <v>1</v>
      </c>
    </row>
    <row r="200" ht="30" customHeight="1">
      <c r="A200" s="100" t="n">
        <v>189</v>
      </c>
      <c r="B200" s="76" t="str">
        <v>U189-Update_rejects_a_meeting_o</v>
      </c>
      <c r="C200" s="101" t="n">
        <f>'U189-Update_rejects_a_meeting_o'!A5</f>
        <v>0</v>
      </c>
      <c r="D200" s="101" t="n">
        <f>'U189-Update_rejects_a_meeting_o'!C5</f>
        <v>0</v>
      </c>
      <c r="E200" s="101" t="n">
        <f>'U189-Update_rejects_a_meeting_o'!E5</f>
        <v>1</v>
      </c>
      <c r="F200" s="101" t="n">
        <f>'U189-Update_rejects_a_meeting_o'!K5</f>
        <v>0</v>
      </c>
      <c r="G200" s="101" t="n">
        <f>'U189-Update_rejects_a_meeting_o'!L5</f>
        <v>0</v>
      </c>
      <c r="H200" s="102" t="n">
        <f>'U189-Update_rejects_a_meeting_o'!M5</f>
        <v>0</v>
      </c>
      <c r="I200" s="101" t="n">
        <f>'U189-Update_rejects_a_meeting_o'!N5</f>
        <v>1</v>
      </c>
    </row>
    <row r="201" ht="30" customHeight="1">
      <c r="A201" s="100" t="n">
        <v>190</v>
      </c>
      <c r="B201" s="76" t="str">
        <v>U190-Update_does_not_save_when_</v>
      </c>
      <c r="C201" s="101" t="n">
        <f>'U190-Update_does_not_save_when_'!A5</f>
        <v>0</v>
      </c>
      <c r="D201" s="101" t="n">
        <f>'U190-Update_does_not_save_when_'!C5</f>
        <v>0</v>
      </c>
      <c r="E201" s="101" t="n">
        <f>'U190-Update_does_not_save_when_'!E5</f>
        <v>1</v>
      </c>
      <c r="F201" s="101" t="n">
        <f>'U190-Update_does_not_save_when_'!K5</f>
        <v>0</v>
      </c>
      <c r="G201" s="101" t="n">
        <f>'U190-Update_does_not_save_when_'!L5</f>
        <v>0</v>
      </c>
      <c r="H201" s="102" t="n">
        <f>'U190-Update_does_not_save_when_'!M5</f>
        <v>0</v>
      </c>
      <c r="I201" s="101" t="n">
        <f>'U190-Update_does_not_save_when_'!N5</f>
        <v>1</v>
      </c>
    </row>
    <row r="202" ht="30" customHeight="1">
      <c r="A202" s="100" t="n">
        <v>191</v>
      </c>
      <c r="B202" s="76" t="str">
        <v>U191-Update_preserves_a_draft_a</v>
      </c>
      <c r="C202" s="101" t="n">
        <f>'U191-Update_preserves_a_draft_a'!A5</f>
        <v>0</v>
      </c>
      <c r="D202" s="101" t="n">
        <f>'U191-Update_preserves_a_draft_a'!C5</f>
        <v>0</v>
      </c>
      <c r="E202" s="101" t="n">
        <f>'U191-Update_preserves_a_draft_a'!E5</f>
        <v>1</v>
      </c>
      <c r="F202" s="101" t="n">
        <f>'U191-Update_preserves_a_draft_a'!K5</f>
        <v>0</v>
      </c>
      <c r="G202" s="101" t="n">
        <f>'U191-Update_preserves_a_draft_a'!L5</f>
        <v>0</v>
      </c>
      <c r="H202" s="102" t="n">
        <f>'U191-Update_preserves_a_draft_a'!M5</f>
        <v>0</v>
      </c>
      <c r="I202" s="101" t="n">
        <f>'U191-Update_preserves_a_draft_a'!N5</f>
        <v>1</v>
      </c>
    </row>
    <row r="203" ht="30" customHeight="1">
      <c r="A203" s="100" t="n">
        <v>192</v>
      </c>
      <c r="B203" s="76" t="str">
        <v>U192-Get_and_update_return_the_</v>
      </c>
      <c r="C203" s="101" t="n">
        <f>'U192-Get_and_update_return_the_'!A5</f>
        <v>0</v>
      </c>
      <c r="D203" s="101" t="n">
        <f>'U192-Get_and_update_return_the_'!C5</f>
        <v>0</v>
      </c>
      <c r="E203" s="101" t="n">
        <f>'U192-Get_and_update_return_the_'!E5</f>
        <v>1</v>
      </c>
      <c r="F203" s="101" t="n">
        <f>'U192-Get_and_update_return_the_'!K5</f>
        <v>0</v>
      </c>
      <c r="G203" s="101" t="n">
        <f>'U192-Get_and_update_return_the_'!L5</f>
        <v>0</v>
      </c>
      <c r="H203" s="102" t="n">
        <f>'U192-Get_and_update_return_the_'!M5</f>
        <v>0</v>
      </c>
      <c r="I203" s="101" t="n">
        <f>'U192-Get_and_update_return_the_'!N5</f>
        <v>1</v>
      </c>
    </row>
    <row r="204" ht="30" customHeight="1">
      <c r="A204" s="100" t="n">
        <v>193</v>
      </c>
      <c r="B204" s="76" t="str">
        <v>U193-Get_allows_the_assigned_ap</v>
      </c>
      <c r="C204" s="101" t="n">
        <f>'U193-Get_allows_the_assigned_ap'!A5</f>
        <v>0</v>
      </c>
      <c r="D204" s="101" t="n">
        <f>'U193-Get_allows_the_assigned_ap'!C5</f>
        <v>0</v>
      </c>
      <c r="E204" s="101" t="n">
        <f>'U193-Get_allows_the_assigned_ap'!E5</f>
        <v>1</v>
      </c>
      <c r="F204" s="101" t="n">
        <f>'U193-Get_allows_the_assigned_ap'!K5</f>
        <v>0</v>
      </c>
      <c r="G204" s="101" t="n">
        <f>'U193-Get_allows_the_assigned_ap'!L5</f>
        <v>0</v>
      </c>
      <c r="H204" s="102" t="n">
        <f>'U193-Get_allows_the_assigned_ap'!M5</f>
        <v>0</v>
      </c>
      <c r="I204" s="101" t="n">
        <f>'U193-Get_allows_the_assigned_ap'!N5</f>
        <v>1</v>
      </c>
    </row>
    <row r="205" ht="30" customHeight="1">
      <c r="A205" s="100" t="n">
        <v>194</v>
      </c>
      <c r="B205" s="76" t="str">
        <v>U194-Get_returns_a_read_failure</v>
      </c>
      <c r="C205" s="101" t="n">
        <f>'U194-Get_returns_a_read_failure'!A5</f>
        <v>0</v>
      </c>
      <c r="D205" s="101" t="n">
        <f>'U194-Get_returns_a_read_failure'!C5</f>
        <v>0</v>
      </c>
      <c r="E205" s="101" t="n">
        <f>'U194-Get_returns_a_read_failure'!E5</f>
        <v>1</v>
      </c>
      <c r="F205" s="101" t="n">
        <f>'U194-Get_returns_a_read_failure'!K5</f>
        <v>0</v>
      </c>
      <c r="G205" s="101" t="n">
        <f>'U194-Get_returns_a_read_failure'!L5</f>
        <v>0</v>
      </c>
      <c r="H205" s="102" t="n">
        <f>'U194-Get_returns_a_read_failure'!M5</f>
        <v>0</v>
      </c>
      <c r="I205" s="101" t="n">
        <f>'U194-Get_returns_a_read_failure'!N5</f>
        <v>1</v>
      </c>
    </row>
    <row r="206" ht="30" customHeight="1">
      <c r="A206" s="100" t="n">
        <v>195</v>
      </c>
      <c r="B206" s="76" t="str">
        <v>U195-List_forwards_criteria_and</v>
      </c>
      <c r="C206" s="101" t="n">
        <f>'U195-List_forwards_criteria_and'!A5</f>
        <v>0</v>
      </c>
      <c r="D206" s="101" t="n">
        <f>'U195-List_forwards_criteria_and'!C5</f>
        <v>0</v>
      </c>
      <c r="E206" s="101" t="n">
        <f>'U195-List_forwards_criteria_and'!E5</f>
        <v>1</v>
      </c>
      <c r="F206" s="101" t="n">
        <f>'U195-List_forwards_criteria_and'!K5</f>
        <v>0</v>
      </c>
      <c r="G206" s="101" t="n">
        <f>'U195-List_forwards_criteria_and'!L5</f>
        <v>0</v>
      </c>
      <c r="H206" s="102" t="n">
        <f>'U195-List_forwards_criteria_and'!M5</f>
        <v>0</v>
      </c>
      <c r="I206" s="101" t="n">
        <f>'U195-List_forwards_criteria_and'!N5</f>
        <v>1</v>
      </c>
    </row>
    <row r="207" ht="30" customHeight="1">
      <c r="A207" s="100" t="n">
        <v>196</v>
      </c>
      <c r="B207" s="76" t="str">
        <v>U196-List_maps_a_database_failu</v>
      </c>
      <c r="C207" s="101" t="n">
        <f>'U196-List_maps_a_database_failu'!A5</f>
        <v>0</v>
      </c>
      <c r="D207" s="101" t="n">
        <f>'U196-List_maps_a_database_failu'!C5</f>
        <v>0</v>
      </c>
      <c r="E207" s="101" t="n">
        <f>'U196-List_maps_a_database_failu'!E5</f>
        <v>1</v>
      </c>
      <c r="F207" s="101" t="n">
        <f>'U196-List_maps_a_database_failu'!K5</f>
        <v>0</v>
      </c>
      <c r="G207" s="101" t="n">
        <f>'U196-List_maps_a_database_failu'!L5</f>
        <v>0</v>
      </c>
      <c r="H207" s="102" t="n">
        <f>'U196-List_maps_a_database_failu'!M5</f>
        <v>0</v>
      </c>
      <c r="I207" s="101" t="n">
        <f>'U196-List_maps_a_database_failu'!N5</f>
        <v>1</v>
      </c>
    </row>
    <row r="208" ht="30" customHeight="1">
      <c r="A208" s="100" t="n">
        <v>197</v>
      </c>
      <c r="B208" s="76" t="str">
        <v>U197-List_propagates_request_ca</v>
      </c>
      <c r="C208" s="101" t="n">
        <f>'U197-List_propagates_request_ca'!A5</f>
        <v>0</v>
      </c>
      <c r="D208" s="101" t="n">
        <f>'U197-List_propagates_request_ca'!C5</f>
        <v>0</v>
      </c>
      <c r="E208" s="101" t="n">
        <f>'U197-List_propagates_request_ca'!E5</f>
        <v>1</v>
      </c>
      <c r="F208" s="101" t="n">
        <f>'U197-List_propagates_request_ca'!K5</f>
        <v>0</v>
      </c>
      <c r="G208" s="101" t="n">
        <f>'U197-List_propagates_request_ca'!L5</f>
        <v>0</v>
      </c>
      <c r="H208" s="102" t="n">
        <f>'U197-List_propagates_request_ca'!M5</f>
        <v>0</v>
      </c>
      <c r="I208" s="101" t="n">
        <f>'U197-List_propagates_request_ca'!N5</f>
        <v>1</v>
      </c>
    </row>
    <row r="209" ht="30" customHeight="1">
      <c r="A209" s="100" t="n">
        <v>198</v>
      </c>
      <c r="B209" s="76" t="str">
        <v>U198-List_eligible_approvers_re</v>
      </c>
      <c r="C209" s="101" t="n">
        <f>'U198-List_eligible_approvers_re'!A5</f>
        <v>0</v>
      </c>
      <c r="D209" s="101" t="n">
        <f>'U198-List_eligible_approvers_re'!C5</f>
        <v>0</v>
      </c>
      <c r="E209" s="101" t="n">
        <f>'U198-List_eligible_approvers_re'!E5</f>
        <v>1</v>
      </c>
      <c r="F209" s="101" t="n">
        <f>'U198-List_eligible_approvers_re'!K5</f>
        <v>0</v>
      </c>
      <c r="G209" s="101" t="n">
        <f>'U198-List_eligible_approvers_re'!L5</f>
        <v>0</v>
      </c>
      <c r="H209" s="102" t="n">
        <f>'U198-List_eligible_approvers_re'!M5</f>
        <v>0</v>
      </c>
      <c r="I209" s="101" t="n">
        <f>'U198-List_eligible_approvers_re'!N5</f>
        <v>1</v>
      </c>
    </row>
    <row r="210" ht="30" customHeight="1">
      <c r="A210" s="100" t="n">
        <v>199</v>
      </c>
      <c r="B210" s="76" t="str">
        <v>U199-List_eligible_approvers_ma</v>
      </c>
      <c r="C210" s="101" t="n">
        <f>'U199-List_eligible_approvers_ma'!A5</f>
        <v>0</v>
      </c>
      <c r="D210" s="101" t="n">
        <f>'U199-List_eligible_approvers_ma'!C5</f>
        <v>0</v>
      </c>
      <c r="E210" s="101" t="n">
        <f>'U199-List_eligible_approvers_ma'!E5</f>
        <v>1</v>
      </c>
      <c r="F210" s="101" t="n">
        <f>'U199-List_eligible_approvers_ma'!K5</f>
        <v>0</v>
      </c>
      <c r="G210" s="101" t="n">
        <f>'U199-List_eligible_approvers_ma'!L5</f>
        <v>0</v>
      </c>
      <c r="H210" s="102" t="n">
        <f>'U199-List_eligible_approvers_ma'!M5</f>
        <v>0</v>
      </c>
      <c r="I210" s="101" t="n">
        <f>'U199-List_eligible_approvers_ma'!N5</f>
        <v>1</v>
      </c>
    </row>
    <row r="211" ht="30" customHeight="1">
      <c r="A211" s="100" t="n">
        <v>200</v>
      </c>
      <c r="B211" s="76" t="str">
        <v>U200-Save_failure_is_returned_a</v>
      </c>
      <c r="C211" s="101" t="n">
        <f>'U200-Save_failure_is_returned_a'!A5</f>
        <v>0</v>
      </c>
      <c r="D211" s="101" t="n">
        <f>'U200-Save_failure_is_returned_a'!C5</f>
        <v>0</v>
      </c>
      <c r="E211" s="101" t="n">
        <f>'U200-Save_failure_is_returned_a'!E5</f>
        <v>1</v>
      </c>
      <c r="F211" s="101" t="n">
        <f>'U200-Save_failure_is_returned_a'!K5</f>
        <v>0</v>
      </c>
      <c r="G211" s="101" t="n">
        <f>'U200-Save_failure_is_returned_a'!L5</f>
        <v>0</v>
      </c>
      <c r="H211" s="102" t="n">
        <f>'U200-Save_failure_is_returned_a'!M5</f>
        <v>0</v>
      </c>
      <c r="I211" s="101" t="n">
        <f>'U200-Save_failure_is_returned_a'!N5</f>
        <v>1</v>
      </c>
    </row>
    <row r="212" ht="30" customHeight="1">
      <c r="A212" s="100" t="n">
        <v>201</v>
      </c>
      <c r="B212" s="76" t="str">
        <v>U201-Update_save_failure_is_ret</v>
      </c>
      <c r="C212" s="101" t="n">
        <f>'U201-Update_save_failure_is_ret'!A5</f>
        <v>0</v>
      </c>
      <c r="D212" s="101" t="n">
        <f>'U201-Update_save_failure_is_ret'!C5</f>
        <v>0</v>
      </c>
      <c r="E212" s="101" t="n">
        <f>'U201-Update_save_failure_is_ret'!E5</f>
        <v>1</v>
      </c>
      <c r="F212" s="101" t="n">
        <f>'U201-Update_save_failure_is_ret'!K5</f>
        <v>0</v>
      </c>
      <c r="G212" s="101" t="n">
        <f>'U201-Update_save_failure_is_ret'!L5</f>
        <v>0</v>
      </c>
      <c r="H212" s="102" t="n">
        <f>'U201-Update_save_failure_is_ret'!M5</f>
        <v>0</v>
      </c>
      <c r="I212" s="101" t="n">
        <f>'U201-Update_save_failure_is_ret'!N5</f>
        <v>1</v>
      </c>
    </row>
    <row r="213" ht="30" customHeight="1">
      <c r="A213" s="100" t="n">
        <v>202</v>
      </c>
      <c r="B213" s="76" t="str">
        <v>U202-Submission_readiness_does_</v>
      </c>
      <c r="C213" s="101" t="n">
        <f>'U202-Submission_readiness_does_'!A5</f>
        <v>0</v>
      </c>
      <c r="D213" s="101" t="n">
        <f>'U202-Submission_readiness_does_'!C5</f>
        <v>0</v>
      </c>
      <c r="E213" s="101" t="n">
        <f>'U202-Submission_readiness_does_'!E5</f>
        <v>1</v>
      </c>
      <c r="F213" s="101" t="n">
        <f>'U202-Submission_readiness_does_'!K5</f>
        <v>0</v>
      </c>
      <c r="G213" s="101" t="n">
        <f>'U202-Submission_readiness_does_'!L5</f>
        <v>0</v>
      </c>
      <c r="H213" s="102" t="n">
        <f>'U202-Submission_readiness_does_'!M5</f>
        <v>0</v>
      </c>
      <c r="I213" s="101" t="n">
        <f>'U202-Submission_readiness_does_'!N5</f>
        <v>1</v>
      </c>
    </row>
    <row r="214" ht="30" customHeight="1">
      <c r="A214" s="100" t="n">
        <v>203</v>
      </c>
      <c r="B214" s="76" t="str">
        <v>U203-Submission_readiness_requi</v>
      </c>
      <c r="C214" s="101" t="n">
        <f>'U203-Submission_readiness_requi'!A5</f>
        <v>0</v>
      </c>
      <c r="D214" s="101" t="n">
        <f>'U203-Submission_readiness_requi'!C5</f>
        <v>0</v>
      </c>
      <c r="E214" s="101" t="n">
        <f>'U203-Submission_readiness_requi'!E5</f>
        <v>1</v>
      </c>
      <c r="F214" s="101" t="n">
        <f>'U203-Submission_readiness_requi'!K5</f>
        <v>0</v>
      </c>
      <c r="G214" s="101" t="n">
        <f>'U203-Submission_readiness_requi'!L5</f>
        <v>0</v>
      </c>
      <c r="H214" s="102" t="n">
        <f>'U203-Submission_readiness_requi'!M5</f>
        <v>0</v>
      </c>
      <c r="I214" s="101" t="n">
        <f>'U203-Submission_readiness_requi'!N5</f>
        <v>1</v>
      </c>
    </row>
    <row r="215" ht="30" customHeight="1">
      <c r="A215" s="100" t="n">
        <v>204</v>
      </c>
      <c r="B215" s="76" t="str">
        <v>U204-Meeting_readiness_reuses_i</v>
      </c>
      <c r="C215" s="101" t="n">
        <f>'U204-Meeting_readiness_reuses_i'!A5</f>
        <v>0</v>
      </c>
      <c r="D215" s="101" t="n">
        <f>'U204-Meeting_readiness_reuses_i'!C5</f>
        <v>0</v>
      </c>
      <c r="E215" s="101" t="n">
        <f>'U204-Meeting_readiness_reuses_i'!E5</f>
        <v>1</v>
      </c>
      <c r="F215" s="101" t="n">
        <f>'U204-Meeting_readiness_reuses_i'!K5</f>
        <v>0</v>
      </c>
      <c r="G215" s="101" t="n">
        <f>'U204-Meeting_readiness_reuses_i'!L5</f>
        <v>0</v>
      </c>
      <c r="H215" s="102" t="n">
        <f>'U204-Meeting_readiness_reuses_i'!M5</f>
        <v>0</v>
      </c>
      <c r="I215" s="101" t="n">
        <f>'U204-Meeting_readiness_reuses_i'!N5</f>
        <v>1</v>
      </c>
    </row>
    <row r="216" ht="30" customHeight="1">
      <c r="A216" s="100" t="n">
        <v>205</v>
      </c>
      <c r="B216" s="76" t="str">
        <v>U205-Submit_records_assignment_</v>
      </c>
      <c r="C216" s="101" t="n">
        <f>'U205-Submit_records_assignment_'!A5</f>
        <v>0</v>
      </c>
      <c r="D216" s="101" t="n">
        <f>'U205-Submit_records_assignment_'!C5</f>
        <v>0</v>
      </c>
      <c r="E216" s="101" t="n">
        <f>'U205-Submit_records_assignment_'!E5</f>
        <v>1</v>
      </c>
      <c r="F216" s="101" t="n">
        <f>'U205-Submit_records_assignment_'!K5</f>
        <v>0</v>
      </c>
      <c r="G216" s="101" t="n">
        <f>'U205-Submit_records_assignment_'!L5</f>
        <v>0</v>
      </c>
      <c r="H216" s="102" t="n">
        <f>'U205-Submit_records_assignment_'!M5</f>
        <v>0</v>
      </c>
      <c r="I216" s="101" t="n">
        <f>'U205-Submit_records_assignment_'!N5</f>
        <v>1</v>
      </c>
    </row>
    <row r="217" ht="30" customHeight="1">
      <c r="A217" s="100" t="n">
        <v>206</v>
      </c>
      <c r="B217" s="76" t="str">
        <v>U206-Approve_notifies_the_organ</v>
      </c>
      <c r="C217" s="101" t="n">
        <f>'U206-Approve_notifies_the_organ'!A5</f>
        <v>0</v>
      </c>
      <c r="D217" s="101" t="n">
        <f>'U206-Approve_notifies_the_organ'!C5</f>
        <v>0</v>
      </c>
      <c r="E217" s="101" t="n">
        <f>'U206-Approve_notifies_the_organ'!E5</f>
        <v>1</v>
      </c>
      <c r="F217" s="101" t="n">
        <f>'U206-Approve_notifies_the_organ'!K5</f>
        <v>0</v>
      </c>
      <c r="G217" s="101" t="n">
        <f>'U206-Approve_notifies_the_organ'!L5</f>
        <v>0</v>
      </c>
      <c r="H217" s="102" t="n">
        <f>'U206-Approve_notifies_the_organ'!M5</f>
        <v>0</v>
      </c>
      <c r="I217" s="101" t="n">
        <f>'U206-Approve_notifies_the_organ'!N5</f>
        <v>1</v>
      </c>
    </row>
    <row r="218" ht="30" customHeight="1">
      <c r="A218" s="100" t="n">
        <v>207</v>
      </c>
      <c r="B218" s="76" t="str">
        <v>U207-Reject_notifies_the_organi</v>
      </c>
      <c r="C218" s="101" t="n">
        <f>'U207-Reject_notifies_the_organi'!A5</f>
        <v>0</v>
      </c>
      <c r="D218" s="101" t="n">
        <f>'U207-Reject_notifies_the_organi'!C5</f>
        <v>0</v>
      </c>
      <c r="E218" s="101" t="n">
        <f>'U207-Reject_notifies_the_organi'!E5</f>
        <v>1</v>
      </c>
      <c r="F218" s="101" t="n">
        <f>'U207-Reject_notifies_the_organi'!K5</f>
        <v>0</v>
      </c>
      <c r="G218" s="101" t="n">
        <f>'U207-Reject_notifies_the_organi'!L5</f>
        <v>0</v>
      </c>
      <c r="H218" s="102" t="n">
        <f>'U207-Reject_notifies_the_organi'!M5</f>
        <v>0</v>
      </c>
      <c r="I218" s="101" t="n">
        <f>'U207-Reject_notifies_the_organi'!N5</f>
        <v>1</v>
      </c>
    </row>
    <row r="219" ht="30" customHeight="1">
      <c r="A219" s="100" t="n">
        <v>208</v>
      </c>
      <c r="B219" s="76" t="str">
        <v>U208-Rejected_meeting_returns_t</v>
      </c>
      <c r="C219" s="101" t="n">
        <f>'U208-Rejected_meeting_returns_t'!A5</f>
        <v>0</v>
      </c>
      <c r="D219" s="101" t="n">
        <f>'U208-Rejected_meeting_returns_t'!C5</f>
        <v>0</v>
      </c>
      <c r="E219" s="101" t="n">
        <f>'U208-Rejected_meeting_returns_t'!E5</f>
        <v>1</v>
      </c>
      <c r="F219" s="101" t="n">
        <f>'U208-Rejected_meeting_returns_t'!K5</f>
        <v>0</v>
      </c>
      <c r="G219" s="101" t="n">
        <f>'U208-Rejected_meeting_returns_t'!L5</f>
        <v>0</v>
      </c>
      <c r="H219" s="102" t="n">
        <f>'U208-Rejected_meeting_returns_t'!M5</f>
        <v>0</v>
      </c>
      <c r="I219" s="101" t="n">
        <f>'U208-Rejected_meeting_returns_t'!N5</f>
        <v>1</v>
      </c>
    </row>
    <row r="220" ht="30" customHeight="1">
      <c r="A220" s="100" t="n">
        <v>209</v>
      </c>
      <c r="B220" s="76" t="str">
        <v>U209-Draft_approver_selected_by</v>
      </c>
      <c r="C220" s="101" t="n">
        <f>'U209-Draft_approver_selected_by'!A5</f>
        <v>0</v>
      </c>
      <c r="D220" s="101" t="n">
        <f>'U209-Draft_approver_selected_by'!C5</f>
        <v>0</v>
      </c>
      <c r="E220" s="101" t="n">
        <f>'U209-Draft_approver_selected_by'!E5</f>
        <v>1</v>
      </c>
      <c r="F220" s="101" t="n">
        <f>'U209-Draft_approver_selected_by'!K5</f>
        <v>0</v>
      </c>
      <c r="G220" s="101" t="n">
        <f>'U209-Draft_approver_selected_by'!L5</f>
        <v>0</v>
      </c>
      <c r="H220" s="102" t="n">
        <f>'U209-Draft_approver_selected_by'!M5</f>
        <v>0</v>
      </c>
      <c r="I220" s="101" t="n">
        <f>'U209-Draft_approver_selected_by'!N5</f>
        <v>1</v>
      </c>
    </row>
    <row r="221" ht="30" customHeight="1">
      <c r="A221" s="100" t="n">
        <v>210</v>
      </c>
      <c r="B221" s="76" t="str">
        <v>U210-Assigned_approver_with_cap</v>
      </c>
      <c r="C221" s="101" t="n">
        <f>'U210-Assigned_approver_with_cap'!A5</f>
        <v>0</v>
      </c>
      <c r="D221" s="101" t="n">
        <f>'U210-Assigned_approver_with_cap'!C5</f>
        <v>0</v>
      </c>
      <c r="E221" s="101" t="n">
        <f>'U210-Assigned_approver_with_cap'!E5</f>
        <v>1</v>
      </c>
      <c r="F221" s="101" t="n">
        <f>'U210-Assigned_approver_with_cap'!K5</f>
        <v>0</v>
      </c>
      <c r="G221" s="101" t="n">
        <f>'U210-Assigned_approver_with_cap'!L5</f>
        <v>0</v>
      </c>
      <c r="H221" s="102" t="n">
        <f>'U210-Assigned_approver_with_cap'!M5</f>
        <v>0</v>
      </c>
      <c r="I221" s="101" t="n">
        <f>'U210-Assigned_approver_with_cap'!N5</f>
        <v>1</v>
      </c>
    </row>
    <row r="222" ht="30" customHeight="1">
      <c r="A222" s="100" t="n">
        <v>211</v>
      </c>
      <c r="B222" s="76" t="str">
        <v>U211-Assigned_approver_without_</v>
      </c>
      <c r="C222" s="101" t="n">
        <f>'U211-Assigned_approver_without_'!A5</f>
        <v>0</v>
      </c>
      <c r="D222" s="101" t="n">
        <f>'U211-Assigned_approver_without_'!C5</f>
        <v>0</v>
      </c>
      <c r="E222" s="101" t="n">
        <f>'U211-Assigned_approver_without_'!E5</f>
        <v>1</v>
      </c>
      <c r="F222" s="101" t="n">
        <f>'U211-Assigned_approver_without_'!K5</f>
        <v>0</v>
      </c>
      <c r="G222" s="101" t="n">
        <f>'U211-Assigned_approver_without_'!L5</f>
        <v>0</v>
      </c>
      <c r="H222" s="102" t="n">
        <f>'U211-Assigned_approver_without_'!M5</f>
        <v>0</v>
      </c>
      <c r="I222" s="101" t="n">
        <f>'U211-Assigned_approver_without_'!N5</f>
        <v>1</v>
      </c>
    </row>
    <row r="223" ht="30" customHeight="1">
      <c r="A223" s="100" t="n">
        <v>212</v>
      </c>
      <c r="B223" s="76" t="str">
        <v>U212-Readiness_get_and_submit_u</v>
      </c>
      <c r="C223" s="101" t="n">
        <f>'U212-Readiness_get_and_submit_u'!A5</f>
        <v>0</v>
      </c>
      <c r="D223" s="101" t="n">
        <f>'U212-Readiness_get_and_submit_u'!C5</f>
        <v>0</v>
      </c>
      <c r="E223" s="101" t="n">
        <f>'U212-Readiness_get_and_submit_u'!E5</f>
        <v>1</v>
      </c>
      <c r="F223" s="101" t="n">
        <f>'U212-Readiness_get_and_submit_u'!K5</f>
        <v>0</v>
      </c>
      <c r="G223" s="101" t="n">
        <f>'U212-Readiness_get_and_submit_u'!L5</f>
        <v>0</v>
      </c>
      <c r="H223" s="102" t="n">
        <f>'U212-Readiness_get_and_submit_u'!M5</f>
        <v>0</v>
      </c>
      <c r="I223" s="101" t="n">
        <f>'U212-Readiness_get_and_submit_u'!N5</f>
        <v>1</v>
      </c>
    </row>
    <row r="224" ht="30" customHeight="1">
      <c r="A224" s="100" t="n">
        <v>213</v>
      </c>
      <c r="B224" s="76" t="str">
        <v>U213-Reject_requires_nonblank_r</v>
      </c>
      <c r="C224" s="101" t="n">
        <f>'U213-Reject_requires_nonblank_r'!A5</f>
        <v>0</v>
      </c>
      <c r="D224" s="101" t="n">
        <f>'U213-Reject_requires_nonblank_r'!C5</f>
        <v>0</v>
      </c>
      <c r="E224" s="101" t="n">
        <f>'U213-Reject_requires_nonblank_r'!E5</f>
        <v>1</v>
      </c>
      <c r="F224" s="101" t="n">
        <f>'U213-Reject_requires_nonblank_r'!K5</f>
        <v>0</v>
      </c>
      <c r="G224" s="101" t="n">
        <f>'U213-Reject_requires_nonblank_r'!L5</f>
        <v>0</v>
      </c>
      <c r="H224" s="102" t="n">
        <f>'U213-Reject_requires_nonblank_r'!M5</f>
        <v>0</v>
      </c>
      <c r="I224" s="101" t="n">
        <f>'U213-Reject_requires_nonblank_r'!N5</f>
        <v>1</v>
      </c>
    </row>
    <row r="225" ht="30" customHeight="1">
      <c r="A225" s="100" t="n">
        <v>214</v>
      </c>
      <c r="B225" s="76" t="str">
        <v>U214-Reject_accepts_exactly_100</v>
      </c>
      <c r="C225" s="101" t="n">
        <f>'U214-Reject_accepts_exactly_100'!A5</f>
        <v>0</v>
      </c>
      <c r="D225" s="101" t="n">
        <f>'U214-Reject_accepts_exactly_100'!C5</f>
        <v>0</v>
      </c>
      <c r="E225" s="101" t="n">
        <f>'U214-Reject_accepts_exactly_100'!E5</f>
        <v>1</v>
      </c>
      <c r="F225" s="101" t="n">
        <f>'U214-Reject_accepts_exactly_100'!K5</f>
        <v>0</v>
      </c>
      <c r="G225" s="101" t="n">
        <f>'U214-Reject_accepts_exactly_100'!L5</f>
        <v>0</v>
      </c>
      <c r="H225" s="102" t="n">
        <f>'U214-Reject_accepts_exactly_100'!M5</f>
        <v>0</v>
      </c>
      <c r="I225" s="101" t="n">
        <f>'U214-Reject_accepts_exactly_100'!N5</f>
        <v>1</v>
      </c>
    </row>
    <row r="226" ht="30" customHeight="1">
      <c r="A226" s="100" t="n">
        <v>215</v>
      </c>
      <c r="B226" s="76" t="str">
        <v>U215-Publish_notifies_active_no</v>
      </c>
      <c r="C226" s="101" t="n">
        <f>'U215-Publish_notifies_active_no'!A5</f>
        <v>0</v>
      </c>
      <c r="D226" s="101" t="n">
        <f>'U215-Publish_notifies_active_no'!C5</f>
        <v>0</v>
      </c>
      <c r="E226" s="101" t="n">
        <f>'U215-Publish_notifies_active_no'!E5</f>
        <v>1</v>
      </c>
      <c r="F226" s="101" t="n">
        <f>'U215-Publish_notifies_active_no'!K5</f>
        <v>0</v>
      </c>
      <c r="G226" s="101" t="n">
        <f>'U215-Publish_notifies_active_no'!L5</f>
        <v>0</v>
      </c>
      <c r="H226" s="102" t="n">
        <f>'U215-Publish_notifies_active_no'!M5</f>
        <v>0</v>
      </c>
      <c r="I226" s="101" t="n">
        <f>'U215-Publish_notifies_active_no'!N5</f>
        <v>1</v>
      </c>
    </row>
    <row r="227" ht="30" customHeight="1">
      <c r="A227" s="100" t="n">
        <v>216</v>
      </c>
      <c r="B227" s="76" t="str">
        <v>U216-Publish_does_not_notify_th</v>
      </c>
      <c r="C227" s="101" t="n">
        <f>'U216-Publish_does_not_notify_th'!A5</f>
        <v>0</v>
      </c>
      <c r="D227" s="101" t="n">
        <f>'U216-Publish_does_not_notify_th'!C5</f>
        <v>0</v>
      </c>
      <c r="E227" s="101" t="n">
        <f>'U216-Publish_does_not_notify_th'!E5</f>
        <v>1</v>
      </c>
      <c r="F227" s="101" t="n">
        <f>'U216-Publish_does_not_notify_th'!K5</f>
        <v>0</v>
      </c>
      <c r="G227" s="101" t="n">
        <f>'U216-Publish_does_not_notify_th'!L5</f>
        <v>0</v>
      </c>
      <c r="H227" s="102" t="n">
        <f>'U216-Publish_does_not_notify_th'!M5</f>
        <v>0</v>
      </c>
      <c r="I227" s="101" t="n">
        <f>'U216-Publish_does_not_notify_th'!N5</f>
        <v>1</v>
      </c>
    </row>
    <row r="228" ht="30" customHeight="1">
      <c r="A228" s="100" t="n">
        <v>217</v>
      </c>
      <c r="B228" s="76" t="str">
        <v>U217-Publish_keeps_the_full_uni</v>
      </c>
      <c r="C228" s="101" t="n">
        <f>'U217-Publish_keeps_the_full_uni'!A5</f>
        <v>0</v>
      </c>
      <c r="D228" s="101" t="n">
        <f>'U217-Publish_keeps_the_full_uni'!C5</f>
        <v>0</v>
      </c>
      <c r="E228" s="101" t="n">
        <f>'U217-Publish_keeps_the_full_uni'!E5</f>
        <v>1</v>
      </c>
      <c r="F228" s="101" t="n">
        <f>'U217-Publish_keeps_the_full_uni'!K5</f>
        <v>0</v>
      </c>
      <c r="G228" s="101" t="n">
        <f>'U217-Publish_keeps_the_full_uni'!L5</f>
        <v>0</v>
      </c>
      <c r="H228" s="102" t="n">
        <f>'U217-Publish_keeps_the_full_uni'!M5</f>
        <v>0</v>
      </c>
      <c r="I228" s="101" t="n">
        <f>'U217-Publish_keeps_the_full_uni'!N5</f>
        <v>1</v>
      </c>
    </row>
    <row r="229" ht="30" customHeight="1">
      <c r="A229" s="100" t="n">
        <v>218</v>
      </c>
      <c r="B229" s="76" t="str">
        <v>U218-Organizer_cannot_submit_to</v>
      </c>
      <c r="C229" s="101" t="n">
        <f>'U218-Organizer_cannot_submit_to'!A5</f>
        <v>0</v>
      </c>
      <c r="D229" s="101" t="n">
        <f>'U218-Organizer_cannot_submit_to'!C5</f>
        <v>0</v>
      </c>
      <c r="E229" s="101" t="n">
        <f>'U218-Organizer_cannot_submit_to'!E5</f>
        <v>1</v>
      </c>
      <c r="F229" s="101" t="n">
        <f>'U218-Organizer_cannot_submit_to'!K5</f>
        <v>0</v>
      </c>
      <c r="G229" s="101" t="n">
        <f>'U218-Organizer_cannot_submit_to'!L5</f>
        <v>0</v>
      </c>
      <c r="H229" s="102" t="n">
        <f>'U218-Organizer_cannot_submit_to'!M5</f>
        <v>0</v>
      </c>
      <c r="I229" s="101" t="n">
        <f>'U218-Organizer_cannot_submit_to'!N5</f>
        <v>1</v>
      </c>
    </row>
    <row r="230" ht="30" customHeight="1">
      <c r="A230" s="100" t="n">
        <v>219</v>
      </c>
      <c r="B230" s="76" t="str">
        <v>U219-Legacy_self_assignment_can</v>
      </c>
      <c r="C230" s="101" t="n">
        <f>'U219-Legacy_self_assignment_can'!A5</f>
        <v>0</v>
      </c>
      <c r="D230" s="101" t="n">
        <f>'U219-Legacy_self_assignment_can'!C5</f>
        <v>0</v>
      </c>
      <c r="E230" s="101" t="n">
        <f>'U219-Legacy_self_assignment_can'!E5</f>
        <v>1</v>
      </c>
      <c r="F230" s="101" t="n">
        <f>'U219-Legacy_self_assignment_can'!K5</f>
        <v>0</v>
      </c>
      <c r="G230" s="101" t="n">
        <f>'U219-Legacy_self_assignment_can'!L5</f>
        <v>0</v>
      </c>
      <c r="H230" s="102" t="n">
        <f>'U219-Legacy_self_assignment_can'!M5</f>
        <v>0</v>
      </c>
      <c r="I230" s="101" t="n">
        <f>'U219-Legacy_self_assignment_can'!N5</f>
        <v>1</v>
      </c>
    </row>
    <row r="231" ht="30" customHeight="1">
      <c r="A231" s="100" t="n">
        <v>220</v>
      </c>
      <c r="B231" s="76" t="str">
        <v>U220-Waiting_approval_can_be_wi</v>
      </c>
      <c r="C231" s="101" t="n">
        <f>'U220-Waiting_approval_can_be_wi'!A5</f>
        <v>0</v>
      </c>
      <c r="D231" s="101" t="n">
        <f>'U220-Waiting_approval_can_be_wi'!C5</f>
        <v>0</v>
      </c>
      <c r="E231" s="101" t="n">
        <f>'U220-Waiting_approval_can_be_wi'!E5</f>
        <v>1</v>
      </c>
      <c r="F231" s="101" t="n">
        <f>'U220-Waiting_approval_can_be_wi'!K5</f>
        <v>0</v>
      </c>
      <c r="G231" s="101" t="n">
        <f>'U220-Waiting_approval_can_be_wi'!L5</f>
        <v>0</v>
      </c>
      <c r="H231" s="102" t="n">
        <f>'U220-Waiting_approval_can_be_wi'!M5</f>
        <v>0</v>
      </c>
      <c r="I231" s="101" t="n">
        <f>'U220-Waiting_approval_can_be_wi'!N5</f>
        <v>1</v>
      </c>
    </row>
    <row r="232" ht="30" customHeight="1">
      <c r="A232" s="100" t="n">
        <v>221</v>
      </c>
      <c r="B232" s="76" t="str">
        <v>U221-Legacy_missing_or_self_ass</v>
      </c>
      <c r="C232" s="101" t="n">
        <f>'U221-Legacy_missing_or_self_ass'!A5</f>
        <v>0</v>
      </c>
      <c r="D232" s="101" t="n">
        <f>'U221-Legacy_missing_or_self_ass'!C5</f>
        <v>0</v>
      </c>
      <c r="E232" s="101" t="n">
        <f>'U221-Legacy_missing_or_self_ass'!E5</f>
        <v>1</v>
      </c>
      <c r="F232" s="101" t="n">
        <f>'U221-Legacy_missing_or_self_ass'!K5</f>
        <v>0</v>
      </c>
      <c r="G232" s="101" t="n">
        <f>'U221-Legacy_missing_or_self_ass'!L5</f>
        <v>0</v>
      </c>
      <c r="H232" s="102" t="n">
        <f>'U221-Legacy_missing_or_self_ass'!M5</f>
        <v>0</v>
      </c>
      <c r="I232" s="101" t="n">
        <f>'U221-Legacy_missing_or_self_ass'!N5</f>
        <v>1</v>
      </c>
    </row>
    <row r="233" ht="30" customHeight="1">
      <c r="A233" s="100" t="n">
        <v>222</v>
      </c>
      <c r="B233" s="76" t="str">
        <v>U222-Withdrawal_save_failure_ro</v>
      </c>
      <c r="C233" s="101" t="n">
        <f>'U222-Withdrawal_save_failure_ro'!A5</f>
        <v>0</v>
      </c>
      <c r="D233" s="101" t="n">
        <f>'U222-Withdrawal_save_failure_ro'!C5</f>
        <v>0</v>
      </c>
      <c r="E233" s="101" t="n">
        <f>'U222-Withdrawal_save_failure_ro'!E5</f>
        <v>1</v>
      </c>
      <c r="F233" s="101" t="n">
        <f>'U222-Withdrawal_save_failure_ro'!K5</f>
        <v>0</v>
      </c>
      <c r="G233" s="101" t="n">
        <f>'U222-Withdrawal_save_failure_ro'!L5</f>
        <v>0</v>
      </c>
      <c r="H233" s="102" t="n">
        <f>'U222-Withdrawal_save_failure_ro'!M5</f>
        <v>0</v>
      </c>
      <c r="I233" s="101" t="n">
        <f>'U222-Withdrawal_save_failure_ro'!N5</f>
        <v>1</v>
      </c>
    </row>
    <row r="234" ht="30" customHeight="1">
      <c r="A234" s="100" t="n">
        <v>223</v>
      </c>
      <c r="B234" s="76" t="str">
        <v>U223-Ineligible_approver_does_n</v>
      </c>
      <c r="C234" s="101" t="n">
        <f>'U223-Ineligible_approver_does_n'!A5</f>
        <v>0</v>
      </c>
      <c r="D234" s="101" t="n">
        <f>'U223-Ineligible_approver_does_n'!C5</f>
        <v>0</v>
      </c>
      <c r="E234" s="101" t="n">
        <f>'U223-Ineligible_approver_does_n'!E5</f>
        <v>1</v>
      </c>
      <c r="F234" s="101" t="n">
        <f>'U223-Ineligible_approver_does_n'!K5</f>
        <v>0</v>
      </c>
      <c r="G234" s="101" t="n">
        <f>'U223-Ineligible_approver_does_n'!L5</f>
        <v>0</v>
      </c>
      <c r="H234" s="102" t="n">
        <f>'U223-Ineligible_approver_does_n'!M5</f>
        <v>0</v>
      </c>
      <c r="I234" s="101" t="n">
        <f>'U223-Ineligible_approver_does_n'!N5</f>
        <v>1</v>
      </c>
    </row>
    <row r="235" ht="30" customHeight="1">
      <c r="A235" s="100" t="n">
        <v>224</v>
      </c>
      <c r="B235" s="76" t="str">
        <v>U224-Invitation_producer_failur</v>
      </c>
      <c r="C235" s="101" t="n">
        <f>'U224-Invitation_producer_failur'!A5</f>
        <v>0</v>
      </c>
      <c r="D235" s="101" t="n">
        <f>'U224-Invitation_producer_failur'!C5</f>
        <v>0</v>
      </c>
      <c r="E235" s="101" t="n">
        <f>'U224-Invitation_producer_failur'!E5</f>
        <v>1</v>
      </c>
      <c r="F235" s="101" t="n">
        <f>'U224-Invitation_producer_failur'!K5</f>
        <v>0</v>
      </c>
      <c r="G235" s="101" t="n">
        <f>'U224-Invitation_producer_failur'!L5</f>
        <v>0</v>
      </c>
      <c r="H235" s="102" t="n">
        <f>'U224-Invitation_producer_failur'!M5</f>
        <v>0</v>
      </c>
      <c r="I235" s="101" t="n">
        <f>'U224-Invitation_producer_failur'!N5</f>
        <v>1</v>
      </c>
    </row>
    <row r="236" ht="30" customHeight="1">
      <c r="A236" s="100" t="n">
        <v>225</v>
      </c>
      <c r="B236" s="76" t="str">
        <v>U225-Publish_persistence_failur</v>
      </c>
      <c r="C236" s="101" t="n">
        <f>'U225-Publish_persistence_failur'!A5</f>
        <v>0</v>
      </c>
      <c r="D236" s="101" t="n">
        <f>'U225-Publish_persistence_failur'!C5</f>
        <v>0</v>
      </c>
      <c r="E236" s="101" t="n">
        <f>'U225-Publish_persistence_failur'!E5</f>
        <v>1</v>
      </c>
      <c r="F236" s="101" t="n">
        <f>'U225-Publish_persistence_failur'!K5</f>
        <v>0</v>
      </c>
      <c r="G236" s="101" t="n">
        <f>'U225-Publish_persistence_failur'!L5</f>
        <v>0</v>
      </c>
      <c r="H236" s="102" t="n">
        <f>'U225-Publish_persistence_failur'!M5</f>
        <v>0</v>
      </c>
      <c r="I236" s="101" t="n">
        <f>'U225-Publish_persistence_failur'!N5</f>
        <v>1</v>
      </c>
    </row>
    <row r="237" ht="30" customHeight="1">
      <c r="A237" s="100" t="n">
        <v>226</v>
      </c>
      <c r="B237" s="76" t="str">
        <v>U226-Organizer_and_current_appr</v>
      </c>
      <c r="C237" s="101" t="n">
        <f>'U226-Organizer_and_current_appr'!A5</f>
        <v>0</v>
      </c>
      <c r="D237" s="101" t="n">
        <f>'U226-Organizer_and_current_appr'!C5</f>
        <v>0</v>
      </c>
      <c r="E237" s="101" t="n">
        <f>'U226-Organizer_and_current_appr'!E5</f>
        <v>1</v>
      </c>
      <c r="F237" s="101" t="n">
        <f>'U226-Organizer_and_current_appr'!K5</f>
        <v>0</v>
      </c>
      <c r="G237" s="101" t="n">
        <f>'U226-Organizer_and_current_appr'!L5</f>
        <v>0</v>
      </c>
      <c r="H237" s="102" t="n">
        <f>'U226-Organizer_and_current_appr'!M5</f>
        <v>0</v>
      </c>
      <c r="I237" s="101" t="n">
        <f>'U226-Organizer_and_current_appr'!N5</f>
        <v>1</v>
      </c>
    </row>
    <row r="238" ht="30" customHeight="1">
      <c r="A238" s="100" t="n">
        <v>227</v>
      </c>
      <c r="B238" s="76" t="str">
        <v>U227-Administrative_transfer_re</v>
      </c>
      <c r="C238" s="101" t="n">
        <f>'U227-Administrative_transfer_re'!A5</f>
        <v>0</v>
      </c>
      <c r="D238" s="101" t="n">
        <f>'U227-Administrative_transfer_re'!C5</f>
        <v>0</v>
      </c>
      <c r="E238" s="101" t="n">
        <f>'U227-Administrative_transfer_re'!E5</f>
        <v>1</v>
      </c>
      <c r="F238" s="101" t="n">
        <f>'U227-Administrative_transfer_re'!K5</f>
        <v>0</v>
      </c>
      <c r="G238" s="101" t="n">
        <f>'U227-Administrative_transfer_re'!L5</f>
        <v>0</v>
      </c>
      <c r="H238" s="102" t="n">
        <f>'U227-Administrative_transfer_re'!M5</f>
        <v>0</v>
      </c>
      <c r="I238" s="101" t="n">
        <f>'U227-Administrative_transfer_re'!N5</f>
        <v>1</v>
      </c>
    </row>
    <row r="239" ht="30" customHeight="1">
      <c r="A239" s="100" t="n">
        <v>228</v>
      </c>
      <c r="B239" s="76" t="str">
        <v>U228-Transfer_requires_current_</v>
      </c>
      <c r="C239" s="101" t="n">
        <f>'U228-Transfer_requires_current_'!A5</f>
        <v>0</v>
      </c>
      <c r="D239" s="101" t="n">
        <f>'U228-Transfer_requires_current_'!C5</f>
        <v>0</v>
      </c>
      <c r="E239" s="101" t="n">
        <f>'U228-Transfer_requires_current_'!E5</f>
        <v>1</v>
      </c>
      <c r="F239" s="101" t="n">
        <f>'U228-Transfer_requires_current_'!K5</f>
        <v>0</v>
      </c>
      <c r="G239" s="101" t="n">
        <f>'U228-Transfer_requires_current_'!L5</f>
        <v>0</v>
      </c>
      <c r="H239" s="102" t="n">
        <f>'U228-Transfer_requires_current_'!M5</f>
        <v>0</v>
      </c>
      <c r="I239" s="101" t="n">
        <f>'U228-Transfer_requires_current_'!N5</f>
        <v>1</v>
      </c>
    </row>
    <row r="240" ht="30" customHeight="1">
      <c r="A240" s="100" t="n">
        <v>229</v>
      </c>
      <c r="B240" s="76" t="str">
        <v>U229-Transfer_cannot_replace_an</v>
      </c>
      <c r="C240" s="101" t="n">
        <f>'U229-Transfer_cannot_replace_an'!A5</f>
        <v>0</v>
      </c>
      <c r="D240" s="101" t="n">
        <f>'U229-Transfer_cannot_replace_an'!C5</f>
        <v>0</v>
      </c>
      <c r="E240" s="101" t="n">
        <f>'U229-Transfer_cannot_replace_an'!E5</f>
        <v>1</v>
      </c>
      <c r="F240" s="101" t="n">
        <f>'U229-Transfer_cannot_replace_an'!K5</f>
        <v>0</v>
      </c>
      <c r="G240" s="101" t="n">
        <f>'U229-Transfer_cannot_replace_an'!L5</f>
        <v>0</v>
      </c>
      <c r="H240" s="102" t="n">
        <f>'U229-Transfer_cannot_replace_an'!M5</f>
        <v>0</v>
      </c>
      <c r="I240" s="101" t="n">
        <f>'U229-Transfer_cannot_replace_an'!N5</f>
        <v>1</v>
      </c>
    </row>
    <row r="241" ht="30" customHeight="1">
      <c r="A241" s="100" t="n">
        <v>230</v>
      </c>
      <c r="B241" s="76" t="str">
        <v>U230-Transfer_rejects_an_invali</v>
      </c>
      <c r="C241" s="101" t="n">
        <f>'U230-Transfer_rejects_an_invali'!A5</f>
        <v>0</v>
      </c>
      <c r="D241" s="101" t="n">
        <f>'U230-Transfer_rejects_an_invali'!C5</f>
        <v>0</v>
      </c>
      <c r="E241" s="101" t="n">
        <f>'U230-Transfer_rejects_an_invali'!E5</f>
        <v>1</v>
      </c>
      <c r="F241" s="101" t="n">
        <f>'U230-Transfer_rejects_an_invali'!K5</f>
        <v>0</v>
      </c>
      <c r="G241" s="101" t="n">
        <f>'U230-Transfer_rejects_an_invali'!L5</f>
        <v>0</v>
      </c>
      <c r="H241" s="102" t="n">
        <f>'U230-Transfer_rejects_an_invali'!M5</f>
        <v>0</v>
      </c>
      <c r="I241" s="101" t="n">
        <f>'U230-Transfer_rejects_an_invali'!N5</f>
        <v>1</v>
      </c>
    </row>
    <row r="242" ht="30" customHeight="1">
      <c r="A242" s="100" t="n">
        <v>231</v>
      </c>
      <c r="B242" s="76" t="str">
        <v>U231-Transfer_requires_an_appro</v>
      </c>
      <c r="C242" s="101" t="n">
        <f>'U231-Transfer_requires_an_appro'!A5</f>
        <v>0</v>
      </c>
      <c r="D242" s="101" t="n">
        <f>'U231-Transfer_requires_an_appro'!C5</f>
        <v>0</v>
      </c>
      <c r="E242" s="101" t="n">
        <f>'U231-Transfer_requires_an_appro'!E5</f>
        <v>1</v>
      </c>
      <c r="F242" s="101" t="n">
        <f>'U231-Transfer_requires_an_appro'!K5</f>
        <v>0</v>
      </c>
      <c r="G242" s="101" t="n">
        <f>'U231-Transfer_requires_an_appro'!L5</f>
        <v>0</v>
      </c>
      <c r="H242" s="102" t="n">
        <f>'U231-Transfer_requires_an_appro'!M5</f>
        <v>0</v>
      </c>
      <c r="I242" s="101" t="n">
        <f>'U231-Transfer_requires_an_appro'!N5</f>
        <v>1</v>
      </c>
    </row>
    <row r="243" ht="30" customHeight="1">
      <c r="A243" s="100" t="n">
        <v>232</v>
      </c>
      <c r="B243" s="76" t="str">
        <v>U232-Transfer_save_failure_roll</v>
      </c>
      <c r="C243" s="101" t="n">
        <f>'U232-Transfer_save_failure_roll'!A5</f>
        <v>0</v>
      </c>
      <c r="D243" s="101" t="n">
        <f>'U232-Transfer_save_failure_roll'!C5</f>
        <v>0</v>
      </c>
      <c r="E243" s="101" t="n">
        <f>'U232-Transfer_save_failure_roll'!E5</f>
        <v>1</v>
      </c>
      <c r="F243" s="101" t="n">
        <f>'U232-Transfer_save_failure_roll'!K5</f>
        <v>0</v>
      </c>
      <c r="G243" s="101" t="n">
        <f>'U232-Transfer_save_failure_roll'!L5</f>
        <v>0</v>
      </c>
      <c r="H243" s="102" t="n">
        <f>'U232-Transfer_save_failure_roll'!M5</f>
        <v>0</v>
      </c>
      <c r="I243" s="101" t="n">
        <f>'U232-Transfer_save_failure_roll'!N5</f>
        <v>1</v>
      </c>
    </row>
    <row r="244" ht="30" customHeight="1">
      <c r="A244" s="100" t="n">
        <v>233</v>
      </c>
      <c r="B244" s="76" t="str">
        <v>U233-Transfer_organizer_ids_are</v>
      </c>
      <c r="C244" s="101" t="n">
        <f>'U233-Transfer_organizer_ids_are'!A5</f>
        <v>0</v>
      </c>
      <c r="D244" s="101" t="n">
        <f>'U233-Transfer_organizer_ids_are'!C5</f>
        <v>0</v>
      </c>
      <c r="E244" s="101" t="n">
        <f>'U233-Transfer_organizer_ids_are'!E5</f>
        <v>1</v>
      </c>
      <c r="F244" s="101" t="n">
        <f>'U233-Transfer_organizer_ids_are'!K5</f>
        <v>0</v>
      </c>
      <c r="G244" s="101" t="n">
        <f>'U233-Transfer_organizer_ids_are'!L5</f>
        <v>0</v>
      </c>
      <c r="H244" s="102" t="n">
        <f>'U233-Transfer_organizer_ids_are'!M5</f>
        <v>0</v>
      </c>
      <c r="I244" s="101" t="n">
        <f>'U233-Transfer_organizer_ids_are'!N5</f>
        <v>1</v>
      </c>
    </row>
    <row r="245" ht="30" customHeight="1">
      <c r="A245" s="100" t="n">
        <v>234</v>
      </c>
      <c r="B245" s="76" t="str">
        <v>U234-Submit_accepts_draft_or_re</v>
      </c>
      <c r="C245" s="101" t="n">
        <f>'U234-Submit_accepts_draft_or_re'!A5</f>
        <v>0</v>
      </c>
      <c r="D245" s="101" t="n">
        <f>'U234-Submit_accepts_draft_or_re'!C5</f>
        <v>0</v>
      </c>
      <c r="E245" s="101" t="n">
        <f>'U234-Submit_accepts_draft_or_re'!E5</f>
        <v>1</v>
      </c>
      <c r="F245" s="101" t="n">
        <f>'U234-Submit_accepts_draft_or_re'!K5</f>
        <v>0</v>
      </c>
      <c r="G245" s="101" t="n">
        <f>'U234-Submit_accepts_draft_or_re'!L5</f>
        <v>0</v>
      </c>
      <c r="H245" s="102" t="n">
        <f>'U234-Submit_accepts_draft_or_re'!M5</f>
        <v>0</v>
      </c>
      <c r="I245" s="101" t="n">
        <f>'U234-Submit_accepts_draft_or_re'!N5</f>
        <v>1</v>
      </c>
    </row>
    <row r="246" ht="30" customHeight="1">
      <c r="A246" s="100" t="n">
        <v>235</v>
      </c>
      <c r="B246" s="76" t="str">
        <v>U235-Failed_rejected_resubmissi</v>
      </c>
      <c r="C246" s="101" t="n">
        <f>'U235-Failed_rejected_resubmissi'!A5</f>
        <v>0</v>
      </c>
      <c r="D246" s="101" t="n">
        <f>'U235-Failed_rejected_resubmissi'!C5</f>
        <v>0</v>
      </c>
      <c r="E246" s="101" t="n">
        <f>'U235-Failed_rejected_resubmissi'!E5</f>
        <v>1</v>
      </c>
      <c r="F246" s="101" t="n">
        <f>'U235-Failed_rejected_resubmissi'!K5</f>
        <v>0</v>
      </c>
      <c r="G246" s="101" t="n">
        <f>'U235-Failed_rejected_resubmissi'!L5</f>
        <v>0</v>
      </c>
      <c r="H246" s="102" t="n">
        <f>'U235-Failed_rejected_resubmissi'!M5</f>
        <v>0</v>
      </c>
      <c r="I246" s="101" t="n">
        <f>'U235-Failed_rejected_resubmissi'!N5</f>
        <v>1</v>
      </c>
    </row>
    <row r="247" ht="30" customHeight="1">
      <c r="A247" s="100" t="n">
        <v>236</v>
      </c>
      <c r="B247" s="76" t="str">
        <v>U236-Publish_succeeds_with_the_</v>
      </c>
      <c r="C247" s="101" t="n">
        <f>'U236-Publish_succeeds_with_the_'!A5</f>
        <v>0</v>
      </c>
      <c r="D247" s="101" t="n">
        <f>'U236-Publish_succeeds_with_the_'!C5</f>
        <v>0</v>
      </c>
      <c r="E247" s="101" t="n">
        <f>'U236-Publish_succeeds_with_the_'!E5</f>
        <v>1</v>
      </c>
      <c r="F247" s="101" t="n">
        <f>'U236-Publish_succeeds_with_the_'!K5</f>
        <v>0</v>
      </c>
      <c r="G247" s="101" t="n">
        <f>'U236-Publish_succeeds_with_the_'!L5</f>
        <v>0</v>
      </c>
      <c r="H247" s="102" t="n">
        <f>'U236-Publish_succeeds_with_the_'!M5</f>
        <v>0</v>
      </c>
      <c r="I247" s="101" t="n">
        <f>'U236-Publish_succeeds_with_the_'!N5</f>
        <v>1</v>
      </c>
    </row>
    <row r="248" ht="30" customHeight="1">
      <c r="A248" s="100" t="n">
        <v>237</v>
      </c>
      <c r="B248" s="76" t="str">
        <v>U237-Publish_requires_exactly_o</v>
      </c>
      <c r="C248" s="101" t="n">
        <f>'U237-Publish_requires_exactly_o'!A5</f>
        <v>0</v>
      </c>
      <c r="D248" s="101" t="n">
        <f>'U237-Publish_requires_exactly_o'!C5</f>
        <v>0</v>
      </c>
      <c r="E248" s="101" t="n">
        <f>'U237-Publish_requires_exactly_o'!E5</f>
        <v>1</v>
      </c>
      <c r="F248" s="101" t="n">
        <f>'U237-Publish_requires_exactly_o'!K5</f>
        <v>0</v>
      </c>
      <c r="G248" s="101" t="n">
        <f>'U237-Publish_requires_exactly_o'!L5</f>
        <v>0</v>
      </c>
      <c r="H248" s="102" t="n">
        <f>'U237-Publish_requires_exactly_o'!M5</f>
        <v>0</v>
      </c>
      <c r="I248" s="101" t="n">
        <f>'U237-Publish_requires_exactly_o'!N5</f>
        <v>1</v>
      </c>
    </row>
    <row r="249" ht="30" customHeight="1">
      <c r="A249" s="100" t="n">
        <v>238</v>
      </c>
      <c r="B249" s="76" t="str">
        <v>U238-Assigned_secretary_reads_d</v>
      </c>
      <c r="C249" s="101" t="n">
        <f>'U238-Assigned_secretary_reads_d'!A5</f>
        <v>0</v>
      </c>
      <c r="D249" s="101" t="n">
        <f>'U238-Assigned_secretary_reads_d'!C5</f>
        <v>0</v>
      </c>
      <c r="E249" s="101" t="n">
        <f>'U238-Assigned_secretary_reads_d'!E5</f>
        <v>1</v>
      </c>
      <c r="F249" s="101" t="n">
        <f>'U238-Assigned_secretary_reads_d'!K5</f>
        <v>0</v>
      </c>
      <c r="G249" s="101" t="n">
        <f>'U238-Assigned_secretary_reads_d'!L5</f>
        <v>0</v>
      </c>
      <c r="H249" s="102" t="n">
        <f>'U238-Assigned_secretary_reads_d'!M5</f>
        <v>0</v>
      </c>
      <c r="I249" s="101" t="n">
        <f>'U238-Assigned_secretary_reads_d'!N5</f>
        <v>1</v>
      </c>
    </row>
    <row r="250" ht="30" customHeight="1">
      <c r="A250" s="100" t="n">
        <v>239</v>
      </c>
      <c r="B250" s="76" t="str">
        <v>U239-Invalid_secretary_relation</v>
      </c>
      <c r="C250" s="101" t="n">
        <f>'U239-Invalid_secretary_relation'!A5</f>
        <v>0</v>
      </c>
      <c r="D250" s="101" t="n">
        <f>'U239-Invalid_secretary_relation'!C5</f>
        <v>0</v>
      </c>
      <c r="E250" s="101" t="n">
        <f>'U239-Invalid_secretary_relation'!E5</f>
        <v>1</v>
      </c>
      <c r="F250" s="101" t="n">
        <f>'U239-Invalid_secretary_relation'!K5</f>
        <v>0</v>
      </c>
      <c r="G250" s="101" t="n">
        <f>'U239-Invalid_secretary_relation'!L5</f>
        <v>0</v>
      </c>
      <c r="H250" s="102" t="n">
        <f>'U239-Invalid_secretary_relation'!M5</f>
        <v>0</v>
      </c>
      <c r="I250" s="101" t="n">
        <f>'U239-Invalid_secretary_relation'!N5</f>
        <v>1</v>
      </c>
    </row>
    <row r="251" ht="30" customHeight="1">
      <c r="A251" s="100" t="n">
        <v>240</v>
      </c>
      <c r="B251" s="76" t="str">
        <v>U240-Migration_marks_preexistin</v>
      </c>
      <c r="C251" s="101" t="n">
        <f>'U240-Migration_marks_preexistin'!A5</f>
        <v>0</v>
      </c>
      <c r="D251" s="101" t="n">
        <f>'U240-Migration_marks_preexistin'!C5</f>
        <v>0</v>
      </c>
      <c r="E251" s="101" t="n">
        <f>'U240-Migration_marks_preexistin'!E5</f>
        <v>1</v>
      </c>
      <c r="F251" s="101" t="n">
        <f>'U240-Migration_marks_preexistin'!K5</f>
        <v>0</v>
      </c>
      <c r="G251" s="101" t="n">
        <f>'U240-Migration_marks_preexistin'!L5</f>
        <v>0</v>
      </c>
      <c r="H251" s="102" t="n">
        <f>'U240-Migration_marks_preexistin'!M5</f>
        <v>0</v>
      </c>
      <c r="I251" s="101" t="n">
        <f>'U240-Migration_marks_preexistin'!N5</f>
        <v>1</v>
      </c>
    </row>
    <row r="252" ht="30" customHeight="1">
      <c r="A252" s="100" t="n">
        <v>241</v>
      </c>
      <c r="B252" s="76" t="str">
        <v>U241-List_returns_every_account</v>
      </c>
      <c r="C252" s="101" t="n">
        <f>'U241-List_returns_every_account'!A5</f>
        <v>0</v>
      </c>
      <c r="D252" s="101" t="n">
        <f>'U241-List_returns_every_account'!C5</f>
        <v>0</v>
      </c>
      <c r="E252" s="101" t="n">
        <f>'U241-List_returns_every_account'!E5</f>
        <v>1</v>
      </c>
      <c r="F252" s="101" t="n">
        <f>'U241-List_returns_every_account'!K5</f>
        <v>0</v>
      </c>
      <c r="G252" s="101" t="n">
        <f>'U241-List_returns_every_account'!L5</f>
        <v>0</v>
      </c>
      <c r="H252" s="102" t="n">
        <f>'U241-List_returns_every_account'!M5</f>
        <v>0</v>
      </c>
      <c r="I252" s="101" t="n">
        <f>'U241-List_returns_every_account'!N5</f>
        <v>1</v>
      </c>
    </row>
    <row r="253" ht="30" customHeight="1">
      <c r="A253" s="100" t="n">
        <v>242</v>
      </c>
      <c r="B253" s="76" t="str">
        <v>U242-List_includes_deactivated_</v>
      </c>
      <c r="C253" s="101" t="n">
        <f>'U242-List_includes_deactivated_'!A5</f>
        <v>0</v>
      </c>
      <c r="D253" s="101" t="n">
        <f>'U242-List_includes_deactivated_'!C5</f>
        <v>0</v>
      </c>
      <c r="E253" s="101" t="n">
        <f>'U242-List_includes_deactivated_'!E5</f>
        <v>1</v>
      </c>
      <c r="F253" s="101" t="n">
        <f>'U242-List_includes_deactivated_'!K5</f>
        <v>0</v>
      </c>
      <c r="G253" s="101" t="n">
        <f>'U242-List_includes_deactivated_'!L5</f>
        <v>0</v>
      </c>
      <c r="H253" s="102" t="n">
        <f>'U242-List_includes_deactivated_'!M5</f>
        <v>0</v>
      </c>
      <c r="I253" s="101" t="n">
        <f>'U242-List_includes_deactivated_'!N5</f>
        <v>1</v>
      </c>
    </row>
    <row r="254" ht="30" customHeight="1">
      <c r="A254" s="100" t="n">
        <v>243</v>
      </c>
      <c r="B254" s="76" t="str">
        <v>U243-List_never_exposes_the_pas</v>
      </c>
      <c r="C254" s="101" t="n">
        <f>'U243-List_never_exposes_the_pas'!A5</f>
        <v>0</v>
      </c>
      <c r="D254" s="101" t="n">
        <f>'U243-List_never_exposes_the_pas'!C5</f>
        <v>0</v>
      </c>
      <c r="E254" s="101" t="n">
        <f>'U243-List_never_exposes_the_pas'!E5</f>
        <v>1</v>
      </c>
      <c r="F254" s="101" t="n">
        <f>'U243-List_never_exposes_the_pas'!K5</f>
        <v>0</v>
      </c>
      <c r="G254" s="101" t="n">
        <f>'U243-List_never_exposes_the_pas'!L5</f>
        <v>0</v>
      </c>
      <c r="H254" s="102" t="n">
        <f>'U243-List_never_exposes_the_pas'!M5</f>
        <v>0</v>
      </c>
      <c r="I254" s="101" t="n">
        <f>'U243-List_never_exposes_the_pas'!N5</f>
        <v>1</v>
      </c>
    </row>
    <row r="255" ht="30" customHeight="1">
      <c r="A255" s="100" t="n">
        <v>244</v>
      </c>
      <c r="B255" s="76" t="str">
        <v>U244-Create_stores_an_active_ac</v>
      </c>
      <c r="C255" s="101" t="n">
        <f>'U244-Create_stores_an_active_ac'!A5</f>
        <v>0</v>
      </c>
      <c r="D255" s="101" t="n">
        <f>'U244-Create_stores_an_active_ac'!C5</f>
        <v>0</v>
      </c>
      <c r="E255" s="101" t="n">
        <f>'U244-Create_stores_an_active_ac'!E5</f>
        <v>1</v>
      </c>
      <c r="F255" s="101" t="n">
        <f>'U244-Create_stores_an_active_ac'!K5</f>
        <v>0</v>
      </c>
      <c r="G255" s="101" t="n">
        <f>'U244-Create_stores_an_active_ac'!L5</f>
        <v>0</v>
      </c>
      <c r="H255" s="102" t="n">
        <f>'U244-Create_stores_an_active_ac'!M5</f>
        <v>0</v>
      </c>
      <c r="I255" s="101" t="n">
        <f>'U244-Create_stores_an_active_ac'!N5</f>
        <v>1</v>
      </c>
    </row>
    <row r="256" ht="30" customHeight="1">
      <c r="A256" s="100" t="n">
        <v>245</v>
      </c>
      <c r="B256" s="76" t="str">
        <v>U245-Create_hashes_the_password</v>
      </c>
      <c r="C256" s="101" t="n">
        <f>'U245-Create_hashes_the_password'!A5</f>
        <v>0</v>
      </c>
      <c r="D256" s="101" t="n">
        <f>'U245-Create_hashes_the_password'!C5</f>
        <v>0</v>
      </c>
      <c r="E256" s="101" t="n">
        <f>'U245-Create_hashes_the_password'!E5</f>
        <v>1</v>
      </c>
      <c r="F256" s="101" t="n">
        <f>'U245-Create_hashes_the_password'!K5</f>
        <v>0</v>
      </c>
      <c r="G256" s="101" t="n">
        <f>'U245-Create_hashes_the_password'!L5</f>
        <v>0</v>
      </c>
      <c r="H256" s="102" t="n">
        <f>'U245-Create_hashes_the_password'!M5</f>
        <v>0</v>
      </c>
      <c r="I256" s="101" t="n">
        <f>'U245-Create_hashes_the_password'!N5</f>
        <v>1</v>
      </c>
    </row>
    <row r="257" ht="30" customHeight="1">
      <c r="A257" s="100" t="n">
        <v>246</v>
      </c>
      <c r="B257" s="76" t="str">
        <v>U246-Create_never_puts_the_pass</v>
      </c>
      <c r="C257" s="101" t="n">
        <f>'U246-Create_never_puts_the_pass'!A5</f>
        <v>0</v>
      </c>
      <c r="D257" s="101" t="n">
        <f>'U246-Create_never_puts_the_pass'!C5</f>
        <v>0</v>
      </c>
      <c r="E257" s="101" t="n">
        <f>'U246-Create_never_puts_the_pass'!E5</f>
        <v>1</v>
      </c>
      <c r="F257" s="101" t="n">
        <f>'U246-Create_never_puts_the_pass'!K5</f>
        <v>0</v>
      </c>
      <c r="G257" s="101" t="n">
        <f>'U246-Create_never_puts_the_pass'!L5</f>
        <v>0</v>
      </c>
      <c r="H257" s="102" t="n">
        <f>'U246-Create_never_puts_the_pass'!M5</f>
        <v>0</v>
      </c>
      <c r="I257" s="101" t="n">
        <f>'U246-Create_never_puts_the_pass'!N5</f>
        <v>1</v>
      </c>
    </row>
    <row r="258" ht="30" customHeight="1">
      <c r="A258" s="100" t="n">
        <v>247</v>
      </c>
      <c r="B258" s="76" t="str">
        <v>U247-Create_rejects_invalid_inf</v>
      </c>
      <c r="C258" s="101" t="n">
        <f>'U247-Create_rejects_invalid_inf'!A5</f>
        <v>0</v>
      </c>
      <c r="D258" s="101" t="n">
        <f>'U247-Create_rejects_invalid_inf'!C5</f>
        <v>0</v>
      </c>
      <c r="E258" s="101" t="n">
        <f>'U247-Create_rejects_invalid_inf'!E5</f>
        <v>1</v>
      </c>
      <c r="F258" s="101" t="n">
        <f>'U247-Create_rejects_invalid_inf'!K5</f>
        <v>0</v>
      </c>
      <c r="G258" s="101" t="n">
        <f>'U247-Create_rejects_invalid_inf'!L5</f>
        <v>0</v>
      </c>
      <c r="H258" s="102" t="n">
        <f>'U247-Create_rejects_invalid_inf'!M5</f>
        <v>0</v>
      </c>
      <c r="I258" s="101" t="n">
        <f>'U247-Create_rejects_invalid_inf'!N5</f>
        <v>1</v>
      </c>
    </row>
    <row r="259" ht="30" customHeight="1">
      <c r="A259" s="100" t="n">
        <v>248</v>
      </c>
      <c r="B259" s="76" t="str">
        <v>U248-Create_rejects_a_password_</v>
      </c>
      <c r="C259" s="101" t="n">
        <f>'U248-Create_rejects_a_password_'!A5</f>
        <v>0</v>
      </c>
      <c r="D259" s="101" t="n">
        <f>'U248-Create_rejects_a_password_'!C5</f>
        <v>0</v>
      </c>
      <c r="E259" s="101" t="n">
        <f>'U248-Create_rejects_a_password_'!E5</f>
        <v>1</v>
      </c>
      <c r="F259" s="101" t="n">
        <f>'U248-Create_rejects_a_password_'!K5</f>
        <v>0</v>
      </c>
      <c r="G259" s="101" t="n">
        <f>'U248-Create_rejects_a_password_'!L5</f>
        <v>0</v>
      </c>
      <c r="H259" s="102" t="n">
        <f>'U248-Create_rejects_a_password_'!M5</f>
        <v>0</v>
      </c>
      <c r="I259" s="101" t="n">
        <f>'U248-Create_rejects_a_password_'!N5</f>
        <v>1</v>
      </c>
    </row>
    <row r="260" ht="30" customHeight="1">
      <c r="A260" s="100" t="n">
        <v>249</v>
      </c>
      <c r="B260" s="76" t="str">
        <v>U249-Create_rejects_a_role_that</v>
      </c>
      <c r="C260" s="101" t="n">
        <f>'U249-Create_rejects_a_role_that'!A5</f>
        <v>0</v>
      </c>
      <c r="D260" s="101" t="n">
        <f>'U249-Create_rejects_a_role_that'!C5</f>
        <v>0</v>
      </c>
      <c r="E260" s="101" t="n">
        <f>'U249-Create_rejects_a_role_that'!E5</f>
        <v>1</v>
      </c>
      <c r="F260" s="101" t="n">
        <f>'U249-Create_rejects_a_role_that'!K5</f>
        <v>0</v>
      </c>
      <c r="G260" s="101" t="n">
        <f>'U249-Create_rejects_a_role_that'!L5</f>
        <v>0</v>
      </c>
      <c r="H260" s="102" t="n">
        <f>'U249-Create_rejects_a_role_that'!M5</f>
        <v>0</v>
      </c>
      <c r="I260" s="101" t="n">
        <f>'U249-Create_rejects_a_role_that'!N5</f>
        <v>1</v>
      </c>
    </row>
    <row r="261" ht="30" customHeight="1">
      <c r="A261" s="100" t="n">
        <v>250</v>
      </c>
      <c r="B261" s="76" t="str">
        <v>U250-Create_accepts_a_role_an_a</v>
      </c>
      <c r="C261" s="101" t="n">
        <f>'U250-Create_accepts_a_role_an_a'!A5</f>
        <v>0</v>
      </c>
      <c r="D261" s="101" t="n">
        <f>'U250-Create_accepts_a_role_an_a'!C5</f>
        <v>0</v>
      </c>
      <c r="E261" s="101" t="n">
        <f>'U250-Create_accepts_a_role_an_a'!E5</f>
        <v>1</v>
      </c>
      <c r="F261" s="101" t="n">
        <f>'U250-Create_accepts_a_role_an_a'!K5</f>
        <v>0</v>
      </c>
      <c r="G261" s="101" t="n">
        <f>'U250-Create_accepts_a_role_an_a'!L5</f>
        <v>0</v>
      </c>
      <c r="H261" s="102" t="n">
        <f>'U250-Create_accepts_a_role_an_a'!M5</f>
        <v>0</v>
      </c>
      <c r="I261" s="101" t="n">
        <f>'U250-Create_accepts_a_role_an_a'!N5</f>
        <v>1</v>
      </c>
    </row>
    <row r="262" ht="30" customHeight="1">
      <c r="A262" s="100" t="n">
        <v>251</v>
      </c>
      <c r="B262" s="76" t="str">
        <v>U251-Create_reports_every_inval</v>
      </c>
      <c r="C262" s="101" t="n">
        <f>'U251-Create_reports_every_inval'!A5</f>
        <v>0</v>
      </c>
      <c r="D262" s="101" t="n">
        <f>'U251-Create_reports_every_inval'!C5</f>
        <v>0</v>
      </c>
      <c r="E262" s="101" t="n">
        <f>'U251-Create_reports_every_inval'!E5</f>
        <v>1</v>
      </c>
      <c r="F262" s="101" t="n">
        <f>'U251-Create_reports_every_inval'!K5</f>
        <v>0</v>
      </c>
      <c r="G262" s="101" t="n">
        <f>'U251-Create_reports_every_inval'!L5</f>
        <v>0</v>
      </c>
      <c r="H262" s="102" t="n">
        <f>'U251-Create_reports_every_inval'!M5</f>
        <v>0</v>
      </c>
      <c r="I262" s="101" t="n">
        <f>'U251-Create_reports_every_inval'!N5</f>
        <v>1</v>
      </c>
    </row>
    <row r="263" ht="30" customHeight="1">
      <c r="A263" s="100" t="n">
        <v>252</v>
      </c>
      <c r="B263" s="76" t="str">
        <v>U252-Create_rejects_an_email_th</v>
      </c>
      <c r="C263" s="101" t="n">
        <f>'U252-Create_rejects_an_email_th'!A5</f>
        <v>0</v>
      </c>
      <c r="D263" s="101" t="n">
        <f>'U252-Create_rejects_an_email_th'!C5</f>
        <v>0</v>
      </c>
      <c r="E263" s="101" t="n">
        <f>'U252-Create_rejects_an_email_th'!E5</f>
        <v>1</v>
      </c>
      <c r="F263" s="101" t="n">
        <f>'U252-Create_rejects_an_email_th'!K5</f>
        <v>0</v>
      </c>
      <c r="G263" s="101" t="n">
        <f>'U252-Create_rejects_an_email_th'!L5</f>
        <v>0</v>
      </c>
      <c r="H263" s="102" t="n">
        <f>'U252-Create_rejects_an_email_th'!M5</f>
        <v>0</v>
      </c>
      <c r="I263" s="101" t="n">
        <f>'U252-Create_rejects_an_email_th'!N5</f>
        <v>1</v>
      </c>
    </row>
    <row r="264" ht="30" customHeight="1">
      <c r="A264" s="100" t="n">
        <v>253</v>
      </c>
      <c r="B264" s="76" t="str">
        <v>U253-Create_rejects_an_email_th</v>
      </c>
      <c r="C264" s="101" t="n">
        <f>'U253-Create_rejects_an_email_th'!A5</f>
        <v>0</v>
      </c>
      <c r="D264" s="101" t="n">
        <f>'U253-Create_rejects_an_email_th'!C5</f>
        <v>0</v>
      </c>
      <c r="E264" s="101" t="n">
        <f>'U253-Create_rejects_an_email_th'!E5</f>
        <v>1</v>
      </c>
      <c r="F264" s="101" t="n">
        <f>'U253-Create_rejects_an_email_th'!K5</f>
        <v>0</v>
      </c>
      <c r="G264" s="101" t="n">
        <f>'U253-Create_rejects_an_email_th'!L5</f>
        <v>0</v>
      </c>
      <c r="H264" s="102" t="n">
        <f>'U253-Create_rejects_an_email_th'!M5</f>
        <v>0</v>
      </c>
      <c r="I264" s="101" t="n">
        <f>'U253-Create_rejects_an_email_th'!N5</f>
        <v>1</v>
      </c>
    </row>
    <row r="265" ht="30" customHeight="1">
      <c r="A265" s="100" t="n">
        <v>254</v>
      </c>
      <c r="B265" s="76" t="str">
        <v>U254-Create_trims_surrounding_w</v>
      </c>
      <c r="C265" s="101" t="n">
        <f>'U254-Create_trims_surrounding_w'!A5</f>
        <v>0</v>
      </c>
      <c r="D265" s="101" t="n">
        <f>'U254-Create_trims_surrounding_w'!C5</f>
        <v>0</v>
      </c>
      <c r="E265" s="101" t="n">
        <f>'U254-Create_trims_surrounding_w'!E5</f>
        <v>1</v>
      </c>
      <c r="F265" s="101" t="n">
        <f>'U254-Create_trims_surrounding_w'!K5</f>
        <v>0</v>
      </c>
      <c r="G265" s="101" t="n">
        <f>'U254-Create_trims_surrounding_w'!L5</f>
        <v>0</v>
      </c>
      <c r="H265" s="102" t="n">
        <f>'U254-Create_trims_surrounding_w'!M5</f>
        <v>0</v>
      </c>
      <c r="I265" s="101" t="n">
        <f>'U254-Create_trims_surrounding_w'!N5</f>
        <v>1</v>
      </c>
    </row>
    <row r="266" ht="30" customHeight="1">
      <c r="A266" s="100" t="n">
        <v>255</v>
      </c>
      <c r="B266" s="76" t="str">
        <v>U255-Create_does_not_audit_when</v>
      </c>
      <c r="C266" s="101" t="n">
        <f>'U255-Create_does_not_audit_when'!A5</f>
        <v>0</v>
      </c>
      <c r="D266" s="101" t="n">
        <f>'U255-Create_does_not_audit_when'!C5</f>
        <v>0</v>
      </c>
      <c r="E266" s="101" t="n">
        <f>'U255-Create_does_not_audit_when'!E5</f>
        <v>1</v>
      </c>
      <c r="F266" s="101" t="n">
        <f>'U255-Create_does_not_audit_when'!K5</f>
        <v>0</v>
      </c>
      <c r="G266" s="101" t="n">
        <f>'U255-Create_does_not_audit_when'!L5</f>
        <v>0</v>
      </c>
      <c r="H266" s="102" t="n">
        <f>'U255-Create_does_not_audit_when'!M5</f>
        <v>0</v>
      </c>
      <c r="I266" s="101" t="n">
        <f>'U255-Create_does_not_audit_when'!N5</f>
        <v>1</v>
      </c>
    </row>
    <row r="267" ht="30" customHeight="1">
      <c r="A267" s="100" t="n">
        <v>256</v>
      </c>
      <c r="B267" s="76" t="str">
        <v>U256-Create_answers_MSG09_on_th</v>
      </c>
      <c r="C267" s="101" t="n">
        <f>'U256-Create_answers_MSG09_on_th'!A5</f>
        <v>0</v>
      </c>
      <c r="D267" s="101" t="n">
        <f>'U256-Create_answers_MSG09_on_th'!C5</f>
        <v>0</v>
      </c>
      <c r="E267" s="101" t="n">
        <f>'U256-Create_answers_MSG09_on_th'!E5</f>
        <v>1</v>
      </c>
      <c r="F267" s="101" t="n">
        <f>'U256-Create_answers_MSG09_on_th'!K5</f>
        <v>0</v>
      </c>
      <c r="G267" s="101" t="n">
        <f>'U256-Create_answers_MSG09_on_th'!L5</f>
        <v>0</v>
      </c>
      <c r="H267" s="102" t="n">
        <f>'U256-Create_answers_MSG09_on_th'!M5</f>
        <v>0</v>
      </c>
      <c r="I267" s="101" t="n">
        <f>'U256-Create_answers_MSG09_on_th'!N5</f>
        <v>1</v>
      </c>
    </row>
    <row r="268" ht="30" customHeight="1">
      <c r="A268" s="100" t="n">
        <v>257</v>
      </c>
      <c r="B268" s="76" t="str">
        <v>U257-Get_returns_the_current_in</v>
      </c>
      <c r="C268" s="101" t="n">
        <f>'U257-Get_returns_the_current_in'!A5</f>
        <v>0</v>
      </c>
      <c r="D268" s="101" t="n">
        <f>'U257-Get_returns_the_current_in'!C5</f>
        <v>0</v>
      </c>
      <c r="E268" s="101" t="n">
        <f>'U257-Get_returns_the_current_in'!E5</f>
        <v>1</v>
      </c>
      <c r="F268" s="101" t="n">
        <f>'U257-Get_returns_the_current_in'!K5</f>
        <v>0</v>
      </c>
      <c r="G268" s="101" t="n">
        <f>'U257-Get_returns_the_current_in'!L5</f>
        <v>0</v>
      </c>
      <c r="H268" s="102" t="n">
        <f>'U257-Get_returns_the_current_in'!M5</f>
        <v>0</v>
      </c>
      <c r="I268" s="101" t="n">
        <f>'U257-Get_returns_the_current_in'!N5</f>
        <v>1</v>
      </c>
    </row>
    <row r="269" ht="30" customHeight="1">
      <c r="A269" s="100" t="n">
        <v>258</v>
      </c>
      <c r="B269" s="76" t="str">
        <v>U258-Get_reports_not_found_for_</v>
      </c>
      <c r="C269" s="101" t="n">
        <f>'U258-Get_reports_not_found_for_'!A5</f>
        <v>0</v>
      </c>
      <c r="D269" s="101" t="n">
        <f>'U258-Get_reports_not_found_for_'!C5</f>
        <v>0</v>
      </c>
      <c r="E269" s="101" t="n">
        <f>'U258-Get_reports_not_found_for_'!E5</f>
        <v>1</v>
      </c>
      <c r="F269" s="101" t="n">
        <f>'U258-Get_reports_not_found_for_'!K5</f>
        <v>0</v>
      </c>
      <c r="G269" s="101" t="n">
        <f>'U258-Get_reports_not_found_for_'!L5</f>
        <v>0</v>
      </c>
      <c r="H269" s="102" t="n">
        <f>'U258-Get_reports_not_found_for_'!M5</f>
        <v>0</v>
      </c>
      <c r="I269" s="101" t="n">
        <f>'U258-Get_reports_not_found_for_'!N5</f>
        <v>1</v>
      </c>
    </row>
    <row r="270" ht="30" customHeight="1">
      <c r="A270" s="100" t="n">
        <v>259</v>
      </c>
      <c r="B270" s="76" t="str">
        <v>U259-Update_changes_the_account</v>
      </c>
      <c r="C270" s="101" t="n">
        <f>'U259-Update_changes_the_account'!A5</f>
        <v>0</v>
      </c>
      <c r="D270" s="101" t="n">
        <f>'U259-Update_changes_the_account'!C5</f>
        <v>0</v>
      </c>
      <c r="E270" s="101" t="n">
        <f>'U259-Update_changes_the_account'!E5</f>
        <v>1</v>
      </c>
      <c r="F270" s="101" t="n">
        <f>'U259-Update_changes_the_account'!K5</f>
        <v>0</v>
      </c>
      <c r="G270" s="101" t="n">
        <f>'U259-Update_changes_the_account'!L5</f>
        <v>0</v>
      </c>
      <c r="H270" s="102" t="n">
        <f>'U259-Update_changes_the_account'!M5</f>
        <v>0</v>
      </c>
      <c r="I270" s="101" t="n">
        <f>'U259-Update_changes_the_account'!N5</f>
        <v>1</v>
      </c>
    </row>
    <row r="271" ht="30" customHeight="1">
      <c r="A271" s="100" t="n">
        <v>260</v>
      </c>
      <c r="B271" s="76" t="str">
        <v>U260-Update_lets_an_account_kee</v>
      </c>
      <c r="C271" s="101" t="n">
        <f>'U260-Update_lets_an_account_kee'!A5</f>
        <v>0</v>
      </c>
      <c r="D271" s="101" t="n">
        <f>'U260-Update_lets_an_account_kee'!C5</f>
        <v>0</v>
      </c>
      <c r="E271" s="101" t="n">
        <f>'U260-Update_lets_an_account_kee'!E5</f>
        <v>1</v>
      </c>
      <c r="F271" s="101" t="n">
        <f>'U260-Update_lets_an_account_kee'!K5</f>
        <v>0</v>
      </c>
      <c r="G271" s="101" t="n">
        <f>'U260-Update_lets_an_account_kee'!L5</f>
        <v>0</v>
      </c>
      <c r="H271" s="102" t="n">
        <f>'U260-Update_lets_an_account_kee'!M5</f>
        <v>0</v>
      </c>
      <c r="I271" s="101" t="n">
        <f>'U260-Update_lets_an_account_kee'!N5</f>
        <v>1</v>
      </c>
    </row>
    <row r="272" ht="30" customHeight="1">
      <c r="A272" s="100" t="n">
        <v>261</v>
      </c>
      <c r="B272" s="76" t="str">
        <v>U261-Update_rejects_an_email_an</v>
      </c>
      <c r="C272" s="101" t="n">
        <f>'U261-Update_rejects_an_email_an'!A5</f>
        <v>0</v>
      </c>
      <c r="D272" s="101" t="n">
        <f>'U261-Update_rejects_an_email_an'!C5</f>
        <v>0</v>
      </c>
      <c r="E272" s="101" t="n">
        <f>'U261-Update_rejects_an_email_an'!E5</f>
        <v>1</v>
      </c>
      <c r="F272" s="101" t="n">
        <f>'U261-Update_rejects_an_email_an'!K5</f>
        <v>0</v>
      </c>
      <c r="G272" s="101" t="n">
        <f>'U261-Update_rejects_an_email_an'!L5</f>
        <v>0</v>
      </c>
      <c r="H272" s="102" t="n">
        <f>'U261-Update_rejects_an_email_an'!M5</f>
        <v>0</v>
      </c>
      <c r="I272" s="101" t="n">
        <f>'U261-Update_rejects_an_email_an'!N5</f>
        <v>1</v>
      </c>
    </row>
    <row r="273" ht="30" customHeight="1">
      <c r="A273" s="100" t="n">
        <v>262</v>
      </c>
      <c r="B273" s="76" t="str">
        <v>U262-Update_rejects_invalid_inf</v>
      </c>
      <c r="C273" s="101" t="n">
        <f>'U262-Update_rejects_invalid_inf'!A5</f>
        <v>0</v>
      </c>
      <c r="D273" s="101" t="n">
        <f>'U262-Update_rejects_invalid_inf'!C5</f>
        <v>0</v>
      </c>
      <c r="E273" s="101" t="n">
        <f>'U262-Update_rejects_invalid_inf'!E5</f>
        <v>1</v>
      </c>
      <c r="F273" s="101" t="n">
        <f>'U262-Update_rejects_invalid_inf'!K5</f>
        <v>0</v>
      </c>
      <c r="G273" s="101" t="n">
        <f>'U262-Update_rejects_invalid_inf'!L5</f>
        <v>0</v>
      </c>
      <c r="H273" s="102" t="n">
        <f>'U262-Update_rejects_invalid_inf'!M5</f>
        <v>0</v>
      </c>
      <c r="I273" s="101" t="n">
        <f>'U262-Update_rejects_invalid_inf'!N5</f>
        <v>1</v>
      </c>
    </row>
    <row r="274" ht="30" customHeight="1">
      <c r="A274" s="100" t="n">
        <v>263</v>
      </c>
      <c r="B274" s="76" t="str">
        <v>U263-Update_reports_not_found_f</v>
      </c>
      <c r="C274" s="101" t="n">
        <f>'U263-Update_reports_not_found_f'!A5</f>
        <v>0</v>
      </c>
      <c r="D274" s="101" t="n">
        <f>'U263-Update_reports_not_found_f'!C5</f>
        <v>0</v>
      </c>
      <c r="E274" s="101" t="n">
        <f>'U263-Update_reports_not_found_f'!E5</f>
        <v>1</v>
      </c>
      <c r="F274" s="101" t="n">
        <f>'U263-Update_reports_not_found_f'!K5</f>
        <v>0</v>
      </c>
      <c r="G274" s="101" t="n">
        <f>'U263-Update_reports_not_found_f'!L5</f>
        <v>0</v>
      </c>
      <c r="H274" s="102" t="n">
        <f>'U263-Update_reports_not_found_f'!M5</f>
        <v>0</v>
      </c>
      <c r="I274" s="101" t="n">
        <f>'U263-Update_reports_not_found_f'!N5</f>
        <v>1</v>
      </c>
    </row>
    <row r="275" ht="30" customHeight="1">
      <c r="A275" s="100" t="n">
        <v>264</v>
      </c>
      <c r="B275" s="76" t="str">
        <v>U264-Update_ends_the_sessions_w</v>
      </c>
      <c r="C275" s="101" t="n">
        <f>'U264-Update_ends_the_sessions_w'!A5</f>
        <v>0</v>
      </c>
      <c r="D275" s="101" t="n">
        <f>'U264-Update_ends_the_sessions_w'!C5</f>
        <v>0</v>
      </c>
      <c r="E275" s="101" t="n">
        <f>'U264-Update_ends_the_sessions_w'!E5</f>
        <v>1</v>
      </c>
      <c r="F275" s="101" t="n">
        <f>'U264-Update_ends_the_sessions_w'!K5</f>
        <v>0</v>
      </c>
      <c r="G275" s="101" t="n">
        <f>'U264-Update_ends_the_sessions_w'!L5</f>
        <v>0</v>
      </c>
      <c r="H275" s="102" t="n">
        <f>'U264-Update_ends_the_sessions_w'!M5</f>
        <v>0</v>
      </c>
      <c r="I275" s="101" t="n">
        <f>'U264-Update_ends_the_sessions_w'!N5</f>
        <v>1</v>
      </c>
    </row>
    <row r="276" ht="30" customHeight="1">
      <c r="A276" s="100" t="n">
        <v>265</v>
      </c>
      <c r="B276" s="76" t="str">
        <v>U265-Update_keeps_the_sessions_</v>
      </c>
      <c r="C276" s="101" t="n">
        <f>'U265-Update_keeps_the_sessions_'!A5</f>
        <v>0</v>
      </c>
      <c r="D276" s="101" t="n">
        <f>'U265-Update_keeps_the_sessions_'!C5</f>
        <v>0</v>
      </c>
      <c r="E276" s="101" t="n">
        <f>'U265-Update_keeps_the_sessions_'!E5</f>
        <v>1</v>
      </c>
      <c r="F276" s="101" t="n">
        <f>'U265-Update_keeps_the_sessions_'!K5</f>
        <v>0</v>
      </c>
      <c r="G276" s="101" t="n">
        <f>'U265-Update_keeps_the_sessions_'!L5</f>
        <v>0</v>
      </c>
      <c r="H276" s="102" t="n">
        <f>'U265-Update_keeps_the_sessions_'!M5</f>
        <v>0</v>
      </c>
      <c r="I276" s="101" t="n">
        <f>'U265-Update_keeps_the_sessions_'!N5</f>
        <v>1</v>
      </c>
    </row>
    <row r="277" ht="30" customHeight="1">
      <c r="A277" s="100" t="n">
        <v>266</v>
      </c>
      <c r="B277" s="76" t="str">
        <v>U266-Update_refuses_to_let_an_a</v>
      </c>
      <c r="C277" s="101" t="n">
        <f>'U266-Update_refuses_to_let_an_a'!A5</f>
        <v>0</v>
      </c>
      <c r="D277" s="101" t="n">
        <f>'U266-Update_refuses_to_let_an_a'!C5</f>
        <v>0</v>
      </c>
      <c r="E277" s="101" t="n">
        <f>'U266-Update_refuses_to_let_an_a'!E5</f>
        <v>1</v>
      </c>
      <c r="F277" s="101" t="n">
        <f>'U266-Update_refuses_to_let_an_a'!K5</f>
        <v>0</v>
      </c>
      <c r="G277" s="101" t="n">
        <f>'U266-Update_refuses_to_let_an_a'!L5</f>
        <v>0</v>
      </c>
      <c r="H277" s="102" t="n">
        <f>'U266-Update_refuses_to_let_an_a'!M5</f>
        <v>0</v>
      </c>
      <c r="I277" s="101" t="n">
        <f>'U266-Update_refuses_to_let_an_a'!N5</f>
        <v>1</v>
      </c>
    </row>
    <row r="278" ht="30" customHeight="1">
      <c r="A278" s="100" t="n">
        <v>267</v>
      </c>
      <c r="B278" s="76" t="str">
        <v>U267-Update_lets_an_administrat</v>
      </c>
      <c r="C278" s="101" t="n">
        <f>'U267-Update_lets_an_administrat'!A5</f>
        <v>0</v>
      </c>
      <c r="D278" s="101" t="n">
        <f>'U267-Update_lets_an_administrat'!C5</f>
        <v>0</v>
      </c>
      <c r="E278" s="101" t="n">
        <f>'U267-Update_lets_an_administrat'!E5</f>
        <v>1</v>
      </c>
      <c r="F278" s="101" t="n">
        <f>'U267-Update_lets_an_administrat'!K5</f>
        <v>0</v>
      </c>
      <c r="G278" s="101" t="n">
        <f>'U267-Update_lets_an_administrat'!L5</f>
        <v>0</v>
      </c>
      <c r="H278" s="102" t="n">
        <f>'U267-Update_lets_an_administrat'!M5</f>
        <v>0</v>
      </c>
      <c r="I278" s="101" t="n">
        <f>'U267-Update_lets_an_administrat'!N5</f>
        <v>1</v>
      </c>
    </row>
    <row r="279" ht="30" customHeight="1">
      <c r="A279" s="100" t="n">
        <v>268</v>
      </c>
      <c r="B279" s="76" t="str">
        <v>U268-Update_lets_one_administra</v>
      </c>
      <c r="C279" s="101" t="n">
        <f>'U268-Update_lets_one_administra'!A5</f>
        <v>0</v>
      </c>
      <c r="D279" s="101" t="n">
        <f>'U268-Update_lets_one_administra'!C5</f>
        <v>0</v>
      </c>
      <c r="E279" s="101" t="n">
        <f>'U268-Update_lets_one_administra'!E5</f>
        <v>1</v>
      </c>
      <c r="F279" s="101" t="n">
        <f>'U268-Update_lets_one_administra'!K5</f>
        <v>0</v>
      </c>
      <c r="G279" s="101" t="n">
        <f>'U268-Update_lets_one_administra'!L5</f>
        <v>0</v>
      </c>
      <c r="H279" s="102" t="n">
        <f>'U268-Update_lets_one_administra'!M5</f>
        <v>0</v>
      </c>
      <c r="I279" s="101" t="n">
        <f>'U268-Update_lets_one_administra'!N5</f>
        <v>1</v>
      </c>
    </row>
    <row r="280" ht="30" customHeight="1">
      <c r="A280" s="100" t="n">
        <v>269</v>
      </c>
      <c r="B280" s="76" t="str">
        <v>U269-Update_refuses_to_demote_t</v>
      </c>
      <c r="C280" s="101" t="n">
        <f>'U269-Update_refuses_to_demote_t'!A5</f>
        <v>0</v>
      </c>
      <c r="D280" s="101" t="n">
        <f>'U269-Update_refuses_to_demote_t'!C5</f>
        <v>0</v>
      </c>
      <c r="E280" s="101" t="n">
        <f>'U269-Update_refuses_to_demote_t'!E5</f>
        <v>1</v>
      </c>
      <c r="F280" s="101" t="n">
        <f>'U269-Update_refuses_to_demote_t'!K5</f>
        <v>0</v>
      </c>
      <c r="G280" s="101" t="n">
        <f>'U269-Update_refuses_to_demote_t'!L5</f>
        <v>0</v>
      </c>
      <c r="H280" s="102" t="n">
        <f>'U269-Update_refuses_to_demote_t'!M5</f>
        <v>0</v>
      </c>
      <c r="I280" s="101" t="n">
        <f>'U269-Update_refuses_to_demote_t'!N5</f>
        <v>1</v>
      </c>
    </row>
    <row r="281" ht="30" customHeight="1">
      <c r="A281" s="100" t="n">
        <v>270</v>
      </c>
      <c r="B281" s="76" t="str">
        <v>U270-Update_lets_the_last_admin</v>
      </c>
      <c r="C281" s="101" t="n">
        <f>'U270-Update_lets_the_last_admin'!A5</f>
        <v>0</v>
      </c>
      <c r="D281" s="101" t="n">
        <f>'U270-Update_lets_the_last_admin'!C5</f>
        <v>0</v>
      </c>
      <c r="E281" s="101" t="n">
        <f>'U270-Update_lets_the_last_admin'!E5</f>
        <v>1</v>
      </c>
      <c r="F281" s="101" t="n">
        <f>'U270-Update_lets_the_last_admin'!K5</f>
        <v>0</v>
      </c>
      <c r="G281" s="101" t="n">
        <f>'U270-Update_lets_the_last_admin'!L5</f>
        <v>0</v>
      </c>
      <c r="H281" s="102" t="n">
        <f>'U270-Update_lets_the_last_admin'!M5</f>
        <v>0</v>
      </c>
      <c r="I281" s="101" t="n">
        <f>'U270-Update_lets_the_last_admin'!N5</f>
        <v>1</v>
      </c>
    </row>
    <row r="282" ht="30" customHeight="1">
      <c r="A282" s="100" t="n">
        <v>271</v>
      </c>
      <c r="B282" s="76" t="str">
        <v>U271-An_inactive_account_can_st</v>
      </c>
      <c r="C282" s="101" t="n">
        <f>'U271-An_inactive_account_can_st'!A5</f>
        <v>0</v>
      </c>
      <c r="D282" s="101" t="n">
        <f>'U271-An_inactive_account_can_st'!C5</f>
        <v>0</v>
      </c>
      <c r="E282" s="101" t="n">
        <f>'U271-An_inactive_account_can_st'!E5</f>
        <v>1</v>
      </c>
      <c r="F282" s="101" t="n">
        <f>'U271-An_inactive_account_can_st'!K5</f>
        <v>0</v>
      </c>
      <c r="G282" s="101" t="n">
        <f>'U271-An_inactive_account_can_st'!L5</f>
        <v>0</v>
      </c>
      <c r="H282" s="102" t="n">
        <f>'U271-An_inactive_account_can_st'!M5</f>
        <v>0</v>
      </c>
      <c r="I282" s="101" t="n">
        <f>'U271-An_inactive_account_can_st'!N5</f>
        <v>1</v>
      </c>
    </row>
    <row r="283" ht="30" customHeight="1">
      <c r="A283" s="100" t="n">
        <v>272</v>
      </c>
      <c r="B283" s="76" t="str">
        <v>U272-Changing_an_email_ends_the</v>
      </c>
      <c r="C283" s="101" t="n">
        <f>'U272-Changing_an_email_ends_the'!A5</f>
        <v>0</v>
      </c>
      <c r="D283" s="101" t="n">
        <f>'U272-Changing_an_email_ends_the'!C5</f>
        <v>0</v>
      </c>
      <c r="E283" s="101" t="n">
        <f>'U272-Changing_an_email_ends_the'!E5</f>
        <v>1</v>
      </c>
      <c r="F283" s="101" t="n">
        <f>'U272-Changing_an_email_ends_the'!K5</f>
        <v>0</v>
      </c>
      <c r="G283" s="101" t="n">
        <f>'U272-Changing_an_email_ends_the'!L5</f>
        <v>0</v>
      </c>
      <c r="H283" s="102" t="n">
        <f>'U272-Changing_an_email_ends_the'!M5</f>
        <v>0</v>
      </c>
      <c r="I283" s="101" t="n">
        <f>'U272-Changing_an_email_ends_the'!N5</f>
        <v>1</v>
      </c>
    </row>
    <row r="284" ht="30" customHeight="1">
      <c r="A284" s="100" t="n">
        <v>273</v>
      </c>
      <c r="B284" s="76" t="str">
        <v>U273-Renaming_somebody_leaves_t</v>
      </c>
      <c r="C284" s="101" t="n">
        <f>'U273-Renaming_somebody_leaves_t'!A5</f>
        <v>0</v>
      </c>
      <c r="D284" s="101" t="n">
        <f>'U273-Renaming_somebody_leaves_t'!C5</f>
        <v>0</v>
      </c>
      <c r="E284" s="101" t="n">
        <f>'U273-Renaming_somebody_leaves_t'!E5</f>
        <v>1</v>
      </c>
      <c r="F284" s="101" t="n">
        <f>'U273-Renaming_somebody_leaves_t'!K5</f>
        <v>0</v>
      </c>
      <c r="G284" s="101" t="n">
        <f>'U273-Renaming_somebody_leaves_t'!L5</f>
        <v>0</v>
      </c>
      <c r="H284" s="102" t="n">
        <f>'U273-Renaming_somebody_leaves_t'!M5</f>
        <v>0</v>
      </c>
      <c r="I284" s="101" t="n">
        <f>'U273-Renaming_somebody_leaves_t'!N5</f>
        <v>1</v>
      </c>
    </row>
    <row r="285" ht="30" customHeight="1">
      <c r="A285" s="100" t="n">
        <v>274</v>
      </c>
      <c r="B285" s="76" t="str">
        <v>U274-Both_writes_that_touch_the</v>
      </c>
      <c r="C285" s="101" t="n">
        <f>'U274-Both_writes_that_touch_the'!A5</f>
        <v>0</v>
      </c>
      <c r="D285" s="101" t="n">
        <f>'U274-Both_writes_that_touch_the'!C5</f>
        <v>0</v>
      </c>
      <c r="E285" s="101" t="n">
        <f>'U274-Both_writes_that_touch_the'!E5</f>
        <v>1</v>
      </c>
      <c r="F285" s="101" t="n">
        <f>'U274-Both_writes_that_touch_the'!K5</f>
        <v>0</v>
      </c>
      <c r="G285" s="101" t="n">
        <f>'U274-Both_writes_that_touch_the'!L5</f>
        <v>0</v>
      </c>
      <c r="H285" s="102" t="n">
        <f>'U274-Both_writes_that_touch_the'!M5</f>
        <v>0</v>
      </c>
      <c r="I285" s="101" t="n">
        <f>'U274-Both_writes_that_touch_the'!N5</f>
        <v>1</v>
      </c>
    </row>
    <row r="286" ht="30" customHeight="1">
      <c r="A286" s="100" t="n">
        <v>275</v>
      </c>
      <c r="B286" s="76" t="str">
        <v>U275-Sessions_are_ended_after_t</v>
      </c>
      <c r="C286" s="101" t="n">
        <f>'U275-Sessions_are_ended_after_t'!A5</f>
        <v>0</v>
      </c>
      <c r="D286" s="101" t="n">
        <f>'U275-Sessions_are_ended_after_t'!C5</f>
        <v>0</v>
      </c>
      <c r="E286" s="101" t="n">
        <f>'U275-Sessions_are_ended_after_t'!E5</f>
        <v>1</v>
      </c>
      <c r="F286" s="101" t="n">
        <f>'U275-Sessions_are_ended_after_t'!K5</f>
        <v>0</v>
      </c>
      <c r="G286" s="101" t="n">
        <f>'U275-Sessions_are_ended_after_t'!L5</f>
        <v>0</v>
      </c>
      <c r="H286" s="102" t="n">
        <f>'U275-Sessions_are_ended_after_t'!M5</f>
        <v>0</v>
      </c>
      <c r="I286" s="101" t="n">
        <f>'U275-Sessions_are_ended_after_t'!N5</f>
        <v>1</v>
      </c>
    </row>
    <row r="287" ht="30" customHeight="1">
      <c r="A287" s="100" t="n">
        <v>276</v>
      </c>
      <c r="B287" s="76" t="str">
        <v>U276-A_change_survives_the_sess</v>
      </c>
      <c r="C287" s="101" t="n">
        <f>'U276-A_change_survives_the_sess'!A5</f>
        <v>0</v>
      </c>
      <c r="D287" s="101" t="n">
        <f>'U276-A_change_survives_the_sess'!C5</f>
        <v>0</v>
      </c>
      <c r="E287" s="101" t="n">
        <f>'U276-A_change_survives_the_sess'!E5</f>
        <v>1</v>
      </c>
      <c r="F287" s="101" t="n">
        <f>'U276-A_change_survives_the_sess'!K5</f>
        <v>0</v>
      </c>
      <c r="G287" s="101" t="n">
        <f>'U276-A_change_survives_the_sess'!L5</f>
        <v>0</v>
      </c>
      <c r="H287" s="102" t="n">
        <f>'U276-A_change_survives_the_sess'!M5</f>
        <v>0</v>
      </c>
      <c r="I287" s="101" t="n">
        <f>'U276-A_change_survives_the_sess'!N5</f>
        <v>1</v>
      </c>
    </row>
    <row r="288" ht="30" customHeight="1">
      <c r="A288" s="100" t="n">
        <v>277</v>
      </c>
      <c r="B288" s="76" t="str">
        <v>U277-Deactivate_sets_the_status</v>
      </c>
      <c r="C288" s="101" t="n">
        <f>'U277-Deactivate_sets_the_status'!A5</f>
        <v>0</v>
      </c>
      <c r="D288" s="101" t="n">
        <f>'U277-Deactivate_sets_the_status'!C5</f>
        <v>0</v>
      </c>
      <c r="E288" s="101" t="n">
        <f>'U277-Deactivate_sets_the_status'!E5</f>
        <v>1</v>
      </c>
      <c r="F288" s="101" t="n">
        <f>'U277-Deactivate_sets_the_status'!K5</f>
        <v>0</v>
      </c>
      <c r="G288" s="101" t="n">
        <f>'U277-Deactivate_sets_the_status'!L5</f>
        <v>0</v>
      </c>
      <c r="H288" s="102" t="n">
        <f>'U277-Deactivate_sets_the_status'!M5</f>
        <v>0</v>
      </c>
      <c r="I288" s="101" t="n">
        <f>'U277-Deactivate_sets_the_status'!N5</f>
        <v>1</v>
      </c>
    </row>
    <row r="289" ht="30" customHeight="1">
      <c r="A289" s="100" t="n">
        <v>278</v>
      </c>
      <c r="B289" s="76" t="str">
        <v>U278-Deactivate_never_deletes_t</v>
      </c>
      <c r="C289" s="101" t="n">
        <f>'U278-Deactivate_never_deletes_t'!A5</f>
        <v>0</v>
      </c>
      <c r="D289" s="101" t="n">
        <f>'U278-Deactivate_never_deletes_t'!C5</f>
        <v>0</v>
      </c>
      <c r="E289" s="101" t="n">
        <f>'U278-Deactivate_never_deletes_t'!E5</f>
        <v>1</v>
      </c>
      <c r="F289" s="101" t="n">
        <f>'U278-Deactivate_never_deletes_t'!K5</f>
        <v>0</v>
      </c>
      <c r="G289" s="101" t="n">
        <f>'U278-Deactivate_never_deletes_t'!L5</f>
        <v>0</v>
      </c>
      <c r="H289" s="102" t="n">
        <f>'U278-Deactivate_never_deletes_t'!M5</f>
        <v>0</v>
      </c>
      <c r="I289" s="101" t="n">
        <f>'U278-Deactivate_never_deletes_t'!N5</f>
        <v>1</v>
      </c>
    </row>
    <row r="290" ht="30" customHeight="1">
      <c r="A290" s="100" t="n">
        <v>279</v>
      </c>
      <c r="B290" s="76" t="str">
        <v>U279-Reactivate_sets_the_status</v>
      </c>
      <c r="C290" s="101" t="n">
        <f>'U279-Reactivate_sets_the_status'!A5</f>
        <v>0</v>
      </c>
      <c r="D290" s="101" t="n">
        <f>'U279-Reactivate_sets_the_status'!C5</f>
        <v>0</v>
      </c>
      <c r="E290" s="101" t="n">
        <f>'U279-Reactivate_sets_the_status'!E5</f>
        <v>1</v>
      </c>
      <c r="F290" s="101" t="n">
        <f>'U279-Reactivate_sets_the_status'!K5</f>
        <v>0</v>
      </c>
      <c r="G290" s="101" t="n">
        <f>'U279-Reactivate_sets_the_status'!L5</f>
        <v>0</v>
      </c>
      <c r="H290" s="102" t="n">
        <f>'U279-Reactivate_sets_the_status'!M5</f>
        <v>0</v>
      </c>
      <c r="I290" s="101" t="n">
        <f>'U279-Reactivate_sets_the_status'!N5</f>
        <v>1</v>
      </c>
    </row>
    <row r="291" ht="30" customHeight="1">
      <c r="A291" s="100" t="n">
        <v>280</v>
      </c>
      <c r="B291" s="76" t="str">
        <v>U280-Status_change_is_refused_w</v>
      </c>
      <c r="C291" s="101" t="n">
        <f>'U280-Status_change_is_refused_w'!A5</f>
        <v>0</v>
      </c>
      <c r="D291" s="101" t="n">
        <f>'U280-Status_change_is_refused_w'!C5</f>
        <v>0</v>
      </c>
      <c r="E291" s="101" t="n">
        <f>'U280-Status_change_is_refused_w'!E5</f>
        <v>1</v>
      </c>
      <c r="F291" s="101" t="n">
        <f>'U280-Status_change_is_refused_w'!K5</f>
        <v>0</v>
      </c>
      <c r="G291" s="101" t="n">
        <f>'U280-Status_change_is_refused_w'!L5</f>
        <v>0</v>
      </c>
      <c r="H291" s="102" t="n">
        <f>'U280-Status_change_is_refused_w'!M5</f>
        <v>0</v>
      </c>
      <c r="I291" s="101" t="n">
        <f>'U280-Status_change_is_refused_w'!N5</f>
        <v>1</v>
      </c>
    </row>
    <row r="292" ht="30" customHeight="1">
      <c r="A292" s="100" t="n">
        <v>281</v>
      </c>
      <c r="B292" s="76" t="str">
        <v>U281-Status_change_is_refused_w</v>
      </c>
      <c r="C292" s="101" t="n">
        <f>'U281-Status_change_is_refused_w'!A5</f>
        <v>0</v>
      </c>
      <c r="D292" s="101" t="n">
        <f>'U281-Status_change_is_refused_w'!C5</f>
        <v>0</v>
      </c>
      <c r="E292" s="101" t="n">
        <f>'U281-Status_change_is_refused_w'!E5</f>
        <v>1</v>
      </c>
      <c r="F292" s="101" t="n">
        <f>'U281-Status_change_is_refused_w'!K5</f>
        <v>0</v>
      </c>
      <c r="G292" s="101" t="n">
        <f>'U281-Status_change_is_refused_w'!L5</f>
        <v>0</v>
      </c>
      <c r="H292" s="102" t="n">
        <f>'U281-Status_change_is_refused_w'!M5</f>
        <v>0</v>
      </c>
      <c r="I292" s="101" t="n">
        <f>'U281-Status_change_is_refused_w'!N5</f>
        <v>1</v>
      </c>
    </row>
    <row r="293" ht="30" customHeight="1">
      <c r="A293" s="100" t="n">
        <v>282</v>
      </c>
      <c r="B293" s="76" t="str">
        <v>U282-Two_administrators_cannot_</v>
      </c>
      <c r="C293" s="101" t="n">
        <f>'U282-Two_administrators_cannot_'!A5</f>
        <v>0</v>
      </c>
      <c r="D293" s="101" t="n">
        <f>'U282-Two_administrators_cannot_'!C5</f>
        <v>0</v>
      </c>
      <c r="E293" s="101" t="n">
        <f>'U282-Two_administrators_cannot_'!E5</f>
        <v>1</v>
      </c>
      <c r="F293" s="101" t="n">
        <f>'U282-Two_administrators_cannot_'!K5</f>
        <v>0</v>
      </c>
      <c r="G293" s="101" t="n">
        <f>'U282-Two_administrators_cannot_'!L5</f>
        <v>0</v>
      </c>
      <c r="H293" s="102" t="n">
        <f>'U282-Two_administrators_cannot_'!M5</f>
        <v>0</v>
      </c>
      <c r="I293" s="101" t="n">
        <f>'U282-Two_administrators_cannot_'!N5</f>
        <v>1</v>
      </c>
    </row>
    <row r="294" ht="30" customHeight="1">
      <c r="A294" s="100" t="n">
        <v>283</v>
      </c>
      <c r="B294" s="76" t="str">
        <v>U283-Deactivating_the_last_admi</v>
      </c>
      <c r="C294" s="101" t="n">
        <f>'U283-Deactivating_the_last_admi'!A5</f>
        <v>0</v>
      </c>
      <c r="D294" s="101" t="n">
        <f>'U283-Deactivating_the_last_admi'!C5</f>
        <v>0</v>
      </c>
      <c r="E294" s="101" t="n">
        <f>'U283-Deactivating_the_last_admi'!E5</f>
        <v>1</v>
      </c>
      <c r="F294" s="101" t="n">
        <f>'U283-Deactivating_the_last_admi'!K5</f>
        <v>0</v>
      </c>
      <c r="G294" s="101" t="n">
        <f>'U283-Deactivating_the_last_admi'!L5</f>
        <v>0</v>
      </c>
      <c r="H294" s="102" t="n">
        <f>'U283-Deactivating_the_last_admi'!M5</f>
        <v>0</v>
      </c>
      <c r="I294" s="101" t="n">
        <f>'U283-Deactivating_the_last_admi'!N5</f>
        <v>1</v>
      </c>
    </row>
    <row r="295" ht="30" customHeight="1">
      <c r="A295" s="100" t="n">
        <v>284</v>
      </c>
      <c r="B295" s="76" t="str">
        <v>U284-A_custom_role_holding_admi</v>
      </c>
      <c r="C295" s="101" t="n">
        <f>'U284-A_custom_role_holding_admi'!A5</f>
        <v>0</v>
      </c>
      <c r="D295" s="101" t="n">
        <f>'U284-A_custom_role_holding_admi'!C5</f>
        <v>0</v>
      </c>
      <c r="E295" s="101" t="n">
        <f>'U284-A_custom_role_holding_admi'!E5</f>
        <v>1</v>
      </c>
      <c r="F295" s="101" t="n">
        <f>'U284-A_custom_role_holding_admi'!K5</f>
        <v>0</v>
      </c>
      <c r="G295" s="101" t="n">
        <f>'U284-A_custom_role_holding_admi'!L5</f>
        <v>0</v>
      </c>
      <c r="H295" s="102" t="n">
        <f>'U284-A_custom_role_holding_admi'!M5</f>
        <v>0</v>
      </c>
      <c r="I295" s="101" t="n">
        <f>'U284-A_custom_role_holding_admi'!N5</f>
        <v>1</v>
      </c>
    </row>
    <row r="296" ht="30" customHeight="1">
      <c r="A296" s="100" t="n">
        <v>285</v>
      </c>
      <c r="B296" s="76" t="str">
        <v>U285-Moving_the_last_administra</v>
      </c>
      <c r="C296" s="101" t="n">
        <f>'U285-Moving_the_last_administra'!A5</f>
        <v>0</v>
      </c>
      <c r="D296" s="101" t="n">
        <f>'U285-Moving_the_last_administra'!C5</f>
        <v>0</v>
      </c>
      <c r="E296" s="101" t="n">
        <f>'U285-Moving_the_last_administra'!E5</f>
        <v>1</v>
      </c>
      <c r="F296" s="101" t="n">
        <f>'U285-Moving_the_last_administra'!K5</f>
        <v>0</v>
      </c>
      <c r="G296" s="101" t="n">
        <f>'U285-Moving_the_last_administra'!L5</f>
        <v>0</v>
      </c>
      <c r="H296" s="102" t="n">
        <f>'U285-Moving_the_last_administra'!M5</f>
        <v>0</v>
      </c>
      <c r="I296" s="101" t="n">
        <f>'U285-Moving_the_last_administra'!N5</f>
        <v>1</v>
      </c>
    </row>
    <row r="297" ht="30" customHeight="1">
      <c r="A297" s="100" t="n">
        <v>286</v>
      </c>
      <c r="B297" s="76" t="str">
        <v>U286-Update_answers_with_the_ne</v>
      </c>
      <c r="C297" s="101" t="n">
        <f>'U286-Update_answers_with_the_ne'!A5</f>
        <v>0</v>
      </c>
      <c r="D297" s="101" t="n">
        <f>'U286-Update_answers_with_the_ne'!C5</f>
        <v>0</v>
      </c>
      <c r="E297" s="101" t="n">
        <f>'U286-Update_answers_with_the_ne'!E5</f>
        <v>1</v>
      </c>
      <c r="F297" s="101" t="n">
        <f>'U286-Update_answers_with_the_ne'!K5</f>
        <v>0</v>
      </c>
      <c r="G297" s="101" t="n">
        <f>'U286-Update_answers_with_the_ne'!L5</f>
        <v>0</v>
      </c>
      <c r="H297" s="102" t="n">
        <f>'U286-Update_answers_with_the_ne'!M5</f>
        <v>0</v>
      </c>
      <c r="I297" s="101" t="n">
        <f>'U286-Update_answers_with_the_ne'!N5</f>
        <v>1</v>
      </c>
    </row>
    <row r="298" ht="30" customHeight="1">
      <c r="A298" s="100" t="n">
        <v>287</v>
      </c>
      <c r="B298" s="76" t="str">
        <v>U287-Update_answers_MSG09_for_a</v>
      </c>
      <c r="C298" s="101" t="n">
        <f>'U287-Update_answers_MSG09_for_a'!A5</f>
        <v>0</v>
      </c>
      <c r="D298" s="101" t="n">
        <f>'U287-Update_answers_MSG09_for_a'!C5</f>
        <v>0</v>
      </c>
      <c r="E298" s="101" t="n">
        <f>'U287-Update_answers_MSG09_for_a'!E5</f>
        <v>1</v>
      </c>
      <c r="F298" s="101" t="n">
        <f>'U287-Update_answers_MSG09_for_a'!K5</f>
        <v>0</v>
      </c>
      <c r="G298" s="101" t="n">
        <f>'U287-Update_answers_MSG09_for_a'!L5</f>
        <v>0</v>
      </c>
      <c r="H298" s="102" t="n">
        <f>'U287-Update_answers_MSG09_for_a'!M5</f>
        <v>0</v>
      </c>
      <c r="I298" s="101" t="n">
        <f>'U287-Update_answers_MSG09_for_a'!N5</f>
        <v>1</v>
      </c>
    </row>
    <row r="299" ht="30" customHeight="1">
      <c r="A299" s="100" t="n">
        <v>288</v>
      </c>
      <c r="B299" s="76" t="str">
        <v>U288-Deactivating_a_non_adminis</v>
      </c>
      <c r="C299" s="101" t="n">
        <f>'U288-Deactivating_a_non_adminis'!A5</f>
        <v>0</v>
      </c>
      <c r="D299" s="101" t="n">
        <f>'U288-Deactivating_a_non_adminis'!C5</f>
        <v>0</v>
      </c>
      <c r="E299" s="101" t="n">
        <f>'U288-Deactivating_a_non_adminis'!E5</f>
        <v>1</v>
      </c>
      <c r="F299" s="101" t="n">
        <f>'U288-Deactivating_a_non_adminis'!K5</f>
        <v>0</v>
      </c>
      <c r="G299" s="101" t="n">
        <f>'U288-Deactivating_a_non_adminis'!L5</f>
        <v>0</v>
      </c>
      <c r="H299" s="102" t="n">
        <f>'U288-Deactivating_a_non_adminis'!M5</f>
        <v>0</v>
      </c>
      <c r="I299" s="101" t="n">
        <f>'U288-Deactivating_a_non_adminis'!N5</f>
        <v>1</v>
      </c>
    </row>
    <row r="300" ht="30" customHeight="1">
      <c r="A300" s="100" t="n">
        <v>289</v>
      </c>
      <c r="B300" s="76" t="str">
        <v>U289-Status_change_reports_not_</v>
      </c>
      <c r="C300" s="101" t="n">
        <f>'U289-Status_change_reports_not_'!A5</f>
        <v>0</v>
      </c>
      <c r="D300" s="101" t="n">
        <f>'U289-Status_change_reports_not_'!C5</f>
        <v>0</v>
      </c>
      <c r="E300" s="101" t="n">
        <f>'U289-Status_change_reports_not_'!E5</f>
        <v>1</v>
      </c>
      <c r="F300" s="101" t="n">
        <f>'U289-Status_change_reports_not_'!K5</f>
        <v>0</v>
      </c>
      <c r="G300" s="101" t="n">
        <f>'U289-Status_change_reports_not_'!L5</f>
        <v>0</v>
      </c>
      <c r="H300" s="102" t="n">
        <f>'U289-Status_change_reports_not_'!M5</f>
        <v>0</v>
      </c>
      <c r="I300" s="101" t="n">
        <f>'U289-Status_change_reports_not_'!N5</f>
        <v>1</v>
      </c>
    </row>
    <row r="301" ht="30" customHeight="1">
      <c r="A301" s="100" t="n">
        <v>290</v>
      </c>
      <c r="B301" s="76" t="str">
        <v>U290-Reset_request_emails_a_lin</v>
      </c>
      <c r="C301" s="101" t="n">
        <f>'U290-Reset_request_emails_a_lin'!A5</f>
        <v>0</v>
      </c>
      <c r="D301" s="101" t="n">
        <f>'U290-Reset_request_emails_a_lin'!C5</f>
        <v>0</v>
      </c>
      <c r="E301" s="101" t="n">
        <f>'U290-Reset_request_emails_a_lin'!E5</f>
        <v>1</v>
      </c>
      <c r="F301" s="101" t="n">
        <f>'U290-Reset_request_emails_a_lin'!K5</f>
        <v>0</v>
      </c>
      <c r="G301" s="101" t="n">
        <f>'U290-Reset_request_emails_a_lin'!L5</f>
        <v>0</v>
      </c>
      <c r="H301" s="102" t="n">
        <f>'U290-Reset_request_emails_a_lin'!M5</f>
        <v>0</v>
      </c>
      <c r="I301" s="101" t="n">
        <f>'U290-Reset_request_emails_a_lin'!N5</f>
        <v>1</v>
      </c>
    </row>
    <row r="302" ht="30" customHeight="1">
      <c r="A302" s="100" t="n">
        <v>291</v>
      </c>
      <c r="B302" s="76" t="str">
        <v>U291-Reset_request_leaves_the_c</v>
      </c>
      <c r="C302" s="101" t="n">
        <f>'U291-Reset_request_leaves_the_c'!A5</f>
        <v>0</v>
      </c>
      <c r="D302" s="101" t="n">
        <f>'U291-Reset_request_leaves_the_c'!C5</f>
        <v>0</v>
      </c>
      <c r="E302" s="101" t="n">
        <f>'U291-Reset_request_leaves_the_c'!E5</f>
        <v>1</v>
      </c>
      <c r="F302" s="101" t="n">
        <f>'U291-Reset_request_leaves_the_c'!K5</f>
        <v>0</v>
      </c>
      <c r="G302" s="101" t="n">
        <f>'U291-Reset_request_leaves_the_c'!L5</f>
        <v>0</v>
      </c>
      <c r="H302" s="102" t="n">
        <f>'U291-Reset_request_leaves_the_c'!M5</f>
        <v>0</v>
      </c>
      <c r="I302" s="101" t="n">
        <f>'U291-Reset_request_leaves_the_c'!N5</f>
        <v>1</v>
      </c>
    </row>
    <row r="303" ht="30" customHeight="1">
      <c r="A303" s="100" t="n">
        <v>292</v>
      </c>
      <c r="B303" s="76" t="str">
        <v>U292-Reset_request_answers_not_</v>
      </c>
      <c r="C303" s="101" t="n">
        <f>'U292-Reset_request_answers_not_'!A5</f>
        <v>0</v>
      </c>
      <c r="D303" s="101" t="n">
        <f>'U292-Reset_request_answers_not_'!C5</f>
        <v>0</v>
      </c>
      <c r="E303" s="101" t="n">
        <f>'U292-Reset_request_answers_not_'!E5</f>
        <v>1</v>
      </c>
      <c r="F303" s="101" t="n">
        <f>'U292-Reset_request_answers_not_'!K5</f>
        <v>0</v>
      </c>
      <c r="G303" s="101" t="n">
        <f>'U292-Reset_request_answers_not_'!L5</f>
        <v>0</v>
      </c>
      <c r="H303" s="102" t="n">
        <f>'U292-Reset_request_answers_not_'!M5</f>
        <v>0</v>
      </c>
      <c r="I303" s="101" t="n">
        <f>'U292-Reset_request_answers_not_'!N5</f>
        <v>1</v>
      </c>
    </row>
    <row r="304" ht="30" customHeight="1">
      <c r="A304" s="100" t="n">
        <v>293</v>
      </c>
      <c r="B304" s="76" t="str">
        <v>U293-Reset_request_answers_not_</v>
      </c>
      <c r="C304" s="101" t="n">
        <f>'U293-Reset_request_answers_not_'!A5</f>
        <v>0</v>
      </c>
      <c r="D304" s="101" t="n">
        <f>'U293-Reset_request_answers_not_'!C5</f>
        <v>0</v>
      </c>
      <c r="E304" s="101" t="n">
        <f>'U293-Reset_request_answers_not_'!E5</f>
        <v>1</v>
      </c>
      <c r="F304" s="101" t="n">
        <f>'U293-Reset_request_answers_not_'!K5</f>
        <v>0</v>
      </c>
      <c r="G304" s="101" t="n">
        <f>'U293-Reset_request_answers_not_'!L5</f>
        <v>0</v>
      </c>
      <c r="H304" s="102" t="n">
        <f>'U293-Reset_request_answers_not_'!M5</f>
        <v>0</v>
      </c>
      <c r="I304" s="101" t="n">
        <f>'U293-Reset_request_answers_not_'!N5</f>
        <v>1</v>
      </c>
    </row>
    <row r="305" ht="30" customHeight="1">
      <c r="A305" s="100" t="n">
        <v>294</v>
      </c>
      <c r="B305" s="76" t="str">
        <v>U294-Reset_request_answers_emai</v>
      </c>
      <c r="C305" s="101" t="n">
        <f>'U294-Reset_request_answers_emai'!A5</f>
        <v>0</v>
      </c>
      <c r="D305" s="101" t="n">
        <f>'U294-Reset_request_answers_emai'!C5</f>
        <v>0</v>
      </c>
      <c r="E305" s="101" t="n">
        <f>'U294-Reset_request_answers_emai'!E5</f>
        <v>1</v>
      </c>
      <c r="F305" s="101" t="n">
        <f>'U294-Reset_request_answers_emai'!K5</f>
        <v>0</v>
      </c>
      <c r="G305" s="101" t="n">
        <f>'U294-Reset_request_answers_emai'!L5</f>
        <v>0</v>
      </c>
      <c r="H305" s="102" t="n">
        <f>'U294-Reset_request_answers_emai'!M5</f>
        <v>0</v>
      </c>
      <c r="I305" s="101" t="n">
        <f>'U294-Reset_request_answers_emai'!N5</f>
        <v>1</v>
      </c>
    </row>
    <row r="306" ht="30" customHeight="1">
      <c r="A306" s="100" t="n">
        <v>295</v>
      </c>
      <c r="B306" s="76" t="str">
        <v>U295-A_failed_resend_keeps_the_</v>
      </c>
      <c r="C306" s="101" t="n">
        <f>'U295-A_failed_resend_keeps_the_'!A5</f>
        <v>0</v>
      </c>
      <c r="D306" s="101" t="n">
        <f>'U295-A_failed_resend_keeps_the_'!C5</f>
        <v>0</v>
      </c>
      <c r="E306" s="101" t="n">
        <f>'U295-A_failed_resend_keeps_the_'!E5</f>
        <v>1</v>
      </c>
      <c r="F306" s="101" t="n">
        <f>'U295-A_failed_resend_keeps_the_'!K5</f>
        <v>0</v>
      </c>
      <c r="G306" s="101" t="n">
        <f>'U295-A_failed_resend_keeps_the_'!L5</f>
        <v>0</v>
      </c>
      <c r="H306" s="102" t="n">
        <f>'U295-A_failed_resend_keeps_the_'!M5</f>
        <v>0</v>
      </c>
      <c r="I306" s="101" t="n">
        <f>'U295-A_failed_resend_keeps_the_'!N5</f>
        <v>1</v>
      </c>
    </row>
    <row r="307" ht="30" customHeight="1">
      <c r="A307" s="100" t="n">
        <v>296</v>
      </c>
      <c r="B307" s="76" t="str">
        <v>U296-A_link_whose_email_failed_</v>
      </c>
      <c r="C307" s="101" t="n">
        <f>'U296-A_link_whose_email_failed_'!A5</f>
        <v>0</v>
      </c>
      <c r="D307" s="101" t="n">
        <f>'U296-A_link_whose_email_failed_'!C5</f>
        <v>0</v>
      </c>
      <c r="E307" s="101" t="n">
        <f>'U296-A_link_whose_email_failed_'!E5</f>
        <v>1</v>
      </c>
      <c r="F307" s="101" t="n">
        <f>'U296-A_link_whose_email_failed_'!K5</f>
        <v>0</v>
      </c>
      <c r="G307" s="101" t="n">
        <f>'U296-A_link_whose_email_failed_'!L5</f>
        <v>0</v>
      </c>
      <c r="H307" s="102" t="n">
        <f>'U296-A_link_whose_email_failed_'!M5</f>
        <v>0</v>
      </c>
      <c r="I307" s="101" t="n">
        <f>'U296-A_link_whose_email_failed_'!N5</f>
        <v>1</v>
      </c>
    </row>
    <row r="308" ht="30" customHeight="1">
      <c r="A308" s="100" t="n">
        <v>297</v>
      </c>
      <c r="B308" s="76" t="str">
        <v>U297-A_deactivation_during_the_</v>
      </c>
      <c r="C308" s="101" t="n">
        <f>'U297-A_deactivation_during_the_'!A5</f>
        <v>0</v>
      </c>
      <c r="D308" s="101" t="n">
        <f>'U297-A_deactivation_during_the_'!C5</f>
        <v>0</v>
      </c>
      <c r="E308" s="101" t="n">
        <f>'U297-A_deactivation_during_the_'!E5</f>
        <v>1</v>
      </c>
      <c r="F308" s="101" t="n">
        <f>'U297-A_deactivation_during_the_'!K5</f>
        <v>0</v>
      </c>
      <c r="G308" s="101" t="n">
        <f>'U297-A_deactivation_during_the_'!L5</f>
        <v>0</v>
      </c>
      <c r="H308" s="102" t="n">
        <f>'U297-A_deactivation_during_the_'!M5</f>
        <v>0</v>
      </c>
      <c r="I308" s="101" t="n">
        <f>'U297-A_deactivation_during_the_'!N5</f>
        <v>1</v>
      </c>
    </row>
    <row r="309" ht="30" customHeight="1">
      <c r="A309" s="100" t="n">
        <v>298</v>
      </c>
      <c r="B309" s="76" t="str">
        <v>U298-An_email_change_during_the</v>
      </c>
      <c r="C309" s="101" t="n">
        <f>'U298-An_email_change_during_the'!A5</f>
        <v>0</v>
      </c>
      <c r="D309" s="101" t="n">
        <f>'U298-An_email_change_during_the'!C5</f>
        <v>0</v>
      </c>
      <c r="E309" s="101" t="n">
        <f>'U298-An_email_change_during_the'!E5</f>
        <v>1</v>
      </c>
      <c r="F309" s="101" t="n">
        <f>'U298-An_email_change_during_the'!K5</f>
        <v>0</v>
      </c>
      <c r="G309" s="101" t="n">
        <f>'U298-An_email_change_during_the'!L5</f>
        <v>0</v>
      </c>
      <c r="H309" s="102" t="n">
        <f>'U298-An_email_change_during_the'!M5</f>
        <v>0</v>
      </c>
      <c r="I309" s="101" t="n">
        <f>'U298-An_email_change_during_the'!N5</f>
        <v>1</v>
      </c>
    </row>
    <row r="310" ht="30" customHeight="1">
      <c r="A310" s="100" t="n">
        <v>299</v>
      </c>
      <c r="B310" s="76" t="str">
        <v>U299-A_change_of_case_during_th</v>
      </c>
      <c r="C310" s="101" t="n">
        <f>'U299-A_change_of_case_during_th'!A5</f>
        <v>0</v>
      </c>
      <c r="D310" s="101" t="n">
        <f>'U299-A_change_of_case_during_th'!C5</f>
        <v>0</v>
      </c>
      <c r="E310" s="101" t="n">
        <f>'U299-A_change_of_case_during_th'!E5</f>
        <v>1</v>
      </c>
      <c r="F310" s="101" t="n">
        <f>'U299-A_change_of_case_during_th'!K5</f>
        <v>0</v>
      </c>
      <c r="G310" s="101" t="n">
        <f>'U299-A_change_of_case_during_th'!L5</f>
        <v>0</v>
      </c>
      <c r="H310" s="102" t="n">
        <f>'U299-A_change_of_case_during_th'!M5</f>
        <v>0</v>
      </c>
      <c r="I310" s="101" t="n">
        <f>'U299-A_change_of_case_during_th'!N5</f>
        <v>1</v>
      </c>
    </row>
    <row r="311" ht="30" customHeight="1">
      <c r="A311" s="100" t="n">
        <v>300</v>
      </c>
      <c r="B311" s="76" t="str">
        <v>U300-Reset_request_reports_not_</v>
      </c>
      <c r="C311" s="101" t="n">
        <f>'U300-Reset_request_reports_not_'!A5</f>
        <v>0</v>
      </c>
      <c r="D311" s="101" t="n">
        <f>'U300-Reset_request_reports_not_'!C5</f>
        <v>0</v>
      </c>
      <c r="E311" s="101" t="n">
        <f>'U300-Reset_request_reports_not_'!E5</f>
        <v>1</v>
      </c>
      <c r="F311" s="101" t="n">
        <f>'U300-Reset_request_reports_not_'!K5</f>
        <v>0</v>
      </c>
      <c r="G311" s="101" t="n">
        <f>'U300-Reset_request_reports_not_'!L5</f>
        <v>0</v>
      </c>
      <c r="H311" s="102" t="n">
        <f>'U300-Reset_request_reports_not_'!M5</f>
        <v>0</v>
      </c>
      <c r="I311" s="101" t="n">
        <f>'U300-Reset_request_reports_not_'!N5</f>
        <v>1</v>
      </c>
    </row>
    <row r="312" ht="30" customHeight="1">
      <c r="A312" s="100" t="n">
        <v>301</v>
      </c>
      <c r="B312" s="76" t="str">
        <v>U301-Reset_sets_the_new_passwor</v>
      </c>
      <c r="C312" s="101" t="n">
        <f>'U301-Reset_sets_the_new_passwor'!A5</f>
        <v>0</v>
      </c>
      <c r="D312" s="101" t="n">
        <f>'U301-Reset_sets_the_new_passwor'!C5</f>
        <v>0</v>
      </c>
      <c r="E312" s="101" t="n">
        <f>'U301-Reset_sets_the_new_passwor'!E5</f>
        <v>1</v>
      </c>
      <c r="F312" s="101" t="n">
        <f>'U301-Reset_sets_the_new_passwor'!K5</f>
        <v>0</v>
      </c>
      <c r="G312" s="101" t="n">
        <f>'U301-Reset_sets_the_new_passwor'!L5</f>
        <v>0</v>
      </c>
      <c r="H312" s="102" t="n">
        <f>'U301-Reset_sets_the_new_passwor'!M5</f>
        <v>0</v>
      </c>
      <c r="I312" s="101" t="n">
        <f>'U301-Reset_sets_the_new_passwor'!N5</f>
        <v>1</v>
      </c>
    </row>
    <row r="313" ht="30" customHeight="1">
      <c r="A313" s="100" t="n">
        <v>302</v>
      </c>
      <c r="B313" s="76" t="str">
        <v>U302-Reset_link_works_only_once</v>
      </c>
      <c r="C313" s="101" t="n">
        <f>'U302-Reset_link_works_only_once'!A5</f>
        <v>0</v>
      </c>
      <c r="D313" s="101" t="n">
        <f>'U302-Reset_link_works_only_once'!C5</f>
        <v>0</v>
      </c>
      <c r="E313" s="101" t="n">
        <f>'U302-Reset_link_works_only_once'!E5</f>
        <v>1</v>
      </c>
      <c r="F313" s="101" t="n">
        <f>'U302-Reset_link_works_only_once'!K5</f>
        <v>0</v>
      </c>
      <c r="G313" s="101" t="n">
        <f>'U302-Reset_link_works_only_once'!L5</f>
        <v>0</v>
      </c>
      <c r="H313" s="102" t="n">
        <f>'U302-Reset_link_works_only_once'!M5</f>
        <v>0</v>
      </c>
      <c r="I313" s="101" t="n">
        <f>'U302-Reset_link_works_only_once'!N5</f>
        <v>1</v>
      </c>
    </row>
    <row r="314" ht="30" customHeight="1">
      <c r="A314" s="100" t="n">
        <v>303</v>
      </c>
      <c r="B314" s="76" t="str">
        <v>U303-A_newer_reset_link_superse</v>
      </c>
      <c r="C314" s="101" t="n">
        <f>'U303-A_newer_reset_link_superse'!A5</f>
        <v>0</v>
      </c>
      <c r="D314" s="101" t="n">
        <f>'U303-A_newer_reset_link_superse'!C5</f>
        <v>0</v>
      </c>
      <c r="E314" s="101" t="n">
        <f>'U303-A_newer_reset_link_superse'!E5</f>
        <v>1</v>
      </c>
      <c r="F314" s="101" t="n">
        <f>'U303-A_newer_reset_link_superse'!K5</f>
        <v>0</v>
      </c>
      <c r="G314" s="101" t="n">
        <f>'U303-A_newer_reset_link_superse'!L5</f>
        <v>0</v>
      </c>
      <c r="H314" s="102" t="n">
        <f>'U303-A_newer_reset_link_superse'!M5</f>
        <v>0</v>
      </c>
      <c r="I314" s="101" t="n">
        <f>'U303-A_newer_reset_link_superse'!N5</f>
        <v>1</v>
      </c>
    </row>
    <row r="315" ht="30" customHeight="1">
      <c r="A315" s="100" t="n">
        <v>304</v>
      </c>
      <c r="B315" s="76" t="str">
        <v>U304-A_live_link_does_not_give_</v>
      </c>
      <c r="C315" s="101" t="n">
        <f>'U304-A_live_link_does_not_give_'!A5</f>
        <v>0</v>
      </c>
      <c r="D315" s="101" t="n">
        <f>'U304-A_live_link_does_not_give_'!C5</f>
        <v>0</v>
      </c>
      <c r="E315" s="101" t="n">
        <f>'U304-A_live_link_does_not_give_'!E5</f>
        <v>1</v>
      </c>
      <c r="F315" s="101" t="n">
        <f>'U304-A_live_link_does_not_give_'!K5</f>
        <v>0</v>
      </c>
      <c r="G315" s="101" t="n">
        <f>'U304-A_live_link_does_not_give_'!L5</f>
        <v>0</v>
      </c>
      <c r="H315" s="102" t="n">
        <f>'U304-A_live_link_does_not_give_'!M5</f>
        <v>0</v>
      </c>
      <c r="I315" s="101" t="n">
        <f>'U304-A_live_link_does_not_give_'!N5</f>
        <v>1</v>
      </c>
    </row>
    <row r="316" ht="30" customHeight="1">
      <c r="A316" s="100" t="n">
        <v>305</v>
      </c>
      <c r="B316" s="76" t="str">
        <v>U305-Reset_refuses_an_expired_l</v>
      </c>
      <c r="C316" s="101" t="n">
        <f>'U305-Reset_refuses_an_expired_l'!A5</f>
        <v>0</v>
      </c>
      <c r="D316" s="101" t="n">
        <f>'U305-Reset_refuses_an_expired_l'!C5</f>
        <v>0</v>
      </c>
      <c r="E316" s="101" t="n">
        <f>'U305-Reset_refuses_an_expired_l'!E5</f>
        <v>1</v>
      </c>
      <c r="F316" s="101" t="n">
        <f>'U305-Reset_refuses_an_expired_l'!K5</f>
        <v>0</v>
      </c>
      <c r="G316" s="101" t="n">
        <f>'U305-Reset_refuses_an_expired_l'!L5</f>
        <v>0</v>
      </c>
      <c r="H316" s="102" t="n">
        <f>'U305-Reset_refuses_an_expired_l'!M5</f>
        <v>0</v>
      </c>
      <c r="I316" s="101" t="n">
        <f>'U305-Reset_refuses_an_expired_l'!N5</f>
        <v>1</v>
      </c>
    </row>
    <row r="317" ht="30" customHeight="1">
      <c r="A317" s="100" t="n">
        <v>306</v>
      </c>
      <c r="B317" s="76" t="str">
        <v>U306-Reset_refuses_an_unknown_l</v>
      </c>
      <c r="C317" s="101" t="n">
        <f>'U306-Reset_refuses_an_unknown_l'!A5</f>
        <v>0</v>
      </c>
      <c r="D317" s="101" t="n">
        <f>'U306-Reset_refuses_an_unknown_l'!C5</f>
        <v>0</v>
      </c>
      <c r="E317" s="101" t="n">
        <f>'U306-Reset_refuses_an_unknown_l'!E5</f>
        <v>1</v>
      </c>
      <c r="F317" s="101" t="n">
        <f>'U306-Reset_refuses_an_unknown_l'!K5</f>
        <v>0</v>
      </c>
      <c r="G317" s="101" t="n">
        <f>'U306-Reset_refuses_an_unknown_l'!L5</f>
        <v>0</v>
      </c>
      <c r="H317" s="102" t="n">
        <f>'U306-Reset_refuses_an_unknown_l'!M5</f>
        <v>0</v>
      </c>
      <c r="I317" s="101" t="n">
        <f>'U306-Reset_refuses_an_unknown_l'!N5</f>
        <v>1</v>
      </c>
    </row>
    <row r="318" ht="30" customHeight="1">
      <c r="A318" s="100" t="n">
        <v>307</v>
      </c>
      <c r="B318" s="76" t="str">
        <v>U307-A_too_short_password_is_re</v>
      </c>
      <c r="C318" s="101" t="n">
        <f>'U307-A_too_short_password_is_re'!A5</f>
        <v>0</v>
      </c>
      <c r="D318" s="101" t="n">
        <f>'U307-A_too_short_password_is_re'!C5</f>
        <v>0</v>
      </c>
      <c r="E318" s="101" t="n">
        <f>'U307-A_too_short_password_is_re'!E5</f>
        <v>1</v>
      </c>
      <c r="F318" s="101" t="n">
        <f>'U307-A_too_short_password_is_re'!K5</f>
        <v>0</v>
      </c>
      <c r="G318" s="101" t="n">
        <f>'U307-A_too_short_password_is_re'!L5</f>
        <v>0</v>
      </c>
      <c r="H318" s="102" t="n">
        <f>'U307-A_too_short_password_is_re'!M5</f>
        <v>0</v>
      </c>
      <c r="I318" s="101" t="n">
        <f>'U307-A_too_short_password_is_re'!N5</f>
        <v>1</v>
      </c>
    </row>
    <row r="319" ht="30" customHeight="1">
      <c r="A319" s="100" t="n">
        <v>308</v>
      </c>
      <c r="B319" s="76" t="str">
        <v>U308-Reset_refuses_the_link_of_</v>
      </c>
      <c r="C319" s="101" t="n">
        <f>'U308-Reset_refuses_the_link_of_'!A5</f>
        <v>0</v>
      </c>
      <c r="D319" s="101" t="n">
        <f>'U308-Reset_refuses_the_link_of_'!C5</f>
        <v>0</v>
      </c>
      <c r="E319" s="101" t="n">
        <f>'U308-Reset_refuses_the_link_of_'!E5</f>
        <v>1</v>
      </c>
      <c r="F319" s="101" t="n">
        <f>'U308-Reset_refuses_the_link_of_'!K5</f>
        <v>0</v>
      </c>
      <c r="G319" s="101" t="n">
        <f>'U308-Reset_refuses_the_link_of_'!L5</f>
        <v>0</v>
      </c>
      <c r="H319" s="102" t="n">
        <f>'U308-Reset_refuses_the_link_of_'!M5</f>
        <v>0</v>
      </c>
      <c r="I319" s="101" t="n">
        <f>'U308-Reset_refuses_the_link_of_'!N5</f>
        <v>1</v>
      </c>
    </row>
    <row r="320" ht="30" customHeight="1">
      <c r="A320" s="100" t="n">
        <v>309</v>
      </c>
      <c r="B320" s="76" t="str">
        <v>U309-Reset_ends_a_session_opene</v>
      </c>
      <c r="C320" s="101" t="n">
        <f>'U309-Reset_ends_a_session_opene'!A5</f>
        <v>0</v>
      </c>
      <c r="D320" s="101" t="n">
        <f>'U309-Reset_ends_a_session_opene'!C5</f>
        <v>0</v>
      </c>
      <c r="E320" s="101" t="n">
        <f>'U309-Reset_ends_a_session_opene'!E5</f>
        <v>1</v>
      </c>
      <c r="F320" s="101" t="n">
        <f>'U309-Reset_ends_a_session_opene'!K5</f>
        <v>0</v>
      </c>
      <c r="G320" s="101" t="n">
        <f>'U309-Reset_ends_a_session_opene'!L5</f>
        <v>0</v>
      </c>
      <c r="H320" s="102" t="n">
        <f>'U309-Reset_ends_a_session_opene'!M5</f>
        <v>0</v>
      </c>
      <c r="I320" s="101" t="n">
        <f>'U309-Reset_ends_a_session_opene'!N5</f>
        <v>1</v>
      </c>
    </row>
    <row r="321" ht="30" customHeight="1">
      <c r="A321" s="100" t="n">
        <v>310</v>
      </c>
      <c r="B321" s="76" t="str">
        <v>U310-Reset_still_succeeds_when_</v>
      </c>
      <c r="C321" s="101" t="n">
        <f>'U310-Reset_still_succeeds_when_'!A5</f>
        <v>0</v>
      </c>
      <c r="D321" s="101" t="n">
        <f>'U310-Reset_still_succeeds_when_'!C5</f>
        <v>0</v>
      </c>
      <c r="E321" s="101" t="n">
        <f>'U310-Reset_still_succeeds_when_'!E5</f>
        <v>1</v>
      </c>
      <c r="F321" s="101" t="n">
        <f>'U310-Reset_still_succeeds_when_'!K5</f>
        <v>0</v>
      </c>
      <c r="G321" s="101" t="n">
        <f>'U310-Reset_still_succeeds_when_'!L5</f>
        <v>0</v>
      </c>
      <c r="H321" s="102" t="n">
        <f>'U310-Reset_still_succeeds_when_'!M5</f>
        <v>0</v>
      </c>
      <c r="I321" s="101" t="n">
        <f>'U310-Reset_still_succeeds_when_'!N5</f>
        <v>1</v>
      </c>
    </row>
    <row r="322" ht="30" customHeight="1">
      <c r="A322" s="100" t="n">
        <v>311</v>
      </c>
      <c r="B322" s="76" t="str">
        <v>U311-Deactivating_an_account_ki</v>
      </c>
      <c r="C322" s="101" t="n">
        <f>'U311-Deactivating_an_account_ki'!A5</f>
        <v>0</v>
      </c>
      <c r="D322" s="101" t="n">
        <f>'U311-Deactivating_an_account_ki'!C5</f>
        <v>0</v>
      </c>
      <c r="E322" s="101" t="n">
        <f>'U311-Deactivating_an_account_ki'!E5</f>
        <v>1</v>
      </c>
      <c r="F322" s="101" t="n">
        <f>'U311-Deactivating_an_account_ki'!K5</f>
        <v>0</v>
      </c>
      <c r="G322" s="101" t="n">
        <f>'U311-Deactivating_an_account_ki'!L5</f>
        <v>0</v>
      </c>
      <c r="H322" s="102" t="n">
        <f>'U311-Deactivating_an_account_ki'!M5</f>
        <v>0</v>
      </c>
      <c r="I322" s="101" t="n">
        <f>'U311-Deactivating_an_account_ki'!N5</f>
        <v>1</v>
      </c>
    </row>
    <row r="323" ht="30" customHeight="1">
      <c r="A323" s="100" t="n">
        <v>312</v>
      </c>
      <c r="B323" s="76" t="str">
        <v>U312-Changing_the_email_kills_t</v>
      </c>
      <c r="C323" s="101" t="n">
        <f>'U312-Changing_the_email_kills_t'!A5</f>
        <v>0</v>
      </c>
      <c r="D323" s="101" t="n">
        <f>'U312-Changing_the_email_kills_t'!C5</f>
        <v>0</v>
      </c>
      <c r="E323" s="101" t="n">
        <f>'U312-Changing_the_email_kills_t'!E5</f>
        <v>1</v>
      </c>
      <c r="F323" s="101" t="n">
        <f>'U312-Changing_the_email_kills_t'!K5</f>
        <v>0</v>
      </c>
      <c r="G323" s="101" t="n">
        <f>'U312-Changing_the_email_kills_t'!L5</f>
        <v>0</v>
      </c>
      <c r="H323" s="102" t="n">
        <f>'U312-Changing_the_email_kills_t'!M5</f>
        <v>0</v>
      </c>
      <c r="I323" s="101" t="n">
        <f>'U312-Changing_the_email_kills_t'!N5</f>
        <v>1</v>
      </c>
    </row>
    <row r="324" ht="30" customHeight="1">
      <c r="A324" s="100" t="n">
        <v>313</v>
      </c>
      <c r="B324" s="76" t="str">
        <v>U313-Sessions_still_end_when_re</v>
      </c>
      <c r="C324" s="101" t="n">
        <f>'U313-Sessions_still_end_when_re'!A5</f>
        <v>0</v>
      </c>
      <c r="D324" s="101" t="n">
        <f>'U313-Sessions_still_end_when_re'!C5</f>
        <v>0</v>
      </c>
      <c r="E324" s="101" t="n">
        <f>'U313-Sessions_still_end_when_re'!E5</f>
        <v>1</v>
      </c>
      <c r="F324" s="101" t="n">
        <f>'U313-Sessions_still_end_when_re'!K5</f>
        <v>0</v>
      </c>
      <c r="G324" s="101" t="n">
        <f>'U313-Sessions_still_end_when_re'!L5</f>
        <v>0</v>
      </c>
      <c r="H324" s="102" t="n">
        <f>'U313-Sessions_still_end_when_re'!M5</f>
        <v>0</v>
      </c>
      <c r="I324" s="101" t="n">
        <f>'U313-Sessions_still_end_when_re'!N5</f>
        <v>1</v>
      </c>
    </row>
    <row r="325" ht="30" customHeight="1">
      <c r="A325" s="100" t="n">
        <v>314</v>
      </c>
      <c r="B325" s="76" t="str">
        <v>U314-The_reset_link_is_still_re</v>
      </c>
      <c r="C325" s="101" t="n">
        <f>'U314-The_reset_link_is_still_re'!A5</f>
        <v>0</v>
      </c>
      <c r="D325" s="101" t="n">
        <f>'U314-The_reset_link_is_still_re'!C5</f>
        <v>0</v>
      </c>
      <c r="E325" s="101" t="n">
        <f>'U314-The_reset_link_is_still_re'!E5</f>
        <v>1</v>
      </c>
      <c r="F325" s="101" t="n">
        <f>'U314-The_reset_link_is_still_re'!K5</f>
        <v>0</v>
      </c>
      <c r="G325" s="101" t="n">
        <f>'U314-The_reset_link_is_still_re'!L5</f>
        <v>0</v>
      </c>
      <c r="H325" s="102" t="n">
        <f>'U314-The_reset_link_is_still_re'!M5</f>
        <v>0</v>
      </c>
      <c r="I325" s="101" t="n">
        <f>'U314-The_reset_link_is_still_re'!N5</f>
        <v>1</v>
      </c>
    </row>
    <row r="326" ht="30" customHeight="1">
      <c r="A326" s="100" t="n">
        <v>315</v>
      </c>
      <c r="B326" s="76" t="str">
        <v>U315-Renaming_an_account_leaves</v>
      </c>
      <c r="C326" s="101" t="n">
        <f>'U315-Renaming_an_account_leaves'!A5</f>
        <v>0</v>
      </c>
      <c r="D326" s="101" t="n">
        <f>'U315-Renaming_an_account_leaves'!C5</f>
        <v>0</v>
      </c>
      <c r="E326" s="101" t="n">
        <f>'U315-Renaming_an_account_leaves'!E5</f>
        <v>1</v>
      </c>
      <c r="F326" s="101" t="n">
        <f>'U315-Renaming_an_account_leaves'!K5</f>
        <v>0</v>
      </c>
      <c r="G326" s="101" t="n">
        <f>'U315-Renaming_an_account_leaves'!L5</f>
        <v>0</v>
      </c>
      <c r="H326" s="102" t="n">
        <f>'U315-Renaming_an_account_leaves'!M5</f>
        <v>0</v>
      </c>
      <c r="I326" s="101" t="n">
        <f>'U315-Renaming_an_account_leaves'!N5</f>
        <v>1</v>
      </c>
    </row>
    <row r="327" ht="30" customHeight="1">
      <c r="A327" s="100" t="n">
        <v>316</v>
      </c>
      <c r="B327" s="76" t="str">
        <v>U316-Reset_keeps_the_old_passwo</v>
      </c>
      <c r="C327" s="101" t="n">
        <f>'U316-Reset_keeps_the_old_passwo'!A5</f>
        <v>0</v>
      </c>
      <c r="D327" s="101" t="n">
        <f>'U316-Reset_keeps_the_old_passwo'!C5</f>
        <v>0</v>
      </c>
      <c r="E327" s="101" t="n">
        <f>'U316-Reset_keeps_the_old_passwo'!E5</f>
        <v>1</v>
      </c>
      <c r="F327" s="101" t="n">
        <f>'U316-Reset_keeps_the_old_passwo'!K5</f>
        <v>0</v>
      </c>
      <c r="G327" s="101" t="n">
        <f>'U316-Reset_keeps_the_old_passwo'!L5</f>
        <v>0</v>
      </c>
      <c r="H327" s="102" t="n">
        <f>'U316-Reset_keeps_the_old_passwo'!M5</f>
        <v>0</v>
      </c>
      <c r="I327" s="101" t="n">
        <f>'U316-Reset_keeps_the_old_passwo'!N5</f>
        <v>1</v>
      </c>
    </row>
    <row r="328" ht="25" customHeight="1">
      <c r="A328" s="111"/>
      <c r="B328" s="112" t="str">
        <v>Sub total</v>
      </c>
      <c r="C328" s="113" t="n">
        <f>SUM(C12:C327)</f>
        <v>0</v>
      </c>
      <c r="D328" s="113" t="n">
        <f>SUM(D12:D327)</f>
        <v>0</v>
      </c>
      <c r="E328" s="113" t="n">
        <f>SUM(E12:E327)</f>
        <v>316</v>
      </c>
      <c r="F328" s="114" t="n">
        <f>SUM(F12:F327)</f>
        <v>0</v>
      </c>
      <c r="G328" s="114" t="n">
        <f>SUM(G12:G327)</f>
        <v>0</v>
      </c>
      <c r="H328" s="114" t="n">
        <f>SUM(H12:H327)</f>
        <v>0</v>
      </c>
      <c r="I328" s="114" t="n">
        <f>SUM(I12:I327)</f>
        <v>316</v>
      </c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/>
      <c r="B329"/>
      <c r="C329"/>
      <c r="D329"/>
      <c r="E329"/>
      <c r="F329"/>
      <c r="G329"/>
      <c r="H329"/>
      <c r="I329"/>
    </row>
    <row r="330" ht="25" customHeight="1">
      <c r="A330" s="8"/>
      <c r="B330" s="118" t="str">
        <v>Test coverage</v>
      </c>
      <c r="C330" s="8"/>
      <c r="D330" s="119" t="n">
        <f>IFERROR((C328+D328)*100/I328,0)</f>
        <v>0.0</v>
      </c>
      <c r="E330" s="8" t="str">
        <v>%</v>
      </c>
      <c r="F330" s="8"/>
      <c r="G330" s="8"/>
      <c r="H330" s="8"/>
      <c r="I330" s="120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25" customHeight="1">
      <c r="A331" s="8"/>
      <c r="B331" s="118" t="str">
        <v>Test successful coverage</v>
      </c>
      <c r="C331" s="8"/>
      <c r="D331" s="119" t="n">
        <f>IFERROR(C328*100/I328,0)</f>
        <v>0.0</v>
      </c>
      <c r="E331" s="8" t="str">
        <v>%</v>
      </c>
      <c r="F331" s="8"/>
      <c r="G331" s="8"/>
      <c r="H331" s="8"/>
      <c r="I331" s="120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25" customHeight="1">
      <c r="A332" s="8"/>
      <c r="B332" s="118" t="str">
        <v>Normal case</v>
      </c>
      <c r="C332" s="8"/>
      <c r="D332" s="119" t="n">
        <f>IFERROR(F328*100/I328,0)</f>
        <v>0</v>
      </c>
      <c r="E332" s="8" t="str">
        <v>%</v>
      </c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25" customHeight="1">
      <c r="A333" s="8"/>
      <c r="B333" s="118" t="str">
        <v>Abnormal case</v>
      </c>
      <c r="C333" s="8"/>
      <c r="D333" s="119" t="n">
        <f>IFERROR(G328*100/I328,0)</f>
        <v>0</v>
      </c>
      <c r="E333" s="8" t="str">
        <v>%</v>
      </c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25" customHeight="1">
      <c r="A334" s="8"/>
      <c r="B334" s="118" t="str">
        <v>Boundary case</v>
      </c>
      <c r="C334" s="8"/>
      <c r="D334" s="119" t="n">
        <f>IFERROR(H328*100/I328,0)</f>
        <v>0</v>
      </c>
      <c r="E334" s="8" t="str">
        <v>%</v>
      </c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</sheetData>
  <mergeCells count="11">
    <mergeCell ref="B6:C6"/>
    <mergeCell ref="D6:E6"/>
    <mergeCell ref="F6:I6"/>
    <mergeCell ref="B7:I7"/>
    <mergeCell ref="A2:I2"/>
    <mergeCell ref="B4:C4"/>
    <mergeCell ref="D4:E4"/>
    <mergeCell ref="F4:I4"/>
    <mergeCell ref="B5:C5"/>
    <mergeCell ref="D5:E5"/>
    <mergeCell ref="F5:I5"/>
  </mergeCells>
  <hyperlinks>
    <hyperlink ref="B12" location="'U001-Every_capability_in_the_en'!A1"/>
    <hyperlink ref="B13" location="'U002-Code_is_the_enum_name_so_t'!A1"/>
    <hyperlink ref="B14" location="'U003-Matrix_lists_every_role_ev'!A1"/>
    <hyperlink ref="B15" location="'U004-Matrix_lists_built_in_role'!A1"/>
    <hyperlink ref="B16" location="'U005-Matrix_returns_the_seeded_'!A1"/>
    <hyperlink ref="B17" location="'U006-Matrix_carries_the_whole_c'!A1"/>
    <hyperlink ref="B18" location="'U007-Update_saves_the_requested'!A1"/>
    <hyperlink ref="B19" location="'U008-Update_can_remove_every_ca'!A1"/>
    <hyperlink ref="B20" location="'U009-Update_records_the_change_'!A1"/>
    <hyperlink ref="B21" location="'U010-Update_ends_the_sessions_o'!A1"/>
    <hyperlink ref="B22" location="'U011-Update_ends_sessions_when_'!A1"/>
    <hyperlink ref="B23" location="'U012-Sessions_are_ended_after_t'!A1"/>
    <hyperlink ref="B24" location="'U013-The_matrix_change_survives'!A1"/>
    <hyperlink ref="B25" location="'U014-One_unreachable_session_do'!A1"/>
    <hyperlink ref="B26" location="'U015-The_update_runs_under_the_'!A1"/>
    <hyperlink ref="B27" location="'U016-Update_that_changes_nothin'!A1"/>
    <hyperlink ref="B28" location="'U017-Update_ignores_duplicates_'!A1"/>
    <hyperlink ref="B29" location="'U018-Update_refuses_to_remove_a'!A1"/>
    <hyperlink ref="B30" location="'U019-Update_allows_moving_admin'!A1"/>
    <hyperlink ref="B31" location="'U020-Update_refuses_to_move_adm'!A1"/>
    <hyperlink ref="B32" location="'U021-Update_refuses_when_the_on'!A1"/>
    <hyperlink ref="B33" location="'U022-Granting_admin_users_to_a_'!A1"/>
    <hyperlink ref="B34" location="'U023-Update_refuses_an_unknown_'!A1"/>
    <hyperlink ref="B35" location="'U024-Update_configures_a_custom'!A1"/>
    <hyperlink ref="B36" location="'U025-A_custom_role_can_take_ove'!A1"/>
    <hyperlink ref="B37" location="'U026-Update_refuses_an_unknown_'!A1"/>
    <hyperlink ref="B38" location="'U027-Update_answers_save_failed'!A1"/>
    <hyperlink ref="B39" location="'U028-List_puts_built_in_roles_f'!A1"/>
    <hyperlink ref="B40" location="'U029-Create_saves_the_role_with'!A1"/>
    <hyperlink ref="B41" location="'U030-Create_records_role_create'!A1"/>
    <hyperlink ref="B42" location="'U031-Create_goes_through_the_ad'!A1"/>
    <hyperlink ref="B43" location="'U032-Create_without_capabilitie'!A1"/>
    <hyperlink ref="B44" location="'U033-Create_trims_the_name_and_'!A1"/>
    <hyperlink ref="B45" location="'U034-Create_stores_a_blank_desc'!A1"/>
    <hyperlink ref="B46" location="'U035-Create_answers_MSG20_for_a'!A1"/>
    <hyperlink ref="B47" location="'U036-Create_accepts_64_characte'!A1"/>
    <hyperlink ref="B48" location="'U037-Create_measures_the_name_a'!A1"/>
    <hyperlink ref="B49" location="'U038-Create_refuses_a_descripti'!A1"/>
    <hyperlink ref="B50" location="'U039-Create_names_every_unknown'!A1"/>
    <hyperlink ref="B51" location="'U040-Create_refuses_a_capabilit'!A1"/>
    <hyperlink ref="B52" location="'U041-Create_names_a_null_capabi'!A1"/>
    <hyperlink ref="B53" location="'U042-Create_reports_every_inval'!A1"/>
    <hyperlink ref="B54" location="'U043-Create_accepts_capability_'!A1"/>
    <hyperlink ref="B55" location="'U044-Create_answers_MSG21_for_a'!A1"/>
    <hyperlink ref="B56" location="'U045-Create_answers_MSG21_for_t'!A1"/>
    <hyperlink ref="B57" location="'U046-Create_stores_the_name_in_'!A1"/>
    <hyperlink ref="B58" location="'U047-Create_answers_MSG21_for_t'!A1"/>
    <hyperlink ref="B59" location="'U048-Create_answers_MSG21_when_'!A1"/>
    <hyperlink ref="B60" location="'U049-Create_answers_save_failed'!A1"/>
    <hyperlink ref="B61" location="'U050-Update_renames_a_custom_ro'!A1"/>
    <hyperlink ref="B62" location="'U051-Update_records_before_and_'!A1"/>
    <hyperlink ref="B63" location="'U052-Update_does_not_take_the_i'!A1"/>
    <hyperlink ref="B64" location="'U053-Update_answers_not_found_f'!A1"/>
    <hyperlink ref="B65" location="'U054-Update_answers_MSG24_for_e'!A1"/>
    <hyperlink ref="B66" location="'U055-Update_answers_MSG24_befor'!A1"/>
    <hyperlink ref="B67" location="'U056-Update_answers_MSG20_for_i'!A1"/>
    <hyperlink ref="B68" location="'U057-Update_answers_MSG21_for_t'!A1"/>
    <hyperlink ref="B69" location="'U058-Update_may_change_only_the'!A1"/>
    <hyperlink ref="B70" location="'U059-Update_with_nothing_change'!A1"/>
    <hyperlink ref="B71" location="'U060-Update_answers_MSG21_when_'!A1"/>
    <hyperlink ref="B72" location="'U061-Update_answers_not_found_w'!A1"/>
    <hyperlink ref="B73" location="'U062-Update_answers_save_failed'!A1"/>
    <hyperlink ref="B74" location="'U063-Delete_removes_a_custom_ro'!A1"/>
    <hyperlink ref="B75" location="'U064-Delete_records_the_name_an'!A1"/>
    <hyperlink ref="B76" location="'U065-Delete_goes_through_the_ad'!A1"/>
    <hyperlink ref="B77" location="'U066-Delete_answers_not_found_f'!A1"/>
    <hyperlink ref="B78" location="'U067-Delete_answers_MSG24_for_e'!A1"/>
    <hyperlink ref="B79" location="'U068-Delete_answers_MSG25_with_'!A1"/>
    <hyperlink ref="B80" location="'U069-Delete_answers_MSG25_when_'!A1"/>
    <hyperlink ref="B81" location="'U070-Delete_answers_save_failed'!A1"/>
    <hyperlink ref="B82" location="'U071-Actual_duration_is_indepen'!A1"/>
    <hyperlink ref="B83" location="'U072-Missing_start_or_backwards'!A1"/>
    <hyperlink ref="B84" location="'U073-Order_token_is_determinist'!A1"/>
    <hyperlink ref="B85" location="'U074-Normalization_preserves_ne'!A1"/>
    <hyperlink ref="B86" location="'U075-An_active_user_with_the_ri'!A1"/>
    <hyperlink ref="B87" location="'U076-Signing_in_issues_an_acces'!A1"/>
    <hyperlink ref="B88" location="'U077-Capabilities_come_from_the'!A1"/>
    <hyperlink ref="B89" location="'U078-A_member_signs_in_although'!A1"/>
    <hyperlink ref="B90" location="'U079-Email_case_and_surrounding'!A1"/>
    <hyperlink ref="B91" location="'U080-An_unknown_email_is_reject'!A1"/>
    <hyperlink ref="B92" location="'U081-A_wrong_password_is_reject'!A1"/>
    <hyperlink ref="B93" location="'U082-An_unknown_email_and_a_wro'!A1"/>
    <hyperlink ref="B94" location="'U083-An_unknown_email_still_cos'!A1"/>
    <hyperlink ref="B95" location="'U084-The_dummy_hash_comes_from_'!A1"/>
    <hyperlink ref="B96" location="'U085-The_dummy_hash_never_match'!A1"/>
    <hyperlink ref="B97" location="'U086-A_known_email_and_an_unkno'!A1"/>
    <hyperlink ref="B98" location="'U087-Blank_input_is_rejected_wi'!A1"/>
    <hyperlink ref="B99" location="'U088-A_failed_attempt_issues_no'!A1"/>
    <hyperlink ref="B100" location="'U089-A_placeholder_password_has'!A1"/>
    <hyperlink ref="B101" location="'U090-A_deactivated_account_is_t'!A1"/>
    <hyperlink ref="B102" location="'U091-A_deactivated_account_with'!A1"/>
    <hyperlink ref="B103" location="'U092-A_role_that_grants_nothing'!A1"/>
    <hyperlink ref="B104" location="'U093-A_custom_role_signs_in_wit'!A1"/>
    <hyperlink ref="B105" location="'U094-A_refresh_token_can_be_exc'!A1"/>
    <hyperlink ref="B106" location="'U095-A_refresh_token_works_only'!A1"/>
    <hyperlink ref="B107" location="'U096-A_database_error_during_re'!A1"/>
    <hyperlink ref="B108" location="'U097-An_expired_refresh_token_i'!A1"/>
    <hyperlink ref="B109" location="'U098-A_missing_or_unknown_refre'!A1"/>
    <hyperlink ref="B110" location="'U099-Deactivating_an_account_en'!A1"/>
    <hyperlink ref="B111" location="'U100-Losing_every_capability_re'!A1"/>
    <hyperlink ref="B112" location="'U101-A_capability_granted_meanw'!A1"/>
    <hyperlink ref="B113" location="'U102-Signing_out_destroys_the_s'!A1"/>
    <hyperlink ref="B114" location="'U103-Signing_out_twice_is_not_a'!A1"/>
    <hyperlink ref="B115" location="'U104-Signing_out_one_session_le'!A1"/>
    <hyperlink ref="B116" location="'U105-A_linked_active_account_si'!A1"/>
    <hyperlink ref="B117" location="'U106-Google_sign_in_issues_the_'!A1"/>
    <hyperlink ref="B118" location="'U107-An_account_with_both_a_pas'!A1"/>
    <hyperlink ref="B119" location="'U108-A_member_signs_in_with_goo'!A1"/>
    <hyperlink ref="B120" location="'U109-A_token_that_does_not_veri'!A1"/>
    <hyperlink ref="B121" location="'U110-The_database_is_not_consul'!A1"/>
    <hyperlink ref="B122" location="'U111-A_google_account_nobody_li'!A1"/>
    <hyperlink ref="B123" location="'U112-An_account_created_with_th'!A1"/>
    <hyperlink ref="B124" location="'U113-An_account_already_linked_'!A1"/>
    <hyperlink ref="B125" location="'U114-An_account_deactivated_bef'!A1"/>
    <hyperlink ref="B126" location="'U115-A_deactivated_account_link'!A1"/>
    <hyperlink ref="B127" location="'U116-A_deactivated_linked_accou'!A1"/>
    <hyperlink ref="B128" location="'U117-A_linked_account_whose_rol'!A1"/>
    <hyperlink ref="B129" location="'U118-A_google_only_account_cann'!A1"/>
    <hyperlink ref="B130" location="'U119-A_session_started_with_goo'!A1"/>
    <hyperlink ref="B131" location="'U120-Signing_out_of_a_google_se'!A1"/>
    <hyperlink ref="B132" location="'U121-Deactivating_a_google_acco'!A1"/>
    <hyperlink ref="B133" location="'U122-A_payload_with_a_verified_'!A1"/>
    <hyperlink ref="B134" location="'U123-A_payload_whose_email_is_n'!A1"/>
    <hyperlink ref="B135" location="'U124-A_payload_without_a_usable'!A1"/>
    <hyperlink ref="B136" location="'U125-A_blank_token_is_refused_w'!A1"/>
    <hyperlink ref="B137" location="'U126-A_malformed_token_returns_'!A1"/>
    <hyperlink ref="B138" location="'U127-A_well_formed_but_forged_t'!A1"/>
    <hyperlink ref="B139" location="'U128-The_access_token_identifie'!A1"/>
    <hyperlink ref="B140" location="'U129-The_access_token_carries_o'!A1"/>
    <hyperlink ref="B141" location="'U130-An_access_token_for_a_memb'!A1"/>
    <hyperlink ref="B142" location="'U131-The_access_token_never_car'!A1"/>
    <hyperlink ref="B143" location="'U132-Every_access_token_has_its'!A1"/>
    <hyperlink ref="B144" location="'U133-The_access_token_expires_a'!A1"/>
    <hyperlink ref="B145" location="'U134-The_access_token_validates'!A1"/>
    <hyperlink ref="B146" location="'U135-A_token_signed_with_anothe'!A1"/>
    <hyperlink ref="B147" location="'U136-A_tampered_token_is_reject'!A1"/>
    <hyperlink ref="B148" location="'U137-A_token_from_another_issue'!A1"/>
    <hyperlink ref="B149" location="'U138-A_fresh_token_carries_no_n'!A1"/>
    <hyperlink ref="B150" location="'U139-A_token_validates_against_'!A1"/>
    <hyperlink ref="B151" location="'U140-Refresh_tokens_are_unique_'!A1"/>
    <hyperlink ref="B152" location="'U141-The_refresh_token_lifetime'!A1"/>
    <hyperlink ref="B153" location="'U142-A_password_verifies_agains'!A1"/>
    <hyperlink ref="B154" location="'U143-A_different_password_does_'!A1"/>
    <hyperlink ref="B155" location="'U144-Password_comparison_is_cas'!A1"/>
    <hyperlink ref="B156" location="'U145-The_hash_does_not_contain_'!A1"/>
    <hyperlink ref="B157" location="'U146-The_same_password_hashes_d'!A1"/>
    <hyperlink ref="B158" location="'U147-The_hash_fits_the_column'!A1"/>
    <hyperlink ref="B159" location="'U148-A_malformed_stored_hash_fa'!A1"/>
    <hyperlink ref="B160" location="'U149-A_long_passphrase_is_suppo'!A1"/>
    <hyperlink ref="B161" location="'U150-Reconciliation_failures_ar'!A1"/>
    <hyperlink ref="B162" location="'U151-Host_cancellation_during_r'!A1"/>
    <hyperlink ref="B163" location="'U152-Sends_the_link_to_the_regi'!A1"/>
    <hyperlink ref="B164" location="'U153-The_token_travels_in_the_f'!A1"/>
    <hyperlink ref="B165" location="'U154-Disabled_email_delivery_is'!A1"/>
    <hyperlink ref="B166" location="'U155-A_server_error_is_a_failed'!A1"/>
    <hyperlink ref="B167" location="'U156-A_server_that_never_answer'!A1"/>
    <hyperlink ref="B168" location="'U157-A_cancelled_request_is_not'!A1"/>
    <hyperlink ref="B169" location="'U158-Delegate_is_not_added_by_r'!A1"/>
    <hyperlink ref="B170" location="'U159-Snapshot_excludes_inactive'!A1"/>
    <hyperlink ref="B171" location="'U160-Empty_query_uses_defaults'!A1"/>
    <hyperlink ref="B172" location="'U161-Valid_query_normalizes_dat'!A1"/>
    <hyperlink ref="B173" location="'U162-Timestamp_with_timezone_is'!A1"/>
    <hyperlink ref="B174" location="'U163-Sort_field_without_directi'!A1"/>
    <hyperlink ref="B175" location="'U164-Direction_without_sort_fie'!A1"/>
    <hyperlink ref="B176" location="'U165-Invalid_value_returns_its_'!A1"/>
    <hyperlink ref="B177" location="'U166-Reversed_range_is_invalid'!A1"/>
    <hyperlink ref="B178" location="'U167-Large_page_is_valid_query'!A1"/>
    <hyperlink ref="B179" location="'U168-Parser_reports_independent'!A1"/>
    <hyperlink ref="B180" location="'U169-In_memory_and_query_polici'!A1"/>
    <hyperlink ref="B181" location="'U170-Reassignment_revokes_the_o'!A1"/>
    <hyperlink ref="B182" location="'U171-Assigned_secretary_can_rea'!A1"/>
    <hyperlink ref="B183" location="'U172-Assigned_chair_reads_conte'!A1"/>
    <hyperlink ref="B184" location="'U173-Unassigned_or_ineligible_s'!A1"/>
    <hyperlink ref="B185" location="'U174-Invalid_participant_assign'!A1"/>
    <hyperlink ref="B186" location="'U175-Create_rejects_a_missing_o'!A1"/>
    <hyperlink ref="B187" location="'U176-Validation_collects_field_'!A1"/>
    <hyperlink ref="B188" location="'U177-Create_accepts_each_suppor'!A1"/>
    <hyperlink ref="B189" location="'U178-Create_uses_form_defaults'!A1"/>
    <hyperlink ref="B190" location="'U179-Create_accepts_the_documen'!A1"/>
    <hyperlink ref="B191" location="'U180-Create_stores_the_planned_'!A1"/>
    <hyperlink ref="B192" location="'U181-Create_rejects_a_time_with'!A1"/>
    <hyperlink ref="B193" location="'U182-Update_of_a_draft_keeps_a_'!A1"/>
    <hyperlink ref="B194" location="'U183-Create_leaves_the_approver'!A1"/>
    <hyperlink ref="B195" location="'U184-Create_does_not_assign_or_'!A1"/>
    <hyperlink ref="B196" location="'U185-Update_changes_draft_field'!A1"/>
    <hyperlink ref="B197" location="'U186-Update_uses_form_defaults'!A1"/>
    <hyperlink ref="B198" location="'U187-Update_changes_rejected_in'!A1"/>
    <hyperlink ref="B199" location="'U188-Update_returns_validation_'!A1"/>
    <hyperlink ref="B200" location="'U189-Update_rejects_a_meeting_o'!A1"/>
    <hyperlink ref="B201" location="'U190-Update_does_not_save_when_'!A1"/>
    <hyperlink ref="B202" location="'U191-Update_preserves_a_draft_a'!A1"/>
    <hyperlink ref="B203" location="'U192-Get_and_update_return_the_'!A1"/>
    <hyperlink ref="B204" location="'U193-Get_allows_the_assigned_ap'!A1"/>
    <hyperlink ref="B205" location="'U194-Get_returns_a_read_failure'!A1"/>
    <hyperlink ref="B206" location="'U195-List_forwards_criteria_and'!A1"/>
    <hyperlink ref="B207" location="'U196-List_maps_a_database_failu'!A1"/>
    <hyperlink ref="B208" location="'U197-List_propagates_request_ca'!A1"/>
    <hyperlink ref="B209" location="'U198-List_eligible_approvers_re'!A1"/>
    <hyperlink ref="B210" location="'U199-List_eligible_approvers_ma'!A1"/>
    <hyperlink ref="B211" location="'U200-Save_failure_is_returned_a'!A1"/>
    <hyperlink ref="B212" location="'U201-Update_save_failure_is_ret'!A1"/>
    <hyperlink ref="B213" location="'U202-Submission_readiness_does_'!A1"/>
    <hyperlink ref="B214" location="'U203-Submission_readiness_requi'!A1"/>
    <hyperlink ref="B215" location="'U204-Meeting_readiness_reuses_i'!A1"/>
    <hyperlink ref="B216" location="'U205-Submit_records_assignment_'!A1"/>
    <hyperlink ref="B217" location="'U206-Approve_notifies_the_organ'!A1"/>
    <hyperlink ref="B218" location="'U207-Reject_notifies_the_organi'!A1"/>
    <hyperlink ref="B219" location="'U208-Rejected_meeting_returns_t'!A1"/>
    <hyperlink ref="B220" location="'U209-Draft_approver_selected_by'!A1"/>
    <hyperlink ref="B221" location="'U210-Assigned_approver_with_cap'!A1"/>
    <hyperlink ref="B222" location="'U211-Assigned_approver_without_'!A1"/>
    <hyperlink ref="B223" location="'U212-Readiness_get_and_submit_u'!A1"/>
    <hyperlink ref="B224" location="'U213-Reject_requires_nonblank_r'!A1"/>
    <hyperlink ref="B225" location="'U214-Reject_accepts_exactly_100'!A1"/>
    <hyperlink ref="B226" location="'U215-Publish_notifies_active_no'!A1"/>
    <hyperlink ref="B227" location="'U216-Publish_does_not_notify_th'!A1"/>
    <hyperlink ref="B228" location="'U217-Publish_keeps_the_full_uni'!A1"/>
    <hyperlink ref="B229" location="'U218-Organizer_cannot_submit_to'!A1"/>
    <hyperlink ref="B230" location="'U219-Legacy_self_assignment_can'!A1"/>
    <hyperlink ref="B231" location="'U220-Waiting_approval_can_be_wi'!A1"/>
    <hyperlink ref="B232" location="'U221-Legacy_missing_or_self_ass'!A1"/>
    <hyperlink ref="B233" location="'U222-Withdrawal_save_failure_ro'!A1"/>
    <hyperlink ref="B234" location="'U223-Ineligible_approver_does_n'!A1"/>
    <hyperlink ref="B235" location="'U224-Invitation_producer_failur'!A1"/>
    <hyperlink ref="B236" location="'U225-Publish_persistence_failur'!A1"/>
    <hyperlink ref="B237" location="'U226-Organizer_and_current_appr'!A1"/>
    <hyperlink ref="B238" location="'U227-Administrative_transfer_re'!A1"/>
    <hyperlink ref="B239" location="'U228-Transfer_requires_current_'!A1"/>
    <hyperlink ref="B240" location="'U229-Transfer_cannot_replace_an'!A1"/>
    <hyperlink ref="B241" location="'U230-Transfer_rejects_an_invali'!A1"/>
    <hyperlink ref="B242" location="'U231-Transfer_requires_an_appro'!A1"/>
    <hyperlink ref="B243" location="'U232-Transfer_save_failure_roll'!A1"/>
    <hyperlink ref="B244" location="'U233-Transfer_organizer_ids_are'!A1"/>
    <hyperlink ref="B245" location="'U234-Submit_accepts_draft_or_re'!A1"/>
    <hyperlink ref="B246" location="'U235-Failed_rejected_resubmissi'!A1"/>
    <hyperlink ref="B247" location="'U236-Publish_succeeds_with_the_'!A1"/>
    <hyperlink ref="B248" location="'U237-Publish_requires_exactly_o'!A1"/>
    <hyperlink ref="B249" location="'U238-Assigned_secretary_reads_d'!A1"/>
    <hyperlink ref="B250" location="'U239-Invalid_secretary_relation'!A1"/>
    <hyperlink ref="B251" location="'U240-Migration_marks_preexistin'!A1"/>
    <hyperlink ref="B252" location="'U241-List_returns_every_account'!A1"/>
    <hyperlink ref="B253" location="'U242-List_includes_deactivated_'!A1"/>
    <hyperlink ref="B254" location="'U243-List_never_exposes_the_pas'!A1"/>
    <hyperlink ref="B255" location="'U244-Create_stores_an_active_ac'!A1"/>
    <hyperlink ref="B256" location="'U245-Create_hashes_the_password'!A1"/>
    <hyperlink ref="B257" location="'U246-Create_never_puts_the_pass'!A1"/>
    <hyperlink ref="B258" location="'U247-Create_rejects_invalid_inf'!A1"/>
    <hyperlink ref="B259" location="'U248-Create_rejects_a_password_'!A1"/>
    <hyperlink ref="B260" location="'U249-Create_rejects_a_role_that'!A1"/>
    <hyperlink ref="B261" location="'U250-Create_accepts_a_role_an_a'!A1"/>
    <hyperlink ref="B262" location="'U251-Create_reports_every_inval'!A1"/>
    <hyperlink ref="B263" location="'U252-Create_rejects_an_email_th'!A1"/>
    <hyperlink ref="B264" location="'U253-Create_rejects_an_email_th'!A1"/>
    <hyperlink ref="B265" location="'U254-Create_trims_surrounding_w'!A1"/>
    <hyperlink ref="B266" location="'U255-Create_does_not_audit_when'!A1"/>
    <hyperlink ref="B267" location="'U256-Create_answers_MSG09_on_th'!A1"/>
    <hyperlink ref="B268" location="'U257-Get_returns_the_current_in'!A1"/>
    <hyperlink ref="B269" location="'U258-Get_reports_not_found_for_'!A1"/>
    <hyperlink ref="B270" location="'U259-Update_changes_the_account'!A1"/>
    <hyperlink ref="B271" location="'U260-Update_lets_an_account_kee'!A1"/>
    <hyperlink ref="B272" location="'U261-Update_rejects_an_email_an'!A1"/>
    <hyperlink ref="B273" location="'U262-Update_rejects_invalid_inf'!A1"/>
    <hyperlink ref="B274" location="'U263-Update_reports_not_found_f'!A1"/>
    <hyperlink ref="B275" location="'U264-Update_ends_the_sessions_w'!A1"/>
    <hyperlink ref="B276" location="'U265-Update_keeps_the_sessions_'!A1"/>
    <hyperlink ref="B277" location="'U266-Update_refuses_to_let_an_a'!A1"/>
    <hyperlink ref="B278" location="'U267-Update_lets_an_administrat'!A1"/>
    <hyperlink ref="B279" location="'U268-Update_lets_one_administra'!A1"/>
    <hyperlink ref="B280" location="'U269-Update_refuses_to_demote_t'!A1"/>
    <hyperlink ref="B281" location="'U270-Update_lets_the_last_admin'!A1"/>
    <hyperlink ref="B282" location="'U271-An_inactive_account_can_st'!A1"/>
    <hyperlink ref="B283" location="'U272-Changing_an_email_ends_the'!A1"/>
    <hyperlink ref="B284" location="'U273-Renaming_somebody_leaves_t'!A1"/>
    <hyperlink ref="B285" location="'U274-Both_writes_that_touch_the'!A1"/>
    <hyperlink ref="B286" location="'U275-Sessions_are_ended_after_t'!A1"/>
    <hyperlink ref="B287" location="'U276-A_change_survives_the_sess'!A1"/>
    <hyperlink ref="B288" location="'U277-Deactivate_sets_the_status'!A1"/>
    <hyperlink ref="B289" location="'U278-Deactivate_never_deletes_t'!A1"/>
    <hyperlink ref="B290" location="'U279-Reactivate_sets_the_status'!A1"/>
    <hyperlink ref="B291" location="'U280-Status_change_is_refused_w'!A1"/>
    <hyperlink ref="B292" location="'U281-Status_change_is_refused_w'!A1"/>
    <hyperlink ref="B293" location="'U282-Two_administrators_cannot_'!A1"/>
    <hyperlink ref="B294" location="'U283-Deactivating_the_last_admi'!A1"/>
    <hyperlink ref="B295" location="'U284-A_custom_role_holding_admi'!A1"/>
    <hyperlink ref="B296" location="'U285-Moving_the_last_administra'!A1"/>
    <hyperlink ref="B297" location="'U286-Update_answers_with_the_ne'!A1"/>
    <hyperlink ref="B298" location="'U287-Update_answers_MSG09_for_a'!A1"/>
    <hyperlink ref="B299" location="'U288-Deactivating_a_non_adminis'!A1"/>
    <hyperlink ref="B300" location="'U289-Status_change_reports_not_'!A1"/>
    <hyperlink ref="B301" location="'U290-Reset_request_emails_a_lin'!A1"/>
    <hyperlink ref="B302" location="'U291-Reset_request_leaves_the_c'!A1"/>
    <hyperlink ref="B303" location="'U292-Reset_request_answers_not_'!A1"/>
    <hyperlink ref="B304" location="'U293-Reset_request_answers_not_'!A1"/>
    <hyperlink ref="B305" location="'U294-Reset_request_answers_emai'!A1"/>
    <hyperlink ref="B306" location="'U295-A_failed_resend_keeps_the_'!A1"/>
    <hyperlink ref="B307" location="'U296-A_link_whose_email_failed_'!A1"/>
    <hyperlink ref="B308" location="'U297-A_deactivation_during_the_'!A1"/>
    <hyperlink ref="B309" location="'U298-An_email_change_during_the'!A1"/>
    <hyperlink ref="B310" location="'U299-A_change_of_case_during_th'!A1"/>
    <hyperlink ref="B311" location="'U300-Reset_request_reports_not_'!A1"/>
    <hyperlink ref="B312" location="'U301-Reset_sets_the_new_passwor'!A1"/>
    <hyperlink ref="B313" location="'U302-Reset_link_works_only_once'!A1"/>
    <hyperlink ref="B314" location="'U303-A_newer_reset_link_superse'!A1"/>
    <hyperlink ref="B315" location="'U304-A_live_link_does_not_give_'!A1"/>
    <hyperlink ref="B316" location="'U305-Reset_refuses_an_expired_l'!A1"/>
    <hyperlink ref="B317" location="'U306-Reset_refuses_an_unknown_l'!A1"/>
    <hyperlink ref="B318" location="'U307-A_too_short_password_is_re'!A1"/>
    <hyperlink ref="B319" location="'U308-Reset_refuses_the_link_of_'!A1"/>
    <hyperlink ref="B320" location="'U309-Reset_ends_a_session_opene'!A1"/>
    <hyperlink ref="B321" location="'U310-Reset_still_succeeds_when_'!A1"/>
    <hyperlink ref="B322" location="'U311-Deactivating_an_account_ki'!A1"/>
    <hyperlink ref="B323" location="'U312-Changing_the_email_kills_t'!A1"/>
    <hyperlink ref="B324" location="'U313-Sessions_still_end_when_re'!A1"/>
    <hyperlink ref="B325" location="'U314-The_reset_link_is_still_re'!A1"/>
    <hyperlink ref="B326" location="'U315-Renaming_an_account_leaves'!A1"/>
    <hyperlink ref="B327" location="'U316-Reset_keeps_the_old_passwo'!A1"/>
  </hyperlinks>
  <printOptions/>
  <pageMargins bottom="0.75" footer="0.0" header="0.0" left="0.7" right="0.7" top="0.75"/>
  <pageSetup orientation="landscape"/>
  <headerFooter>
    <oddFooter>&amp;L 02ae-BM/PM/HDCV/FSOFT v2/1&amp;CInternal use&amp;R&amp;P/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Every_capability_in_the_enum_is_described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TC-CE1F11C41481 | Every capability in the enum is described
tests/TrustCabinet.Web.Tests/Access/PermissionCatalogTests.cs:12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PermissionCatalogTests.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Assert.Equal(Enum.GetValues&lt;Capabi
lity&gt;().Length,
PermissionCatalog.All.Count)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56" customHeight="1">
      <c r="A17" s="142"/>
      <c r="B17" s="145" t="str">
        <v>Assert.All(PermissionCatalog.All,
permission =&gt;
        {
            Assert.False(string.Is
NullOrWhiteSpace(permission.Name))
;
            Assert.False(string.Is
NullOrWhiteSpace(permission.Descri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105" customHeight="1">
      <c r="A18" s="142"/>
      <c r="B18" s="145" t="str">
        <v>ption));
            Assert.False(string.Is
NullOrWhiteSpace(permission.Functi
onalGroup));
        })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Code_is_the_enum_name_so_the_api_and_the_table_agree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TC-E85610830366 | Code is the enum name so the api and the table agree
tests/TrustCabinet.Web.Tests/Access/PermissionCatalogTests.cs:27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PermissionCatalogTests.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Assert.Equal(Enum.GetValues&lt;Capabi
lity&gt;().Select(c =&gt;
c.ToString()).ToArray(), codes)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Matrix_lists_every_role_even_one_with_no_capabilities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TC-5D0386BFA676 | Matrix lists every role even one with no capabilities
tests/TrustCabinet.Web.Tests/Access/RolePermissionServiceTests.cs:36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Assert.Equal(BuiltInRoles.All.Coun
t, matrix.Roles.Count)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Assert.Empty(member.Capabilities)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Matrix_lists_built_in_roles_first_then_custom_roles_by_creation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TC-193E4B62B3F7 | Matrix lists built in roles first then custom roles by creation
tests/TrustCabinet.Web.Tests/Access/RolePermissionServiceTests.cs:49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Assert.Equal(
            [.. BuiltInRoles.All,
older.Id, newer.Id],
            matrix.Roles.Select(r
=&gt; r.Id))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Assert.Equal("Thư ký phó",
deputy.Name)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Assert.Equal("Hỗ trợ thư ký.",
deputy.Description)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Assert.False(deputy.IsBuiltIn)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Assert.Empty(deputy.Capabilities)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Assert.All(matrix.Roles.Take(4), r
=&gt; Assert.True(r.IsBuiltIn))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Matrix_returns_the_seeded_defaults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TC-C2A03F055B99 | Matrix returns the seeded defaults
tests/TrustCabinet.Web.Tests/Access/RolePermissionServiceTests.cs:72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Assert.Equal([Capability.AdminUser
s], admin.Capabilities)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Assert.Contains(Capability.Minutes
Editor, secretary.Capabilities)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Assert.Contains(Capability.Meeting
Creator, secretary.Capabilities)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Matrix_carries_the_whole_capability_catalogue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TC-8C5F919E974B | Matrix carries the whole capability catalogue
tests/TrustCabinet.Web.Tests/Access/RolePermissionServiceTests.cs:85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Assert.Equal(Enum.GetValues&lt;Capabi
lity&gt;().Length,
matrix.Capabilities.Count)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Assert.All(matrix.Capabilities, c
=&gt; Assert.False(string.IsNullOrWhi
teSpace(c.Name)))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Update_saves_the_requested_capabilities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TC-900892A9120F | Update saves the requested capabilities
tests/TrustCabinet.Web.Tests/Access/RolePermissionServiceTests.cs:98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Assert.Equal([Capability.MeetingCr
eator], _roles.CapabilitiesOf(Buil
tInRoles.Member))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Assert.Equal([Capability.MeetingCr
eator], member.Capabilities)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Update_can_remove_every_capability_from_a_role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TC-89DF07926FFA | Update can remove every capability from a role
tests/TrustCabinet.Web.Tests/Access/RolePermissionServiceTests.cs:111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Assert.Empty(_roles.CapabilitiesOf
(BuiltInRoles.Secretary))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Update_records_the_change_with_before_and_after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TC-C6E89DBA6CD9 | Update records the change with before and after
tests/TrustCabinet.Web.Tests/Access/RolePermissionServiceTests.cs:122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Assert.Single(_audit.Records)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Assert.Equal(AuditActions.RolePerm
issionsUpdated, record.Action)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Assert.Equal(AuditActions.RoleObje
ctType, record.ObjectType)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Assert.Equal(_actorId,
record.ActorId)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Assert.Equal(BuiltInRoles.Member,
record.ObjectId)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Assert.Equal("Thành viên", parsed.
RootElement.GetProperty("Name").Ge
tString())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Assert.Empty(parsed.RootElement.Ge
tProperty("Before").EnumerateArray
())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105" customHeight="1">
      <c r="A23" s="142"/>
      <c r="B23" s="145" t="str">
        <v>Assert.Equal(
            "MeetingCreator",
            parsed.RootElement.Get
Property("After").EnumerateArray()
.Single().GetString())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Update_ends_the_sessions_of_everyone_holding_the_role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TC-2BD8599237D5 | Update ends the sessions of everyone holding the role
tests/TrustCabinet.Web.Tests/Access/RolePermissionServiceTests.cs:153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Assert.Contains(affected,
_refreshTokens.RevokedUsers)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Assert.DoesNotContain(untouched,
_refreshTokens.RevokedUsers)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Update_ends_sessions_when_a_capability_is_granted_too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TC-3007D4650663 | Update ends sessions when a capability is granted too
tests/TrustCabinet.Web.Tests/Access/RolePermissionServiceTests.cs:169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Assert.Contains(member,
_refreshTokens.RevokedUsers)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Sessions_are_ended_after_the_transaction_commits_not_inside_it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TC-31424EFBC8FA | Sessions are ended after the transaction commits not inside it
tests/TrustCabinet.Web.Tests/Access/RolePermissionServiceTests.cs:182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Assert.False(_invariant.IsInsideWr
ite, "Sessions were revoked while
the lock was held.")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Assert.Equal(2,
_refreshTokens.RevokedUsers.Count)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The_matrix_change_survives_the_session_store_being_down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TC-B3B893AA75DD | The matrix change survives the session store being down
tests/TrustCabinet.Web.Tests/Access/RolePermissionServiceTests.cs:201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Assert.Single(_audit.Records)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One_unreachable_session_does_not_stop_the_others_being_ended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TC-9C7DD6DB1A60 | One unreachable session does not stop the others being ended
tests/TrustCabinet.Web.Tests/Access/RolePermissionServiceTests.cs:217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Assert.Equal(3, attempts)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The_update_runs_under_the_shared_invariant_lock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TC-3A921AA12799 | The update runs under the shared invariant lock
tests/TrustCabinet.Web.Tests/Access/RolePermissionServiceTests.cs:242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Assert.Equal(1,
_invariant.WriteCount)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Update_that_changes_nothing_writes_nothing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TC-E0319581521D | Update that changes nothing writes nothing
tests/TrustCabinet.Web.Tests/Access/RolePermissionServiceTests.cs:254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Assert.Equal(0, _roles.SaveCount)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Assert.Empty(_refreshTokens.Revoke
dUsers)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Update_ignores_duplicates_in_the_request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TC-0183BF3F4986 | Update ignores duplicates in the request
tests/TrustCabinet.Web.Tests/Access/RolePermissionServiceTests.cs:272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Assert.Equal([Capability.MeetingCr
eator], _roles.CapabilitiesOf(Buil
tInRoles.Member))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Update_refuses_to_remove_admin_users_from_the_last_role_holding_it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TC-81BB7FE91B69 | Update refuses to remove admin users from the last role holding it
tests/TrustCabinet.Web.Tests/Access/RolePermissionServiceTests.cs:290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Assert.Equal(RolePermissionOutcome
.InvalidConfiguration,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Assert.Contains("adminUsers",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71" customHeight="1">
      <c r="A19" s="142"/>
      <c r="B19" s="145" t="str">
        <v>Assert.Equal([Capability.AdminUser
s], _roles.CapabilitiesOf(BuiltInR
oles.Admin))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Assert.Empty(_audit.Records)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Update_allows_moving_admin_users_to_a_role_that_has_active_users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TC-CC897497965C | Update allows moving admin users to a role that has active users
tests/TrustCabinet.Web.Tests/Access/RolePermissionServiceTests.cs:310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Assert.Empty(_roles.CapabilitiesOf
(BuiltInRoles.Admin))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Update_refuses_to_move_admin_users_to_a_role_nobody_holds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TC-787B61D0FF82 | Update refuses to move admin users to a role nobody holds
tests/TrustCabinet.Web.Tests/Access/RolePermissionServiceTests.cs:324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Assert.Equal(RolePermissionOutcome
.InvalidConfiguration,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Assert.Contains("adminUsers",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Update_refuses_when_the_only_administrator_account_is_inactive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TC-2FB41A5CCCC7 | Update refuses when the only administrator account is inactive
tests/TrustCabinet.Web.Tests/Access/RolePermissionServiceTests.cs:342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Assert.Equal(RolePermissionOutcome
.InvalidConfiguration,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Assert.Contains("adminUsers",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Granting_admin_users_to_a_role_with_users_is_allowed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TC-140DE33FC935 | Granting admin users to a role with users is allowed
tests/TrustCabinet.Web.Tests/Access/RolePermissionServiceTests.cs:357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Assert.Contains(Capability.AdminUs
ers, _roles.CapabilitiesOf(BuiltIn
Roles.Secretary))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Update_refuses_an_unknown_role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TC-7711E4A95EB7 | Update refuses an unknown role
tests/TrustCabinet.Web.Tests/Access/RolePermissionServiceTests.cs:371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Assert.Equal(RolePermissionOutcome
.InvalidConfiguration,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Assert.Contains("roleId",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Update_configures_a_custom_role_like_any_other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TC-FAECB506BC41 | Update configures a custom role like any other
tests/TrustCabinet.Web.Tests/Access/RolePermissionServiceTests.cs:384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Assert.Equal([Capability.MinutesEd
itor],
_roles.CapabilitiesOf(deputy.Id))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Assert.Equal(deputy.Id, Assert.Sin
gle(_audit.Records).ObjectId)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A_custom_role_can_take_over_administration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TC-78D98A44D0CB | A custom role can take over administration
tests/TrustCabinet.Web.Tests/Access/RolePermissionServiceTests.cs:398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Assert.True((await
NewService().UpdateAsync(
            board.Id,
[Capability.AdminUsers],
_actorId)).Succeeded)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Assert.Empty(_roles.CapabilitiesOf
(BuiltInRoles.Admin))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Update_refuses_an_unknown_capability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TC-C4FB87F98FB4 | Update refuses an unknown capability
tests/TrustCabinet.Web.Tests/Access/RolePermissionServiceTests.cs:415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Assert.Equal(RolePermissionOutcome
.InvalidConfiguration,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Assert.Contains("capabilities",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Update_answers_save_failed_when_the_database_refuses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TC-18974E58AF4C | Update answers save failed when the database refuses
tests/TrustCabinet.Web.Tests/Access/RolePermissionServiceTests.cs:428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RolePermissionServiceTests.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Assert.Equal(RolePermissionOutcome
.SaveFailed,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Assert.Null(result.Matrix)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Assert.Empty(_roles.CapabilitiesOf
(BuiltInRoles.Member))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Assert.Empty(_refreshTokens.Revoke
dUsers)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List_puts_built_in_roles_first_then_custom_roles_by_creation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TC-F385CF1EB64D | List puts built in roles first then custom roles by creation
tests/TrustCabinet.Web.Tests/Access/RoleServiceTests.cs:45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Assert.Equal([.. BuiltInRoles.All,
older.Id, newer.Id], list.Select(r
=&gt; r.Id))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Assert.Equal(3,
list.First().UserCount)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105" customHeight="1">
      <c r="A18" s="142"/>
      <c r="B18" s="145" t="str">
        <v>Assert.Equal(
            [true, true, true,
true, false, false],
            list.Select(r =&gt;
r.IsBuiltIn))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Create_saves_the_role_with_its_capabilities_and_answers_with_it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TC-7F66B7AF90DF | Create saves the role with its capabilities and answers with it
tests/TrustCabinet.Web.Tests/Access/RoleServiceTests.cs:63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Assert.Equal("Thư ký phó",
created.Name)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Assert.Equal("Hỗ trợ thư ký soạn
biên bản.", created.Description)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Assert.False(created.IsBuiltIn)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Assert.Equal(0, created.UserCount)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Assert.Single(_roles.Roles, r =&gt;
r.Id == created.Id)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37" customHeight="1">
      <c r="A22" s="142"/>
      <c r="B22" s="145" t="str">
        <v>Assert.False(stored.IsBuiltIn)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71" customHeight="1">
      <c r="A23" s="142"/>
      <c r="B23" s="145" t="str">
        <v>Assert.Equal([Capability.MinutesEd
itor],
_roles.CapabilitiesOf(created.Id))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Create_records_role_created_with_what_was_created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TC-3EE5C1591BA1 | Create records role created with what was created
tests/TrustCabinet.Web.Tests/Access/RoleServiceTests.cs:84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Assert.Single(_audit.Records)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Assert.Equal(AuditActions.RoleCrea
ted, record.Action)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Assert.Equal(AuditActions.RoleObje
ctType, record.ObjectType)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Assert.Equal(result.Role!.Id,
record.ObjectId)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Assert.Equal(_actorId,
record.ActorId)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Assert.Equal("Thư ký phó", details
.GetProperty("Name").GetString())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Assert.Equal("Hỗ trợ.", details.Ge
tProperty("Description").GetString
())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122" customHeight="1">
      <c r="A23" s="142"/>
      <c r="B23" s="145" t="str">
        <v>Assert.Equal(
            ["MeetingCreator",
"MinutesEditor"],
            details.GetProperty("C
apabilities").EnumerateArray().Sel
ect(c =&gt; c.GetString()))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Create_goes_through_the_administrator_invariant_guard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TC-5B0C75409E86 | Create goes through the administrator invariant guard
tests/TrustCabinet.Web.Tests/Access/RoleServiceTests.cs:104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Assert.Equal(1,
_invariant.WriteCount)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Create_without_capabilities_is_valid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TC-FD215F099D9F | Create without capabilities is valid
tests/TrustCabinet.Web.Tests/Access/RoleServiceTests.cs:114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Assert.Empty(_roles.CapabilitiesOf
(result.Role!.Id))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Create_trims_the_name_and_collapses_inner_whitespace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TC-36ECB0645A06 | Create trims the name and collapses inner whitespace
tests/TrustCabinet.Web.Tests/Access/RoleServiceTests.cs:124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Assert.Equal("Thư ký phó",
result.Role!.Name)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Assert.Equal("Mô tả",
result.Role.Description)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Create_stores_a_blank_description_as_null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TC-7D443EFC307A | Create stores a blank description as null
tests/TrustCabinet.Web.Tests/Access/RoleServiceTests.cs:134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(string? description)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InlineData(null)
InlineData("")
InlineData("  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Assert.Null(result.Role!.Descripti
on)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Create_answers_MSG20_for_a_missing_name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TC-EBA458CD04E8 | Create answers MSG20 for a missing name
tests/TrustCabinet.Web.Tests/Access/RoleServiceTests.cs:145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(string? name)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InlineData(null)
InlineData("")
InlineData("  \t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Assert.Equal("Tên vai trò không
được để trống.",
result.Errors!["name"])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Create_accepts_64_characters_and_refuses_65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TC-1CAE1F25AC41 | Create accepts 64 characters and refuses 65
tests/TrustCabinet.Web.Tests/Access/RoleServiceTests.cs:159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Assert.True(atLimit.Succeeded)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Assert.Equal(RoleOutcome.InvalidIn
formation, overLimit.Outcome)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Assert.Contains("name",
overLimit.Errors!.Keys)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Create_measures_the_name_after_collapsing_whitespace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TC-2DA476EB37FC | Create measures the name after collapsing whitespace
tests/TrustCabinet.Web.Tests/Access/RoleServiceTests.cs:170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Assert.Equal(64,
result.Role!.Name.Length)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Create_refuses_a_description_over_256_characters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TC-4DD51518FAD9 | Create refuses a description over 256 characters
tests/TrustCabinet.Web.Tests/Access/RoleServiceTests.cs:182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Assert.Contains("description",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Create_names_every_unknown_capability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TC-40326138D80A | Create names every unknown capability
tests/TrustCabinet.Web.Tests/Access/RoleServiceTests.cs:192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Assert.Contains("DeleteEverything"
, message,
StringComparison.Ordinal)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Assert.Contains("AlsoWrong",
message, StringComparison.Ordinal)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71" customHeight="1">
      <c r="A19" s="142"/>
      <c r="B19" s="145" t="str">
        <v>Assert.DoesNotContain("MinutesEdit
or", message,
StringComparison.Ordinal)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Create_refuses_a_capability_given_as_a_number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TC-978A93613C7D | Create refuses a capability given as a number
tests/TrustCabinet.Web.Tests/Access/RoleServiceTests.cs:207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capability)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InlineData("1")
InlineData("99")
InlineData("-1")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Assert.Contains("capabilities",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Create_names_a_null_capability_rather_than_leaving_a_blank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TC-F964F9E9711A | Create names a null capability rather than leaving a blank
tests/TrustCabinet.Web.Tests/Access/RoleServiceTests.cs:222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Assert.Equal("Quyền không hợp lệ:
null.",
result.Errors!["capabilities"])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Create_reports_every_invalid_field_at_once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TC-EFA26A675C05 | Create reports every invalid field at once
tests/TrustCabinet.Web.Tests/Access/RoleServiceTests.cs:231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Assert.Equal(["capabilities",
"description", "name"],
result.Errors!.Keys.Order())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Create_accepts_capability_codes_in_any_casing_and_ignores_repeats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TC-8004B9AC46E4 | Create accepts capability codes in any casing and ignores repeats
tests/TrustCabinet.Web.Tests/Access/RoleServiceTests.cs:240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05" customHeight="1">
      <c r="A17" s="142"/>
      <c r="B17" s="145" t="str">
        <v>Assert.Equal(
[Capability.MeetingCreator,
Capability.MinutesEditor],
            _roles.CapabilitiesOf(
result.Role!.Id).Order())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Create_answers_MSG21_for_a_name_already_used_in_any_casing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TC-9FF62E218DAF | Create answers MSG21 for a name already used in any casing
tests/TrustCabinet.Web.Tests/Access/RoleServiceTests.cs:253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name)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81" customHeight="1">
      <c r="A13" s="142"/>
      <c r="B13" s="145" t="str">
        <v>InlineData("thư ký phó")
InlineData("THƯ KÝ PHÓ")
InlineData("  Thư   ký phó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Assert.Equal(RoleOutcome.Duplicate
Name,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Assert.Equal(0, _roles.SaveCount)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Create_answers_MSG21_for_the_same_name_typed_with_combining_marks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TC-29D83636374E | Create answers MSG21 for the same name typed with combining marks
tests/TrustCabinet.Web.Tests/Access/RoleServiceTests.cs:268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Assert.Equal(RoleOutcome.Duplicate
Name,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Create_stores_the_name_in_NFC_and_measures_it_that_way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TC-B96F5BD4331D | Create stores the name in NFC and measures it that way
tests/TrustCabinet.Web.Tests/Access/RoleServiceTests.cs:281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Assert.True(result.Role!.Name.IsNo
rmalized(System.Text.Normalization
Form.FormC))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Create_answers_MSG21_for_the_name_of_a_built_in_role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TC-9A491412051D | Create answers MSG21 for the name of a built in role
tests/TrustCabinet.Web.Tests/Access/RoleServiceTests.cs:293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Assert.Equal(RoleOutcome.Duplicate
Name,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Create_answers_MSG21_when_the_unique_index_catches_a_race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TC-383D6C9A6A0E | Create answers MSG21 when the unique index catches a race
tests/TrustCabinet.Web.Tests/Access/RoleServiceTests.cs:301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Assert.Equal(RoleOutcome.Duplicate
Name,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Assert.DoesNotContain(_roles.Roles
, r =&gt; r.Name == "Thư ký phó")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Create_answers_save_failed_when_the_database_refuses_for_another_reason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TC-6320F062716B | Create answers save failed when the database refuses for another reason
tests/TrustCabinet.Web.Tests/Access/RoleServiceTests.cs:314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bool fromTheDriver)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InlineData(true)
InlineData(false)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Assert.Equal(RoleOutcome.SaveFaile
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Assert.Null(result.Role)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Update_renames_a_custom_role_and_answers_with_it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TC-BAAA276793AA | Update renames a custom role and answers with it
tests/TrustCabinet.Web.Tests/Access/RoleServiceTests.cs:335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Assert.Equal("Phó thư ký",
result.Role!.Name)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Assert.Equal("Mô tả mới",
result.Role.Description)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Assert.Equal(2,
result.Role.UserCount)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Assert.Equal("Phó thư ký",
role.Name)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37" customHeight="1">
      <c r="A21" s="142"/>
      <c r="B21" s="145" t="str">
        <v>Assert.Equal(1, _roles.SaveCount)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Update_records_before_and_after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TC-93F6D2AA0432 | Update records before and after
tests/TrustCabinet.Web.Tests/Access/RoleServiceTests.cs:352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Assert.Single(_audit.Records)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Assert.Equal(AuditActions.RoleUpda
ted, record.Action)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Assert.Equal(role.Id,
record.ObjectId)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Assert.Equal(_actorId,
record.ActorId)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Assert.Equal("Thư ký phó", details
.GetProperty("Before").GetProperty
("Name").GetString())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Assert.Equal("Hỗ trợ thư ký.", det
ails.GetProperty("Before").GetProp
erty("Description").GetString())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Assert.Equal("Phó thư ký", details
.GetProperty("After").GetProperty(
"Name").GetString())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71" customHeight="1">
      <c r="A23" s="142"/>
      <c r="B23" s="145" t="str">
        <v>Assert.Equal(JsonValueKind.Null, d
etails.GetProperty("After").GetPro
perty("Description").ValueKind)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Update_does_not_take_the_invariant_guard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TC-7D2BFE2A44E6 | Update does not take the invariant guard
tests/TrustCabinet.Web.Tests/Access/RoleServiceTests.cs:371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Assert.Equal(0,
_invariant.WriteCount)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Update_answers_not_found_for_an_unknown_role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TC-734C7F5728A9 | Update answers not found for an unknown role
tests/TrustCabinet.Web.Tests/Access/RoleServiceTests.cs:382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Update_answers_MSG24_for_every_built_in_role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TC-4425E215DCC9 | Update answers MSG24 for every built in role
tests/TrustCabinet.Web.Tests/Access/RoleServiceTests.cs:391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Assert.Equal(RoleOutcome.BuiltInRo
le,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Assert.Equal("Chủ toạ",
_roles.Roles.Single(r =&gt; r.Id ==
BuiltInRoles.Chair).Name)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Update_answers_MSG24_before_validating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TC-E07C252FCC8C | Update answers MSG24 before validating
tests/TrustCabinet.Web.Tests/Access/RoleServiceTests.cs:406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Assert.Equal(RoleOutcome.BuiltInRo
le,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Update_answers_MSG20_for_invalid_information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TC-82A806443069 | Update answers MSG20 for invalid information
tests/TrustCabinet.Web.Tests/Access/RoleServiceTests.cs:416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Assert.Equal(["description",
"name"],
result.Errors!.Keys.Order())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Assert.Equal("Thư ký phó",
role.Name)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Update_answers_MSG21_for_the_name_of_another_role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TC-B8AF2F3A46F5 | Update answers MSG21 for the name of another role
tests/TrustCabinet.Web.Tests/Access/RoleServiceTests.cs:429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Assert.Equal(RoleOutcome.Duplicate
Name,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Assert.Equal("Thư ký phó",
role.Name)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Update_may_change_only_the_case_of_its_own_name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TC-9782E7837947 | Update may change only the case of its own name
tests/TrustCabinet.Web.Tests/Access/RoleServiceTests.cs:443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Assert.Equal("Thư Ký Phó",
role.Name)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Assert.Single(_audit.Records)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Update_with_nothing_changed_answers_MSG22_but_writes_nothing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TC-4C1129FE73F2 | Update with nothing changed answers MSG22 but writes nothing
tests/TrustCabinet.Web.Tests/Access/RoleServiceTests.cs:456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Assert.Equal("Thư ký phó",
result.Role!.Name)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Update_answers_MSG21_when_the_unique_index_catches_a_race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TC-1936661D68DC | Update answers MSG21 when the unique index catches a race
tests/TrustCabinet.Web.Tests/Access/RoleServiceTests.cs:470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Assert.Equal(RoleOutcome.Duplicate
Name,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Update_answers_not_found_when_the_role_was_deleted_before_the_save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TC-CEBBE2B17BAC | Update answers not found when the role was deleted before the save
tests/TrustCabinet.Web.Tests/Access/RoleServiceTests.cs:482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Update_answers_save_failed_when_the_database_refuses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TC-9896ADF19818 | Update answers save failed when the database refuses
tests/TrustCabinet.Web.Tests/Access/RoleServiceTests.cs:496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Assert.Equal(RoleOutcome.SaveFaile
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Delete_removes_a_custom_role_nobody_holds_and_its_capabilities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TC-D44C74D10F41 | Delete removes a custom role nobody holds and its capabilities
tests/TrustCabinet.Web.Tests/Access/RoleServiceTests.cs:510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Assert.DoesNotContain(_roles.Roles
, r =&gt; r.Id == role.Id)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Assert.Empty(_roles.CapabilitiesOf
(role.Id))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Delete_records_the_name_and_capabilities_that_are_about_to_disappear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TC-0B31637156BF | Delete records the name and capabilities that are about to disappear
tests/TrustCabinet.Web.Tests/Access/RoleServiceTests.cs:522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Assert.Single(_audit.Records)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Assert.Equal(AuditActions.RoleDele
ted, record.Action)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Assert.Equal(role.Id,
record.ObjectId)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Assert.Equal(_actorId,
record.ActorId)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Assert.Equal("Thư ký phó", details
.GetProperty("Name").GetString())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122" customHeight="1">
      <c r="A21" s="142"/>
      <c r="B21" s="145" t="str">
        <v>Assert.Equal(
            ["MeetingCreator",
"MinutesEditor"],
            details.GetProperty("C
apabilities").EnumerateArray().Sel
ect(c =&gt; c.GetString()))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Delete_goes_through_the_administrator_invariant_guard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TC-271664B7144D | Delete goes through the administrator invariant guard
tests/TrustCabinet.Web.Tests/Access/RoleServiceTests.cs:541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Assert.Equal(1,
_invariant.WriteCount)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Delete_answers_not_found_for_an_unknown_role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TC-2FF48754DF47 | Delete answers not found for an unknown role
tests/TrustCabinet.Web.Tests/Access/RoleServiceTests.cs:551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Assert.Equal(0, _roles.SaveCount)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Delete_answers_MSG24_for_every_built_in_role_even_one_nobody_holds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TC-C0714420CB3D | Delete answers MSG24 for every built in role even one nobody holds
tests/TrustCabinet.Web.Tests/Access/RoleServiceTests.cs:560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Assert.Equal(RoleOutcome.BuiltInRo
le,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Assert.Equal(BuiltInRoles.All.Coun
t, _roles.Roles.Count)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_roles.SaveCount)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Delete_answers_MSG25_with_the_count_while_accounts_hold_the_role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TC-B567CB2E9DCA | Delete answers MSG25 with the count while accounts hold the role
tests/TrustCabinet.Web.Tests/Access/RoleServiceTests.cs:575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Assert.Equal(RoleOutcome.InUse,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Assert.Equal(3, result.UserCount)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Assert.Contains(_roles.Roles, r =&gt;
r.Id == role.Id)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Assert.Equal(0, _roles.SaveCount)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Assert.Empty(_audit.Records)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Delete_answers_MSG25_when_someone_was_given_the_role_in_the_meantime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TC-91AF41DB00BA | Delete answers MSG25 when someone was given the role in the meantime
tests/TrustCabinet.Web.Tests/Access/RoleServiceTests.cs:590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Assert.Equal(RoleOutcome.InUse,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Assert.Equal(2, result.UserCount)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Assert.Contains(_roles.Roles, r =&gt;
r.Id == role.Id)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Access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Delete_answers_save_failed_when_the_database_refuses_for_another_reason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TC-8477C4188074 | Delete answers save failed when the database refuses for another reason
tests/TrustCabinet.Web.Tests/Access/RoleServiceTests.cs:608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RoleServiceTests.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Assert.Equal(RoleOutcome.SaveFaile
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Assert.Contains(_roles.Roles, r =&gt;
r.Id == role.Id)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Agenda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Actual_duration_is_independent_of_planned_duration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TC-9AEA8B3511D3 | Actual duration is independent of planned duration
tests/TrustCabinet.Web.Tests/Agenda/AgendaRulesTests.cs:9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AgendaRulesTests.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(int seconds)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InlineData(0)
InlineData(1)
InlineData(1200)
InlineData(1201)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Assert.True(AgendaExecution.TryCom
plete(item, start.AddSeconds(secon
ds).AddTicks(7)))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88" customHeight="1">
      <c r="A17" s="142"/>
      <c r="B17" s="145" t="str">
        <v>Assert.Equal(seconds,
(item.ActualEndedAt!.Value - item.
ActualStartedAt!.Value).TotalSecon
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Assert.Equal(start,
item.ActualStartedAt)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Assert.Equal(AgendaItemStatus.Done
, item.Status)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Agenda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Missing_start_or_backwards_clock_never_fabricates_completion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TC-332C3BAEA9C0 | Missing start or backwards clock never fabricates completion
tests/TrustCabinet.Web.Tests/Agenda/AgendaRulesTests.cs:24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AgendaRulesTests.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Assert.False(AgendaExecution.TryCo
mplete(item,
DateTimeOffset.UtcNow))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Assert.False(AgendaExecution.TryCo
mplete(item,
DateTimeOffset.UtcNow))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Assert.Equal(AgendaItemStatus.InPr
ogress, item.Status)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Assert.Null(item.ActualEndedAt)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Agenda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Order_token_is_deterministic_ignores_content_and_detects_status_or_position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TC-A22BB8FD53C6 | Order token is deterministic ignores content and detects status or position
tests/TrustCabinet.Web.Tests/Agenda/AgendaRulesTests.cs:35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AgendaRulesTests.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Assert.Equal(token,
AgendaRules.OrderVersion([b, a]))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Assert.Equal(token,
AgendaRules.OrderVersion([a, b]))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Assert.NotEqual(token,
AgendaRules.OrderVersion([a, b]))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Assert.NotEqual(token,
AgendaRules.OrderVersion([a, b]))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Agenda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Normalization_preserves_newlines_and_validates_boundaries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TC-0C6C0B4D6834 | Normalization preserves newlines and validates boundaries
tests/TrustCabinet.Web.Tests/Agenda/AgendaRulesTests.cs:51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AgendaRulesTests.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Assert.Equal("X", input.Title)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Assert.Equal("A\nB",
input.Description)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Assert.Equal("Khách",
input.PresenterName)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Assert.Empty(AgendaRules.Validate(
input))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Assert.Empty(input.DocumentIds!)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Assert.NotEmpty(AgendaRules.Valida
te(AgendaRules.Normalize(new(" ",
PlannedDurationMinutes: 0))))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An_active_user_with_the_right_password_signs_in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TC-4375B997D831 | An active user with the right password signs in
tests/TrustCabinet.Web.Tests/Authentication/AuthenticationServiceTests.cs:44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Assert.Equal(user.Id,
result.User!.Id)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71" customHeight="1">
      <c r="A19" s="142"/>
      <c r="B19" s="145" t="str">
        <v>Assert.Equal([Capability.MeetingCr
eator, Capability.MinutesEditor],
result.Capabilities)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Signing_in_issues_an_access_token_and_a_stored_refresh_token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TC-DBAA27E9A6E5 | Signing in issues an access token and a stored refresh token
tests/TrustCabinet.Web.Tests/Authentication/AuthenticationServiceTests.cs:59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Assert.NotNull(result.AccessToken)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Assert.NotNull(result.RefreshToken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Assert.Contains(result.RefreshToke
n!, _refreshTokens.ActiveTokens)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Assert.True(result.AccessTokenExpi
resAt &gt; DateTimeOffset.UtcNow)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Capabilities_come_from_the_database_not_from_the_role_name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TC-57AEFCC4ABC7 | Capabilities come from the database not from the role name
tests/TrustCabinet.Web.Tests/Authentication/AuthenticationServiceTests.cs:79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Assert.Equal([Capability.AdminUser
s], result.Capabilities)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A_member_signs_in_although_they_have_no_capability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TC-DC46319922EB | A member signs in although they have no capability
tests/TrustCabinet.Web.Tests/Authentication/AuthenticationServiceTests.cs:93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Assert.Empty(result.Capabilities!)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Email_case_and_surrounding_spaces_do_not_prevent_sign_in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TC-EF339F0F6EA8 | Email case and surrounding spaces do not prevent sign in
tests/TrustCabinet.Web.Tests/Authentication/AuthenticationServiceTests.cs:106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An_unknown_email_is_rejected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TC-12FBE879DD1C | An unknown email is rejected
tests/TrustCabinet.Web.Tests/Authentication/AuthenticationServiceTests.cs:121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A_wrong_password_is_rejected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TC-56A537F972D8 | A wrong password is rejected
tests/TrustCabinet.Web.Tests/Authentication/AuthenticationServiceTests.cs:129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An_unknown_email_and_a_wrong_password_are_indistinguishable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TC-C36E7BF0AA96 | An unknown email and a wrong password are indistinguishable
tests/TrustCabinet.Web.Tests/Authentication/AuthenticationServiceTests.cs:140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Assert.Equal(unknownEmail.Outcome,
wrongPassword.Outcome)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Assert.Null(unknownEmail.User)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Assert.Null(wrongPassword.User)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An_unknown_email_still_costs_one_password_verification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TC-95D0DBFE17C7 | An unknown email still costs one password verification
tests/TrustCabinet.Web.Tests/Authentication/AuthenticationServiceTests.cs:155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Assert.Equal(1,
_passwordHasher.VerifyCount)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The_dummy_hash_comes_from_the_injected_hasher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TC-9FD780E1540C | The dummy hash comes from the injected hasher
tests/TrustCabinet.Web.Tests/Authentication/AuthenticationServiceTests.cs:170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Assert.Equal(1,
_passwordHasher.HashCount)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88" customHeight="1">
      <c r="A17" s="142"/>
      <c r="B17" s="145" t="str">
        <v>Assert.All(_passwordHasher.Verifie
dHashes, hash =&gt;
Assert.StartsWith("hashed:",
hash))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The_dummy_hash_never_matches_a_password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TC-9AD601D57040 | The dummy hash never matches a password
tests/TrustCabinet.Web.Tests/Authentication/AuthenticationServiceTests.cs:187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first.Outcome)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Assert.Equal(SignInOutcome.Invalid
Credentials, second.Outcome)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A_known_email_and_an_unknown_one_cost_the_same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TC-E2B37C91E5D5 | A known email and an unknown one cost the same
tests/TrustCabinet.Web.Tests/Authentication/AuthenticationServiceTests.cs:201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Assert.Equal(afterKnownEmail,
afterUnknownEmail)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Blank_input_is_rejected_without_touching_the_database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TC-668CA47ADF88 | Blank input is rejected without touching the database
tests/TrustCabinet.Web.Tests/Authentication/AuthenticationServiceTests.cs:219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email, string password)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15" customHeight="1">
      <c r="A13" s="142"/>
      <c r="B13" s="145" t="str">
        <v>InlineData("", Password)
InlineData("   ", Password)
InlineData("thuky@trustcabinet.local", "")
InlineData("thuky@trustcabinet.local", "  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Assert.Equal(0,
_users.LookupCount)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A_failed_attempt_issues_nothing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TC-DAF31F20FF3C | A failed attempt issues nothing
tests/TrustCabinet.Web.Tests/Authentication/AuthenticationServiceTests.cs:236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Assert.Null(result.AccessToken)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Assert.Null(result.RefreshToken)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Assert.Empty(_refreshTokens.Active
Tokens)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A_placeholder_password_hash_cannot_be_signed_into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TC-4B7A72D5CB98 | A placeholder password hash cannot be signed into
tests/TrustCabinet.Web.Tests/Authentication/AuthenticationServiceTests.cs:248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A_deactivated_account_is_told_so_only_after_the_password_matched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TC-32971F93CB1D | A deactivated account is told so only after the password matched
tests/TrustCabinet.Web.Tests/Authentication/AuthenticationServiceTests.cs:268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Assert.Equal(SignInOutcome.Account
Deactivated,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Assert.Empty(_refreshTokens.Active
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A_deactivated_account_with_a_wrong_password_reveals_nothing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TC-E178FBE5055E | A deactivated account with a wrong password reveals nothing
tests/TrustCabinet.Web.Tests/Authentication/AuthenticationServiceTests.cs:280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A_role_that_grants_nothing_still_signs_in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TC-0E668806771F | A role that grants nothing still signs in
tests/TrustCabinet.Web.Tests/Authentication/AuthenticationServiceTests.cs:295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Assert.Empty(result.Capabilities!)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A_custom_role_signs_in_with_its_name_and_capabilities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TC-D44C9252504B | A custom role signs in with its name and capabilities
tests/TrustCabinet.Web.Tests/Authentication/AuthenticationServiceTests.cs:311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Assert.Equal([Capability.MinutesEd
itor], result.Capabilities)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Assert.Equal("Thư ký phó",
result.User!.Role!.Name)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A_refresh_token_can_be_exchanged_for_a_new_pair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TC-049E4F5056E1 | A refresh token can be exchanged for a new pair
tests/TrustCabinet.Web.Tests/Authentication/AuthenticationServiceTests.cs:329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refreshed.Outcome)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Assert.NotNull(refreshed.AccessTok
en)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Assert.NotEqual(signIn.RefreshToke
n, refreshed.RefreshToken)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A_refresh_token_works_only_once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TC-E18DC7045BCD | A refresh token works only once
tests/TrustCabinet.Web.Tests/Authentication/AuthenticationServiceTests.cs:344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replayed.Outcome)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A_database_error_during_refresh_leaves_the_token_usable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TC-16188D94DEFF | A database error during refresh leaves the token usable
tests/TrustCabinet.Web.Tests/Authentication/AuthenticationServiceTests.cs:360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Assert.ThrowsAsync&lt;InvalidOperatio
nException&gt;(() =&gt; service.RefreshA
sync(signIn.RefreshToken!))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Assert.Equal(SignInOutcome.Success
, retried.Outcome)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An_expired_refresh_token_is_rejected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TC-DF4B63868228 | An expired refresh token is rejected
tests/TrustCabinet.Web.Tests/Authentication/AuthenticationServiceTests.cs:382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refreshed.Outcome)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A_missing_or_unknown_refresh_token_is_rejected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TC-FF4959BF1E99 | A missing or unknown refresh token is rejected
tests/TrustCabinet.Web.Tests/Authentication/AuthenticationServiceTests.cs:399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token)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InlineData("")
InlineData("   ")
InlineData("khong-phai-token")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Deactivating_an_account_ends_its_session_at_the_next_refresh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TC-C8215C53256B | Deactivating an account ends its session at the next refresh
tests/TrustCabinet.Web.Tests/Authentication/AuthenticationServiceTests.cs:410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Assert.Equal(SignInOutcome.Account
Deactivated, refreshed.Outcome)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Assert.Empty(_refreshTokens.Active
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Losing_every_capability_reaches_the_next_access_token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TC-F54667EAF2B5 | Losing every capability reaches the next access token
tests/TrustCabinet.Web.Tests/Authentication/AuthenticationServiceTests.cs:430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refreshed.Outcome)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Assert.Empty(refreshed.Capabilitie
s!)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A_capability_granted_meanwhile_arrives_with_the_next_access_token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TC-AC49578447B4 | A capability granted meanwhile arrives with the next access token
tests/TrustCabinet.Web.Tests/Authentication/AuthenticationServiceTests.cs:450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88" customHeight="1">
      <c r="A16" s="142"/>
      <c r="B16" s="145" t="str">
        <v>Assert.Equal(
[Capability.MeetingCreator,
Capability.MinutesEditor],
refreshed.Capabilities)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Signing_out_destroys_the_session_on_the_server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TC-C908BCE09A62 | Signing out destroys the session on the server
tests/TrustCabinet.Web.Tests/Authentication/AuthenticationServiceTests.cs:471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Assert.Empty(_refreshTokens.Active
Tokens)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Assert.Equal(SignInOutcome.Invalid
Credentials, afterSignOut.Outcome)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Signing_out_twice_is_not_an_error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TC-7539232A9EAE | Signing out twice is not an error
tests/TrustCabinet.Web.Tests/Authentication/AuthenticationServiceTests.cs:489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Assertions are in source helper methods; inspect the referenced test and fixture.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Signing_out_one_session_leaves_the_others_alone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TC-422969057C79 | Signing out one session leaves the others alone
tests/TrustCabinet.Web.Tests/Authentication/AuthenticationServiceTests.cs:503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AuthenticationServiceTests.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Assert.Equal([phone.RefreshToken!]
, _refreshTokens.ActiveTokens)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A_linked_active_account_signs_in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TC-248CA4679D9C | A linked active account signs in
tests/TrustCabinet.Web.Tests/Authentication/GoogleSignInServiceTests.cs:52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Assert.Equal(GoogleSignInOutcome.S
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Assert.Equal([Capability.MinutesEd
itor], result.Capabilities)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Google_sign_in_issues_the_same_token_pair_as_a_password_sign_in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TC-E6F0DBC13F5C | Google sign in issues the same token pair as a password sign in
tests/TrustCabinet.Web.Tests/Authentication/GoogleSignInServiceTests.cs:65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Assert.NotNull(result.AccessToken)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Assert.NotNull(result.RefreshToken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Assert.Contains(result.RefreshToke
n!, _refreshTokens.ActiveTokens)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Assert.True(result.AccessTokenExpi
resAt &gt; DateTimeOffset.UtcNow)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An_account_with_both_a_password_and_a_google_link_can_use_either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TC-2F1B8A3A8F14 | An account with both a password and a google link can use either
tests/TrustCabinet.Web.Tests/Authentication/GoogleSignInServiceTests.cs:79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88" customHeight="1">
      <c r="A16" s="142"/>
      <c r="B16" s="145" t="str">
        <v>Assert.Equal(
GoogleSignInOutcome.Success,
            (await service.SignInW
ithGoogleAsync(IdToken)).Outcome)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05" customHeight="1">
      <c r="A17" s="142"/>
      <c r="B17" s="145" t="str">
        <v>Assert.Equal(
            SignInOutcome.Success,
            (await
service.SignInAsync(GoogleEmail,
"MatKhau@2026")).Outcome)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A_member_signs_in_with_google_although_they_have_no_capability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TC-0725E610421C | A member signs in with google although they have no capability
tests/TrustCabinet.Web.Tests/Authentication/GoogleSignInServiceTests.cs:98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Assert.Equal(GoogleSignInOutcome.S
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Assert.Empty(result.Capabilities!)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A_token_that_does_not_verify_is_rejected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TC-F3BCF87E7FCB | A token that does not verify is rejected
tests/TrustCabinet.Web.Tests/Authentication/GoogleSignInServiceTests.cs:113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idToken)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InlineData("")
InlineData("   ")
InlineData("khong-phai-id-token")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Assert.Equal(GoogleSignInOutcome.I
nvalidGoogleToken,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Assert.Null(result.User)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Assert.Empty(_refreshTokens.Active
Tokens)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The_database_is_not_consulted_when_the_token_does_not_verify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TC-2C84887217F9 | The database is not consulted when the token does not verify
tests/TrustCabinet.Web.Tests/Authentication/GoogleSignInServiceTests.cs:129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Assert.Equal(GoogleSignInOutcome.I
nvalidGoogleToken,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Assert.Equal(0,
_users.LookupCount)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A_google_account_nobody_linked_is_refused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TC-03C3991E0C10 | A google account nobody linked is refused
tests/TrustCabinet.Web.Tests/Authentication/GoogleSignInServiceTests.cs:142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Assert.Equal(GoogleSignInOutcome.N
otLinked,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Assert.Empty(_refreshTokens.Active
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An_account_created_with_that_email_is_linked_at_its_first_google_sign_in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TC-D2C512BE03F4 | An account created with that email is linked at its first google sign in
tests/TrustCabinet.Web.Tests/Authentication/GoogleSignInServiceTests.cs:155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Assert.Equal(GoogleSignInOutcome.S
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Assert.Equal(GoogleSubject,
user.GoogleSubjectId)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Assert.Single(_audit.Records)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Assert.Equal(AuditActions.UserGoog
leLinked, record.Action)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Assert.Equal(user.Id,
record.ObjectId)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Assert.Equal(user.Id,
record.ActorId)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1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An_account_already_linked_to_another_google_identity_is_not_relinked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TC-F1BADD1147CE | An account already linked to another google identity is not relinked
tests/TrustCabinet.Web.Tests/Authentication/GoogleSignInServiceTests.cs:173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Assert.Equal(GoogleSignInOutcome.N
otLinked,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Assert.Equal(GoogleSubject,
user.GoogleSubjectId)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An_account_deactivated_before_its_first_google_sign_in_is_refused_as_deactivated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TC-7BF1C75C7DD3 | An account deactivated before its first google sign in is refused as deactivated
tests/TrustCabinet.Web.Tests/Authentication/GoogleSignInServiceTests.cs:190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Assert.Equal(GoogleSignInOutcome.A
ccountDeactivated,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Assert.Null(user.GoogleSubjectId)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Assert.Empty(_refreshTokens.Active
Tokens)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A_deactivated_account_linked_to_another_google_identity_stays_not_linked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TC-90C096940FB3 | A deactivated account linked to another google identity stays not linked
tests/TrustCabinet.Web.Tests/Authentication/GoogleSignInServiceTests.cs:207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Assert.Equal(GoogleSignInOutcome.N
otLinked,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A_deactivated_linked_account_is_refused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TC-2AF9AE2E4A91 | A deactivated linked account is refused
tests/TrustCabinet.Web.Tests/Authentication/GoogleSignInServiceTests.cs:223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Assert.Equal(GoogleSignInOutcome.A
ccountDeactivated,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Assert.Empty(_refreshTokens.Active
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A_linked_account_whose_role_grants_nothing_signs_in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TC-1B18D5FB6F38 | A linked account whose role grants nothing signs in
tests/TrustCabinet.Web.Tests/Authentication/GoogleSignInServiceTests.cs:239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Assert.Equal(GoogleSignInOutcome.S
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Assert.Empty(result.Capabilities!)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A_google_only_account_cannot_be_signed_into_with_a_password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TC-AB580C287486 | A google only account cannot be signed into with a password
tests/TrustCabinet.Web.Tests/Authentication/GoogleSignInServiceTests.cs:254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Assert.Equal(SignInOutcome.Invalid
Credentials,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A_session_started_with_google_refreshes_like_any_other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TC-07E220DFCDB3 | A session started with google refreshes like any other
tests/TrustCabinet.Web.Tests/Authentication/GoogleSignInServiceTests.cs:268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Assert.Equal(SignInOutcome.Success
, refreshed.Outcome)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Assert.NotEqual(signIn.RefreshToke
n, refreshed.RefreshToken)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Signing_out_of_a_google_session_destroys_it_server_side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TC-311C5FB8F6FE | Signing out of a google session destroys it server side
tests/TrustCabinet.Web.Tests/Authentication/GoogleSignInServiceTests.cs:284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Assert.Empty(_refreshTokens.Active
Tokens)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05" customHeight="1">
      <c r="A17" s="142"/>
      <c r="B17" s="145" t="str">
        <v>Assert.Equal(
SignInOutcome.InvalidCredentials,
            (await service.Refresh
Async(signIn.RefreshToken!)).Outco
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Deactivating_a_google_account_ends_its_session_at_the_next_refresh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TC-2883DDA02C5C | Deactivating a google account ends its session at the next refresh
tests/TrustCabinet.Web.Tests/Authentication/GoogleSignInServiceTests.cs:300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GoogleSignInServiceTests.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Assert.Equal(SignInOutcome.Account
Deactivated, refreshed.Outcome)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Assert.Empty(_refreshTokens.Active
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A_payload_with_a_verified_email_and_a_subject_identifies_the_holder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TC-0B31690C1E01 | A payload with a verified email and a subject identifies the holder
tests/TrustCabinet.Web.Tests/Authentication/GoogleTokenVerifierTests.cs:28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GoogleTokenVerifierTests.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Assert.NotNull(identity)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Assert.Equal("11574200000000000000
0", identity.Subject)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Assert.Equal("thuky@trustcabinet.l
ocal", identity.Email)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A_payload_whose_email_is_not_verified_is_refused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TC-C846F1345D1F | A payload whose email is not verified is refused
tests/TrustCabinet.Web.Tests/Authentication/GoogleTokenVerifierTests.cs:43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GoogleTokenVerifierTests.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Assert.Null(identity)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A_payload_without_a_usable_subject_is_refused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TC-C37CA782CA9D | A payload without a usable subject is refused
tests/TrustCabinet.Web.Tests/Authentication/GoogleTokenVerifierTests.cs:58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GoogleTokenVerifierTests.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(string? subject)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InlineData(null)
InlineData("")
InlineData("  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Assert.Null(identity)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A_blank_token_is_refused_without_calling_google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TC-E8A941351F9B | A blank token is refused without calling google
tests/TrustCabinet.Web.Tests/Authentication/GoogleTokenVerifierTests.cs:79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GoogleTokenVerifierTests.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idToken)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InlineData("")
InlineData("  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Assert.Null(await NewVerifier().Ve
rifyAsync(idToken))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A_malformed_token_returns_null_instead_of_throwing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TC-78AF46A5F294 | A malformed token returns null instead of throwing
tests/TrustCabinet.Web.Tests/Authentication/GoogleTokenVerifierTests.cs:87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GoogleTokenVerifierTests.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idToken)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98" customHeight="1">
      <c r="A13" s="142"/>
      <c r="B13" s="145" t="str">
        <v>InlineData("notajwt")
InlineData("a.b")
InlineData("a.b.c")
InlineData("!!!.???.###")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Assert.Null(await NewVerifier().Ve
rifyAsync(idToken))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A_well_formed_but_forged_token_is_refused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TC-285475D2B8FB | A well formed but forged token is refused
tests/TrustCabinet.Web.Tests/Authentication/GoogleTokenVerifierTests.cs:103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GoogleTokenVerifierTests.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Assert.Null(await
NewVerifier().VerifyAsync(forged))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The_access_token_identifies_the_user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TC-74392C2FDF46 | The access token identifies the user
tests/TrustCabinet.Web.Tests/Authentication/JwtTokenIssuerTests.cs:42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Assert.Equal(Secretary.Id.ToString
(), token.Claims.First(c =&gt; c.Type
== "sub").Value)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Assert.Equal(Secretary.Email,
token.Claims.First(c =&gt; c.Type ==
"email").Value)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Assert.DoesNotContain(token.Claims
, c =&gt; c.Type is ClaimTypes.Role
or "role")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The_access_token_carries_one_claim_per_capability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TC-FEAC829E1FB2 | The access token carries one claim per capability
tests/TrustCabinet.Web.Tests/Authentication/JwtTokenIssuerTests.cs:54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Assert.Equal(["MeetingCreator",
"MinutesEditor"], capabilities)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An_access_token_for_a_member_carries_no_capability_claim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TC-079308033E5A | An access token for a member carries no capability claim
tests/TrustCabinet.Web.Tests/Authentication/JwtTokenIssuerTests.cs:70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Assert.DoesNotContain(token.Claims
, c =&gt; c.Type ==
JwtTokenIssuer.CapabilityClaim)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The_access_token_never_carries_the_password_hash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TC-F7E782889DEB | The access token never carries the password hash
tests/TrustCabinet.Web.Tests/Authentication/JwtTokenIssuerTests.cs:78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Assert.DoesNotContain("khong-lien-
quan", raw)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Every_access_token_has_its_own_id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TC-408CBEAE3431 | Every access token has its own id
tests/TrustCabinet.Web.Tests/Authentication/JwtTokenIssuerTests.cs:87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Assert.NotEqual(first, second)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The_access_token_expires_after_the_configured_lifetime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TC-5C8F24B798B3 | The access token expires after the configured lifetime
tests/TrustCabinet.Web.Tests/Authentication/JwtTokenIssuerTests.cs:98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Assert.Equal(TimeSpan.FromMinutes(
5), issuer.AccessTokenLifetime)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88" customHeight="1">
      <c r="A17" s="142"/>
      <c r="B17" s="145" t="str">
        <v>Assert.InRange(
            token.ValidTo,
DateTime.UtcNow.AddMinutes(4),
DateTime.UtcNow.AddMinutes(6))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The_access_token_validates_under_the_key_that_signed_it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TC-061CEFB01C49 | The access token validates under the key that signed it
tests/TrustCabinet.Web.Tests/Authentication/JwtTokenIssuerTests.cs:114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Assert.Equal(Secretary.Id.ToString
(),
principal.FindFirstValue("sub"))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A_token_signed_with_another_key_is_rejected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TC-A21D01EE1DE6 | A token signed with another key is rejected
tests/TrustCabinet.Web.Tests/Authentication/JwtTokenIssuerTests.cs:124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22" customHeight="1">
      <c r="A16" s="142"/>
      <c r="B16" s="145" t="str">
        <v>Assert.Throws&lt;SecurityTokenSignatu
reKeyNotFoundException&gt;(() =&gt;
NewHandler().ValidateToken(
                raw,
Parameters("mot-khoa-khac-hoan-
toan-va-du-32-ky-tu"), out _))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A_tampered_token_is_rejected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TC-7989C3629FCA | A tampered token is rejected
tests/TrustCabinet.Web.Tests/Authentication/JwtTokenIssuerTests.cs:135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Assert.ThrowsAny&lt;SecurityTokenExce
ption&gt;(() =&gt;
            NewHandler().ValidateT
oken(tampered,
Parameters(SigningKey), out _))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A_token_from_another_issuer_is_rejected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TC-96DB03C7F90C | A token from another issuer is rejected
tests/TrustCabinet.Web.Tests/Authentication/JwtTokenIssuerTests.cs:147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88" customHeight="1">
      <c r="A16" s="142"/>
      <c r="B16" s="145" t="str">
        <v>Assert.Throws&lt;SecurityTokenInvalid
IssuerException&gt;(() =&gt;
NewHandler().ValidateToken(raw,
Parameters(SigningKey), out _))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A_fresh_token_carries_no_notBefore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TC-243315E97075 | A fresh token carries no notBefore
tests/TrustCabinet.Web.Tests/Authentication/JwtTokenIssuerTests.cs:163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Assert.DoesNotContain(token.Claims
, c =&gt; c.Type == "nbf")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A_token_validates_against_a_validator_whose_clock_is_behind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TC-222189B1CC9C | A token validates against a validator whose clock is behind
tests/TrustCabinet.Web.Tests/Authentication/JwtTokenIssuerTests.cs:177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Assert.Equal(Secretary.Id.ToString
(),
principal.FindFirst("sub")!.Value)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Refresh_tokens_are_unique_and_opaque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TC-4FE99E3BED84 | Refresh tokens are unique and opaque
tests/TrustCabinet.Web.Tests/Authentication/JwtTokenIssuerTests.cs:198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Assert.Equal(100,
tokens.Distinct().Count())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Assert.DoesNotContain('.', token)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Assert.True(token.Length &gt;= 40,
$"Refresh token too short to be
unguessable: {token.Length}")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The_refresh_token_lifetime_comes_from_configuration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TC-45102BE5EB33 | The refresh token lifetime comes from configuration
tests/TrustCabinet.Web.Tests/Authentication/JwtTokenIssuerTests.cs:215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JwtTokenIssuerTests.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Assert.Equal(TimeSpan.FromDays(3),
issuer.RefreshTokenLifetime)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A_password_verifies_against_its_own_hash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TC-62DE576FE48A | A password verifies against its own hash
tests/TrustCabinet.Web.Tests/Authentication/PasswordHasherTests.cs:14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Assert.True(_hasher.Verify(hash,
"MatKhau@2026"))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A_different_password_does_not_verify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TC-E74015667D23 | A different password does not verify
tests/TrustCabinet.Web.Tests/Authentication/PasswordHasherTests.cs:22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Assert.False(_hasher.Verify(hash,
"MatKhau@2027"))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Password_comparison_is_case_sensitive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TC-7CB892DE2C2C | Password comparison is case sensitive
tests/TrustCabinet.Web.Tests/Authentication/PasswordHasherTests.cs:30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Assert.False(_hasher.Verify(hash,
"matkhau@2026"))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The_hash_does_not_contain_the_password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TC-B474D2753E8E | The hash does not contain the password
tests/TrustCabinet.Web.Tests/Authentication/PasswordHasherTests.cs:39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Assert.DoesNotContain("MatKhau",
hash, StringComparison.OrdinalIgno
reCase)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The_same_password_hashes_differently_every_time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TC-9C3AC7148F20 | The same password hashes differently every time
tests/TrustCabinet.Web.Tests/Authentication/PasswordHasherTests.cs:47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Assert.NotEqual(first, second)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Assert.True(_hasher.Verify(first,
"MatKhau@2026"))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Assert.True(_hasher.Verify(second,
"MatKhau@2026"))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The_hash_fits_the_column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TC-4F943C9453A4 | The hash fits the column
tests/TrustCabinet.Web.Tests/Authentication/PasswordHasherTests.cs:60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Assert.True(_hasher.Hash("MatKhau@
2026").Length &lt;= 512)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A_malformed_stored_hash_fails_verification_instead_of_throwing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TC-DA024FBF2528 | A malformed stored hash fails verification instead of throwing
tests/TrustCabinet.Web.Tests/Authentication/PasswordHasherTests.cs:68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storedHash)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81" customHeight="1">
      <c r="A13" s="142"/>
      <c r="B13" s="145" t="str">
        <v>InlineData("")
InlineData("khong-phai-hash")
InlineData("SET-BY-SCRUM-11")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Assert.False(_hasher.Verify(stored
Hash, "bat-ky-mat-khau"))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Authentication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A_long_passphrase_is_supported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TC-BB4427A53A34 | A long passphrase is supported
tests/TrustCabinet.Web.Tests/Authentication/PasswordHasherTests.cs:79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PasswordHasherTests.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Assert.True(_hasher.Verify(_hasher
.Hash(passphrase), passphrase))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Reconciliation_failures_are_retried_without_blocking_processing_in_fresh_scopes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TC-DDDB2F41A81D | Reconciliation failures are retried without blocking processing in fresh scopes
tests/TrustCabinet.Web.Tests/Email/EmailDeliveryWorkerTests.cs:11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EmailDeliveryWorkerTests.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Assert.Equal(EmailProcessingOutcom
e.NoWork, firstResult.Outcome)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Assert.Equal(EmailProcessingOutcom
e.NoWork, secondResult.Outcome)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Assert.Equal(2,
probe.ReconciliationScopes.Count)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Assert.Equal(2,
probe.ProcessingScopes.Count)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105" customHeight="1">
      <c r="A20" s="142"/>
      <c r="B20" s="145" t="str">
        <v>Assert.Equal(
            4,
            probe.ReconciliationSc
opes.Concat(probe.ProcessingScopes
).Distinct().Count())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1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Host_cancellation_during_reconciliation_stops_before_processing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TC-F62C0FB3EDD0 | Host cancellation during reconciliation stops before processing
tests/TrustCabinet.Web.Tests/Email/EmailDeliveryWorkerTests.cs:30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EmailDeliveryWorkerTests.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88" customHeight="1">
      <c r="A16" s="142"/>
      <c r="B16" s="145" t="str">
        <v>Assert.ThrowsAnyAsync&lt;OperationCan
celedException&gt;(
            () =&gt; worker.ProcessOn
ceAsync(cancellation.Token))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Assert.Equal(1,
probe.ReconciliationCalls)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Assert.Equal(0,
probe.ProcessingCalls)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Sends_the_link_to_the_registered_address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TC-AD41950FE9BD | Sends the link to the registered address
tests/TrustCabinet.Web.Tests/Email/PasswordResetEmailSenderTests.cs:28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PasswordResetEmailSenderTests.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Assert.True(sent)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Assert.Single(_smtp.Sent)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Assert.Equal("thanhvien@trustcabin
et.local", message.ToAddress)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Assert.Contains("Lê Thành Viên",
message.Body)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Assert.Contains("https://trustcabi
net.example/reset-password#token="
+ Token, message.Body)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Assert.Contains("60 phút",
message.Body)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1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The_token_travels_in_the_fragment_not_the_query_string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TC-EDE60E60FF27 | The token travels in the fragment not the query string
tests/TrustCabinet.Web.Tests/Email/PasswordResetEmailSenderTests.cs:42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PasswordResetEmailSenderTests.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Assert.Equal("https://trustcabinet
.example/reset-password#token=" +
Token, link)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Assert.DoesNotContain("?", link)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Disabled_email_delivery_is_a_failed_send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TC-4B17656AD9B6 | Disabled email delivery is a failed send
tests/TrustCabinet.Web.Tests/Email/PasswordResetEmailSenderTests.cs:52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PasswordResetEmailSenderTests.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Assert.False(sent)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Assert.Empty(_smtp.Sent)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A_server_error_is_a_failed_send_not_an_exception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TC-41672ECEEC5B | A server error is a failed send not an exception
tests/TrustCabinet.Web.Tests/Email/PasswordResetEmailSenderTests.cs:62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PasswordResetEmailSenderTests.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Assert.False(sent)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A_server_that_never_answers_is_a_failed_send_after_the_timeout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TC-735CD336217A | A server that never answers is a failed send after the timeout
tests/TrustCabinet.Web.Tests/Email/PasswordResetEmailSenderTests.cs:73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PasswordResetEmailSenderTests.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Assert.False(sent)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Email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A_cancelled_request_is_not_reported_as_a_failed_send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TC-9DFDFEA4F9CB | A cancelled request is not reported as a failed send
tests/TrustCabinet.Web.Tests/Email/PasswordResetEmailSenderTests.cs:85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PasswordResetEmailSenderTests.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39" customHeight="1">
      <c r="A16" s="142"/>
      <c r="B16" s="145" t="str">
        <v>Assert.ThrowsAnyAsync&lt;OperationCan
celedException&gt;(() =&gt;
NewSender().SendAsync(
"thanhvien@trustcabinet.local",
"Lê Thành Viên", Token,
TimeSpan.FromMinutes(60),
cancelled.Token))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Delegate_is_not_added_by_reference_but_qualifies_with_own_active_non_delegated_row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TC-34CB8A2E76BB | Delegate is not added by reference but qualifies with own active non delegated row
tests/TrustCabinet.Web.Tests/Meetings/MeetingInvitationRecipientPolicyTests.cs:9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MeetingInvitationRecipientPolicyTests.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Assert.Empty(MeetingInvitationReci
pientPolicy.SelectSnapshot(partici
pants))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05" customHeight="1">
      <c r="A17" s="142"/>
      <c r="B17" s="145" t="str">
        <v>Assert.Equal(
            delegateUser.Id,
            Assert.Single(MeetingI
nvitationRecipientPolicy.SelectSna
pshot(participants)).UserId)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Snapshot_excludes_inactive_users_and_duplicate_rows_by_user_id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TC-D4FE92810E70 | Snapshot excludes inactive users and duplicate rows by user id
tests/TrustCabinet.Web.Tests/Meetings/MeetingInvitationRecipientPolicyTests.cs:30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MeetingInvitationRecipientPolicyTests.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Assert.Equal(
            active.Id,
            Assert.Single(MeetingI
nvitationRecipientPolicy.SelectSna
pshot(participants)).UserId)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Empty_query_uses_defaults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TC-4D9A02F6DD68 | Empty query uses defaults
tests/TrustCabinet.Web.Tests/Meetings/MeetingListQueryParserTests.cs:20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COUNTIF(E28:T28,"P")</f>
        <v>0</v>
      </c>
      <c r="B5" s="133"/>
      <c r="C5" s="132" t="n">
        <f>COUNTIF(E28:T28,"F")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COUNTIF(E27:T27,"N")</f>
        <v>0</v>
      </c>
      <c r="L5" s="136" t="n">
        <f>COUNTIF(E27:T27,"A")</f>
        <v>0</v>
      </c>
      <c r="M5" s="136" t="n">
        <f>COUNTIF(E27:T27,"B")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input)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81" customHeight="1">
      <c r="A13" s="142"/>
      <c r="B13" s="145" t="str">
        <v>InlineData("")
InlineData("?status=&amp;sensitivity=&amp;q=&amp;from=&amp;to=&amp;page=&amp;pageSize=&amp;sortBy=&amp;sortDir=")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Assert.Empty(errors)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Assert.NotNull(query)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Assert.Null(query.Status)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Assert.Null(query.Sensitivity)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Assert.Null(query.Query)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37" customHeight="1">
      <c r="A21" s="142"/>
      <c r="B21" s="145" t="str">
        <v>Assert.Null(query.From)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37" customHeight="1">
      <c r="A22" s="142"/>
      <c r="B22" s="145" t="str">
        <v>Assert.Null(query.To)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37" customHeight="1">
      <c r="A23" s="142"/>
      <c r="B23" s="145" t="str">
        <v>Assert.Equal(1, query.Page)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37" customHeight="1">
      <c r="A24" s="142"/>
      <c r="B24" s="145" t="str">
        <v>Assert.Equal(20, query.PageSize)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Assert.Equal(MeetingSortBy.Planned
StartTime, query.SortBy)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Assert.Equal(MeetingSortDirection.
Desc, query.SortDirection)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5" customHeight="1">
      <c r="A27" s="147" t="str">
        <v>Result</v>
      </c>
      <c r="B27" s="148" t="str">
        <v>Type(N : Normal, A : Abnormal, B : Boundary)</v>
      </c>
      <c r="C27" s="149"/>
      <c r="D27" s="150"/>
      <c r="E27" s="151"/>
      <c r="F27" s="151"/>
      <c r="G27" s="151"/>
      <c r="H27"/>
      <c r="I27"/>
      <c r="J27"/>
      <c r="K27"/>
      <c r="L27"/>
      <c r="M27"/>
      <c r="N27"/>
    </row>
    <row r="28">
      <c r="A28" s="152"/>
      <c r="B28" s="153" t="str">
        <v>Passed/Failed</v>
      </c>
      <c r="C28" s="16"/>
      <c r="D28" s="17"/>
      <c r="E28" s="154" t="str">
        <v>NotRun</v>
      </c>
      <c r="F28" s="154"/>
      <c r="G28" s="154"/>
      <c r="H28"/>
      <c r="I28"/>
      <c r="J28"/>
      <c r="K28"/>
      <c r="L28"/>
      <c r="M28"/>
      <c r="N28"/>
    </row>
    <row r="29">
      <c r="A29" s="152"/>
      <c r="B29" s="155" t="str">
        <v>Executed Date</v>
      </c>
      <c r="C29" s="16"/>
      <c r="D29" s="17"/>
      <c r="E29" s="156" t="str"/>
      <c r="F29" s="156"/>
      <c r="G29" s="156"/>
      <c r="H29"/>
      <c r="I29"/>
      <c r="J29"/>
      <c r="K29"/>
      <c r="L29"/>
      <c r="M29"/>
      <c r="N29"/>
    </row>
    <row r="30">
      <c r="A30" s="157"/>
      <c r="B30" s="155" t="str">
        <v>Defect ID</v>
      </c>
      <c r="C30" s="16"/>
      <c r="D30" s="17"/>
      <c r="E30" s="158" t="str"/>
      <c r="F30" s="158"/>
      <c r="G30" s="158"/>
      <c r="H30"/>
      <c r="I30"/>
      <c r="J30"/>
      <c r="K30"/>
      <c r="L30"/>
      <c r="M30"/>
      <c r="N30"/>
    </row>
  </sheetData>
  <mergeCells count="4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</mergeCells>
</worksheet>
</file>

<file path=xl/worksheets/sheet1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Valid_query_normalizes_dates_search_and_sort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TC-677FF6DD51FB | Valid query normalizes dates search and sort
tests/TrustCabinet.Web.Tests/Meetings/MeetingListQueryParserTests.cs:40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COUNTIF(E28:T28,"P")</f>
        <v>0</v>
      </c>
      <c r="B5" s="133"/>
      <c r="C5" s="132" t="n">
        <f>COUNTIF(E28:T28,"F")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COUNTIF(E27:T27,"N")</f>
        <v>0</v>
      </c>
      <c r="L5" s="136" t="n">
        <f>COUNTIF(E27:T27,"A")</f>
        <v>0</v>
      </c>
      <c r="M5" s="136" t="n">
        <f>COUNTIF(E27:T27,"B")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Assert.Empty(errors)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Assert.NotNull(query)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Assert.Equal(MeetingStatus.Publish
ed, query.Status)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Assert.Equal(Sensitivity.Secret,
query.Sensitivity)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Assert.Equal("Giao ban",
query.Query)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Assert.Equal(new
DateTimeOffset(2026, 10, 1, 2, 0,
0, TimeSpan.Zero), query.From)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Assert.Equal(new
DateTimeOffset(2026, 10, 2, 2, 0,
0, TimeSpan.Zero), query.To)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37" customHeight="1">
      <c r="A23" s="142"/>
      <c r="B23" s="145" t="str">
        <v>Assert.Equal(2, query.Page)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37" customHeight="1">
      <c r="A24" s="142"/>
      <c r="B24" s="145" t="str">
        <v>Assert.Equal(100, query.PageSize)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Assert.Equal(MeetingSortBy.Title,
query.SortBy)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Assert.Equal(MeetingSortDirection.
Desc, query.SortDirection)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5" customHeight="1">
      <c r="A27" s="147" t="str">
        <v>Result</v>
      </c>
      <c r="B27" s="148" t="str">
        <v>Type(N : Normal, A : Abnormal, B : Boundary)</v>
      </c>
      <c r="C27" s="149"/>
      <c r="D27" s="150"/>
      <c r="E27" s="151"/>
      <c r="F27" s="151"/>
      <c r="G27" s="151"/>
      <c r="H27"/>
      <c r="I27"/>
      <c r="J27"/>
      <c r="K27"/>
      <c r="L27"/>
      <c r="M27"/>
      <c r="N27"/>
    </row>
    <row r="28">
      <c r="A28" s="152"/>
      <c r="B28" s="153" t="str">
        <v>Passed/Failed</v>
      </c>
      <c r="C28" s="16"/>
      <c r="D28" s="17"/>
      <c r="E28" s="154" t="str">
        <v>NotRun</v>
      </c>
      <c r="F28" s="154"/>
      <c r="G28" s="154"/>
      <c r="H28"/>
      <c r="I28"/>
      <c r="J28"/>
      <c r="K28"/>
      <c r="L28"/>
      <c r="M28"/>
      <c r="N28"/>
    </row>
    <row r="29">
      <c r="A29" s="152"/>
      <c r="B29" s="155" t="str">
        <v>Executed Date</v>
      </c>
      <c r="C29" s="16"/>
      <c r="D29" s="17"/>
      <c r="E29" s="156" t="str"/>
      <c r="F29" s="156"/>
      <c r="G29" s="156"/>
      <c r="H29"/>
      <c r="I29"/>
      <c r="J29"/>
      <c r="K29"/>
      <c r="L29"/>
      <c r="M29"/>
      <c r="N29"/>
    </row>
    <row r="30">
      <c r="A30" s="157"/>
      <c r="B30" s="155" t="str">
        <v>Defect ID</v>
      </c>
      <c r="C30" s="16"/>
      <c r="D30" s="17"/>
      <c r="E30" s="158" t="str"/>
      <c r="F30" s="158"/>
      <c r="G30" s="158"/>
      <c r="H30"/>
      <c r="I30"/>
      <c r="J30"/>
      <c r="K30"/>
      <c r="L30"/>
      <c r="M30"/>
      <c r="N30"/>
    </row>
  </sheetData>
  <mergeCells count="4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</mergeCells>
</worksheet>
</file>

<file path=xl/worksheets/sheet1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Timestamp_with_timezone_is_normalized_to_utc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TC-279B77B0D987 | Timestamp with timezone is normalized to utc
tests/TrustCabinet.Web.Tests/Meetings/MeetingListQueryParserTests.cs:60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string field, string timestamp, string expectedUtc)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285" customHeight="1">
      <c r="A13" s="142"/>
      <c r="B13" s="145" t="str">
        <v>InlineData("from", "2026-10-01T09:00+07:00", "2026-10-01T02:00:00Z")
InlineData("to", "2026-10-01T09:00+07:00", "2026-10-01T02:00:00Z")
InlineData("from", "2026-10-01T02:00Z", "2026-10-01T02:00:00Z")
InlineData("to", "2026-10-01T09:00-07:00", "2026-10-01T16:00:00Z")
InlineData("from", "2026-10-01T09:00:15.1234567+07:00", "2026-10-01T02:00:15.1234567Z")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Assert.Empty(errors)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Assert.NotNull(query)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88" customHeight="1">
      <c r="A18" s="142"/>
      <c r="B18" s="145" t="str">
        <v>Assert.Equal(DateTimeOffset.Parse(
expectedUtc,
CultureInfo.InvariantCulture),
actual)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Assert.Equal(TimeSpan.Zero,
actual!.Value.Offset)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Sort_field_without_direction_uses_field_default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TC-672CE9A96AC2 | Sort field without direction uses field default
tests/TrustCabinet.Web.Tests/Meetings/MeetingListQueryParserTests.cs:78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string raw, MeetingSortBy expectedBy, MeetingSortDirection expectedDirection)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83" customHeight="1">
      <c r="A13" s="142"/>
      <c r="B13" s="145" t="str">
        <v>InlineData("title", MeetingSortBy.Title, MeetingSortDirection.Asc)
InlineData("createdAt", MeetingSortBy.CreatedAt, MeetingSortDirection.Desc)
InlineData("plannedStartTime", MeetingSortBy.PlannedStartTime, MeetingSortDirection.Desc)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Assert.Empty(errors)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Assert.Equal(expectedBy,
query!.SortBy)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Assert.Equal(expectedDirection,
query.SortDirection)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Direction_without_sort_field_applies_to_planned_start_time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TC-10C8B13D11C7 | Direction without sort field applies to planned start time
tests/TrustCabinet.Web.Tests/Meetings/MeetingListQueryParserTests.cs:92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Assert.Empty(errors)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Assert.Equal(MeetingSortBy.Planned
StartTime, query!.SortBy)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Assert.Equal(MeetingSortDirection.
Asc, query.SortDirection)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Invalid_value_returns_its_field_error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TC-43D3E55DEF80 | Invalid value returns its field error
tests/TrustCabinet.Web.Tests/Meetings/MeetingListQueryParserTests.cs:102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input, string field)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390" customHeight="1">
      <c r="A13" s="142"/>
      <c r="B13" s="145" t="str">
        <v>InlineData("?status=published", "status")
InlineData("?sensitivity=Unknown", "sensitivity")
InlineData("?from=2026-10-01", "from")
InlineData("?to=2026-10-01T09:00:00", "to")
InlineData("?from=2026-10-01T09:00", "from")
InlineData("?to=2026-10-01T09:00.5Z", "to")
InlineData("?from=2026-09-31T09:00Z", "from")
InlineData("?to=2026-10-01T25:00Z", "to")
InlineData("?page=0", "page")
InlineData("?page=abc", "page")
InlineData("?pageSize=101", "pageSize")
InlineData("?pageSize=-1", "pageSize")
InlineData("?sortBy=location", "sortBy")
InlineData("?sortBy=startsAt", "sortBy")
InlineData("?sortDir=up", "sortDir")
InlineData("?status=Draft&amp;status=Published", "status")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Assert.Null(query)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Assert.Contains(field,
errors.Keys)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Reversed_range_is_invalid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TC-32E830882E97 | Reversed range is invalid
tests/TrustCabinet.Web.Tests/Meetings/MeetingListQueryParserTests.cs:127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Assert.Null(range)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Assert.Contains("to",
rangeErrors.Keys)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Large_page_is_valid_query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TC-394A8E3F5E41 | Large page is valid query
tests/TrustCabinet.Web.Tests/Meetings/MeetingListQueryParserTests.cs:137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Assert.Empty(errors)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Assert.Equal(int.MaxValue,
query!.Page)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Assert.Equal(100, query.PageSize)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Parser_reports_independent_errors_together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TC-22D661499E2D | Parser reports independent errors together
tests/TrustCabinet.Web.Tests/Meetings/MeetingListQueryParserTests.cs:147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MeetingListQueryParserTests.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Assert.Null(query)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Assert.Equal(["page", "sortDir",
"status"], errors.Keys.Order(Strin
gComparer.Ordinal))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In_memory_and_query_policies_keep_relationship_permissions_for_every_state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TC-19F88503C666 | In memory and query policies keep relationship permissions for every state
tests/TrustCabinet.Web.Tests/Meetings/MeetingReadPolicyTests.cs:22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MeetingReadPolicyTests. Dynamic data is resolved during execution.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MeetingStatus status, bool assignedApproverCanRead, bool memberCanRead)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MemberData(nameof(ReadStates))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Assert.Equal(canRead,
MeetingReadPolicy.CanRead(meeting,
userId))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Assert.Equal(canRead, MeetingReadP
olicy.ForUser(userId).Compile()(me
eting))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Assert.Equal(canReadFullHistory, M
eetingReadPolicy.CanReadFullHistor
y(meeting, userId))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Reassignment_revokes_the_old_approver_without_caching_the_previous_caller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TC-26C28954A4E6 | Reassignment revokes the old approver without caching the previous caller
tests/TrustCabinet.Web.Tests/Meetings/MeetingReadPolicyTests.cs:61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MeetingReadPolicyTests.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Assert.True(MeetingReadPolicy.CanR
ead(meeting, oldApprover))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Assert.False(MeetingReadPolicy.Can
Read(meeting, newApprover))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Assert.False(MeetingReadPolicy.Can
Read(meeting, oldApprover))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Assert.False(oldApproverQuery(meet
ing))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Assert.False(MeetingReadPolicy.Can
ReadFullHistory(meeting,
oldApprover))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Assert.True(MeetingReadPolicy.CanR
ead(meeting, newApprover))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Assert.True(newApproverQuery(meeti
ng))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71" customHeight="1">
      <c r="A23" s="142"/>
      <c r="B23" s="145" t="str">
        <v>Assert.True(MeetingReadPolicy.CanR
eadFullHistory(meeting,
newApprover))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1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Assigned_secretary_can_read_content_and_rejection_evidence_without_transfer_metadata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TC-6AE83E54307B | Assigned secretary can read content and rejection evidence without transfer metadata
tests/TrustCabinet.Web.Tests/Meetings/MeetingReadPolicyTests.cs:89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MeetingReadPolicyTests. Dynamic data is resolved during execution.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MeetingStatus status, bool assignedApproverCanRead, bool memberCanRead)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MemberData(nameof(ReadStates))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Assert.True(MeetingReadPolicy.CanR
eadHistory(meeting, secretary.Id))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Assert.True(MeetingReadPolicy.CanR
eadRejectionReason(meeting,
secretary.Id))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Assert.False(MeetingReadPolicy.Can
ReadFullHistory(meeting,
secretary.Id))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Assert.True(MeetingReadPolicy.CanR
ead(meeting, secretary.Id))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Assert.True(MeetingReadPolicy.ForU
ser(secretary.Id).Compile()(meetin
g))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1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Assigned_chair_reads_content_and_redacted_history_only_after_publication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TC-3CCD6AC36BC9 | Assigned chair reads content and redacted history only after publication
tests/TrustCabinet.Web.Tests/Meetings/MeetingReadPolicyTests.cs:114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MeetingReadPolicyTests. Dynamic data is resolved during execution.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MeetingStatus status, bool assignedApproverCanRead, bool memberCanRead)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MemberData(nameof(ReadStates))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Assert.Equal(memberCanRead,
MeetingReadPolicy.CanRead(meeting,
chair))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Assert.Equal(memberCanRead, Meetin
gReadPolicy.ForUser(chair).Compile
()(meeting))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Assert.Equal(memberCanRead, Meetin
gReadPolicy.CanReadHistory(meeting
, chair))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Assert.False(MeetingReadPolicy.Can
ReadFullHistory(meeting, chair))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Assert.False(MeetingReadPolicy.Can
ReadRejectionReason(meeting,
chair))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1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Unassigned_or_ineligible_secretary_cannot_read_prepublication_rejection_evidence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TC-053DAB6380F5 | Unassigned or ineligible secretary cannot read prepublication rejection evidence
tests/TrustCabinet.Web.Tests/Meetings/MeetingReadPolicyTests.cs:138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MeetingReadPolicyTests.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scenario)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15" customHeight="1">
      <c r="A13" s="142"/>
      <c r="B13" s="145" t="str">
        <v>InlineData("member")
InlineData("delegated")
InlineData("delegateReference")
InlineData("otherMeeting")
InlineData("otherUser")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Assert.False(MeetingReadPolicy.Can
ReadHistory(meeting, user.Id))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Assert.False(MeetingReadPolicy.Can
ReadRejectionReason(meeting,
user.Id))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Invalid_participant_assignment_never_grants_content_access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TC-045BE3F41C2E | Invalid participant assignment never grants content access
tests/TrustCabinet.Web.Tests/Meetings/MeetingReadPolicyTests.cs:169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MeetingReadPolicyTests.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(MeetingRole role, string scenario)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66" customHeight="1">
      <c r="A13" s="142"/>
      <c r="B13" s="145" t="str">
        <v>InlineData(MeetingRole.Chair, "delegated")
InlineData(MeetingRole.Secretary, "delegateReference")
InlineData(MeetingRole.Member, "otherMeeting")
InlineData(MeetingRole.Member, "otherUser")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Assert.False(MeetingReadPolicy.Can
Read(meeting, userId))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Assert.False(MeetingReadPolicy.For
User(userId).Compile()(meeting))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Create_rejects_a_missing_or_blank_title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TC-BD4D519B552E | Create rejects a missing or blank title
tests/TrustCabinet.Web.Tests/Meetings/MeetingServiceTests.cs:83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(string? title)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InlineData(null)
InlineData("")
InlineData("   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Assert.Equal(MeetingOutcome.Invali
dInformation,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Assert.Contains("title",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Assert.Empty(_repository.Meetings)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Assert.Equal(0,
_repository.SaveCount)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Validation_collects_field_errors_and_enforces_lengths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TC-2ABED061D1D0 | Validation collects field errors and enforces lengths
tests/TrustCabinet.Web.Tests/Meetings/MeetingServiceTests.cs:99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Assert.Equal(MeetingOutcome.Invali
dInformation,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Assert.Equal(5,
result.Errors!.Count)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Assert.Contains("title",
result.Errors.Keys)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Assert.Contains("mode",
result.Errors.Keys)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Assert.Contains("location",
result.Errors.Keys)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Assert.Contains("sensitivity",
result.Errors.Keys)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Assert.Contains("description",
result.Errors.Keys)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1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Create_accepts_each_supported_mode_and_sensitivity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TC-254C828602C8 | Create accepts each supported mode and sensitivity
tests/TrustCabinet.Web.Tests/Meetings/MeetingServiceTests.cs:120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COUNTIF(E28:T28,"P")</f>
        <v>0</v>
      </c>
      <c r="B5" s="133"/>
      <c r="C5" s="132" t="n">
        <f>COUNTIF(E28:T28,"F")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COUNTIF(E27:T27,"N")</f>
        <v>0</v>
      </c>
      <c r="L5" s="136" t="n">
        <f>COUNTIF(E27:T27,"A")</f>
        <v>0</v>
      </c>
      <c r="M5" s="136" t="n">
        <f>COUNTIF(E27:T27,"B")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mode, string sensitivity)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15" customHeight="1">
      <c r="A13" s="142"/>
      <c r="B13" s="145" t="str">
        <v>InlineData("InPerson", "Normal")
InlineData("Online", "Internal")
InlineData("Hybrid", "Confidential")
InlineData("InPerson", "Secret")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Assert.Equal("Giao ban",
meeting.Title)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Assert.Equal("Phòng A",
meeting.Location)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Assert.Equal("Có\nxuống dòng",
meeting.Description)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Assert.Equal(MeetingStatus.Draft,
meeting.Status)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Assert.Equal(_actorId,
meeting.CreatedById)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Assert.Single(meeting.StatusHistor
y)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37" customHeight="1">
      <c r="A24" s="142"/>
      <c r="B24" s="145" t="str">
        <v>Assert.Null(history.FromStatus)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Assert.Equal(MeetingStatus.Draft,
history.ToStatus)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Assert.Equal(_actorId,
history.ActorId)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5" customHeight="1">
      <c r="A27" s="147" t="str">
        <v>Result</v>
      </c>
      <c r="B27" s="148" t="str">
        <v>Type(N : Normal, A : Abnormal, B : Boundary)</v>
      </c>
      <c r="C27" s="149"/>
      <c r="D27" s="150"/>
      <c r="E27" s="151"/>
      <c r="F27" s="151"/>
      <c r="G27" s="151"/>
      <c r="H27"/>
      <c r="I27"/>
      <c r="J27"/>
      <c r="K27"/>
      <c r="L27"/>
      <c r="M27"/>
      <c r="N27"/>
    </row>
    <row r="28">
      <c r="A28" s="152"/>
      <c r="B28" s="153" t="str">
        <v>Passed/Failed</v>
      </c>
      <c r="C28" s="16"/>
      <c r="D28" s="17"/>
      <c r="E28" s="154" t="str">
        <v>NotRun</v>
      </c>
      <c r="F28" s="154"/>
      <c r="G28" s="154"/>
      <c r="H28"/>
      <c r="I28"/>
      <c r="J28"/>
      <c r="K28"/>
      <c r="L28"/>
      <c r="M28"/>
      <c r="N28"/>
    </row>
    <row r="29">
      <c r="A29" s="152"/>
      <c r="B29" s="155" t="str">
        <v>Executed Date</v>
      </c>
      <c r="C29" s="16"/>
      <c r="D29" s="17"/>
      <c r="E29" s="156" t="str"/>
      <c r="F29" s="156"/>
      <c r="G29" s="156"/>
      <c r="H29"/>
      <c r="I29"/>
      <c r="J29"/>
      <c r="K29"/>
      <c r="L29"/>
      <c r="M29"/>
      <c r="N29"/>
    </row>
    <row r="30">
      <c r="A30" s="157"/>
      <c r="B30" s="155" t="str">
        <v>Defect ID</v>
      </c>
      <c r="C30" s="16"/>
      <c r="D30" s="17"/>
      <c r="E30" s="158" t="str"/>
      <c r="F30" s="158"/>
      <c r="G30" s="158"/>
      <c r="H30"/>
      <c r="I30"/>
      <c r="J30"/>
      <c r="K30"/>
      <c r="L30"/>
      <c r="M30"/>
      <c r="N30"/>
    </row>
  </sheetData>
  <mergeCells count="4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</mergeCells>
</worksheet>
</file>

<file path=xl/worksheets/sheet1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Create_uses_form_defaults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TC-53096925C2BD | Create uses form defaults
tests/TrustCabinet.Web.Tests/Meetings/MeetingServiceTests.cs:145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Assert.Equal(MeetingMode.InPerson,
meeting.Mode)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Assert.Equal(Sensitivity.Normal,
meeting.Sensitivity)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Create_accepts_the_documented_maximum_lengths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TC-5C5FAA871801 | Create accepts the documented maximum lengths
tests/TrustCabinet.Web.Tests/Meetings/MeetingServiceTests.cs:157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Assert.Equal(300,
meeting.Title.Length)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Assert.Equal(300,
meeting.Location.Length)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Assert.Equal(4000,
meeting.Description.Length)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1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Create_stores_the_planned_schedule_in_utc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TC-536386F45EFF | Create stores the planned schedule in utc
tests/TrustCabinet.Web.Tests/Meetings/MeetingServiceTests.cs:174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88" customHeight="1">
      <c r="A18" s="142"/>
      <c r="B18" s="145" t="str">
        <v>Assert.Equal(new
DateTimeOffset(2099, 3, 1, 2, 0,
0, TimeSpan.Zero),
meeting.PlannedStartTime)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Assert.Equal(TimeSpan.Zero,
meeting.PlannedStartTime.Offset)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88" customHeight="1">
      <c r="A20" s="142"/>
      <c r="B20" s="145" t="str">
        <v>Assert.Equal(new
DateTimeOffset(2099, 3, 1, 3, 30,
0, TimeSpan.Zero),
meeting.PlannedEndTime)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Assert.Equal("https://meet.example
.vn/x", meeting.OnlineLink)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Assert.Null(meeting.ActualStartedA
t)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1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Create_rejects_a_time_without_an_offset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TC-575AB13BB94C | Create rejects a time without an offset
tests/TrustCabinet.Web.Tests/Meetings/MeetingServiceTests.cs:195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start)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81" customHeight="1">
      <c r="A13" s="142"/>
      <c r="B13" s="145" t="str">
        <v>InlineData("2099-03-01 09:00")
InlineData("2099-03-01T09:00:00")
InlineData("not a time")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Assert.Equal(MeetingOutcome.Invali
dInformation,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Assert.Contains("plannedStartTime"
, 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Update_of_a_draft_keeps_a_start_that_has_already_passed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TC-9E10EE932159 | Update of a draft keeps a start that has already passed
tests/TrustCabinet.Web.Tests/Meetings/MeetingServiceTests.cs:207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Assert.False(result.Rescheduled)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Assert.Equal(past.ToUnixTimeSecond
s(), meeting.PlannedStartTime.ToUn
ixTimeSeconds())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Create_leaves_the_approver_unassigned_until_submission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TC-45AB5813C484 | Create leaves the approver unassigned until submission
tests/TrustCabinet.Web.Tests/Meetings/MeetingServiceTests.cs:220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Assert.Null(Assert.Single(_reposit
ory.Meetings).AssignedApproverId)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Create_does_not_assign_or_validate_a_draft_approver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TC-D8E08F584AB2 | Create does not assign or validate a draft approver
tests/TrustCabinet.Web.Tests/Meetings/MeetingServiceTests.cs:239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Assert.Null(Assert.Single(_reposit
ory.Meetings).AssignedApproverId)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1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Update_changes_draft_fields_and_preserves_assignment_without_changing_lifecycle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TC-B478CC7016C5 | Update changes draft fields and preserves assignment without changing lifecycle
tests/TrustCabinet.Web.Tests/Meetings/MeetingServiceTests.cs:251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COUNTIF(E26:T26,"P")</f>
        <v>0</v>
      </c>
      <c r="B5" s="133"/>
      <c r="C5" s="132" t="n">
        <f>COUNTIF(E26:T26,"F")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COUNTIF(E25:T25,"N")</f>
        <v>0</v>
      </c>
      <c r="L5" s="136" t="n">
        <f>COUNTIF(E25:T25,"A")</f>
        <v>0</v>
      </c>
      <c r="M5" s="136" t="n">
        <f>COUNTIF(E25:T25,"B")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Assert.Equal("Giao ban mới",
saved.Title)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Assert.Equal(MeetingMode.Hybrid,
saved.Mode)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Assert.Equal(Sensitivity.Secret,
saved.Sensitivity)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Assert.Equal(MeetingStatus.Draft,
saved.Status)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Assert.Equal(_otherActorId,
saved.AssignedApproverId)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Assert.Equal(_actorId,
saved.CreatedById)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Assert.Equal(priorHistory,
saved.StatusHistory)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5" customHeight="1">
      <c r="A25" s="147" t="str">
        <v>Result</v>
      </c>
      <c r="B25" s="148" t="str">
        <v>Type(N : Normal, A : Abnormal, B : Boundary)</v>
      </c>
      <c r="C25" s="149"/>
      <c r="D25" s="150"/>
      <c r="E25" s="151"/>
      <c r="F25" s="151"/>
      <c r="G25" s="151"/>
      <c r="H25"/>
      <c r="I25"/>
      <c r="J25"/>
      <c r="K25"/>
      <c r="L25"/>
      <c r="M25"/>
      <c r="N25"/>
    </row>
    <row r="26">
      <c r="A26" s="152"/>
      <c r="B26" s="153" t="str">
        <v>Passed/Failed</v>
      </c>
      <c r="C26" s="16"/>
      <c r="D26" s="17"/>
      <c r="E26" s="154" t="str">
        <v>NotRun</v>
      </c>
      <c r="F26" s="154"/>
      <c r="G26" s="154"/>
      <c r="H26"/>
      <c r="I26"/>
      <c r="J26"/>
      <c r="K26"/>
      <c r="L26"/>
      <c r="M26"/>
      <c r="N26"/>
    </row>
    <row r="27">
      <c r="A27" s="152"/>
      <c r="B27" s="155" t="str">
        <v>Executed Date</v>
      </c>
      <c r="C27" s="16"/>
      <c r="D27" s="17"/>
      <c r="E27" s="156" t="str"/>
      <c r="F27" s="156"/>
      <c r="G27" s="156"/>
      <c r="H27"/>
      <c r="I27"/>
      <c r="J27"/>
      <c r="K27"/>
      <c r="L27"/>
      <c r="M27"/>
      <c r="N27"/>
    </row>
    <row r="28">
      <c r="A28" s="157"/>
      <c r="B28" s="155" t="str">
        <v>Defect ID</v>
      </c>
      <c r="C28" s="16"/>
      <c r="D28" s="17"/>
      <c r="E28" s="158" t="str"/>
      <c r="F28" s="158"/>
      <c r="G28" s="158"/>
      <c r="H28"/>
      <c r="I28"/>
      <c r="J28"/>
      <c r="K28"/>
      <c r="L28"/>
      <c r="M28"/>
      <c r="N28"/>
    </row>
  </sheetData>
  <mergeCells count="40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</mergeCells>
</worksheet>
</file>

<file path=xl/worksheets/sheet1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Update_uses_form_defaults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TC-5A4F7044A4C6 | Update uses form defaults
tests/TrustCabinet.Web.Tests/Meetings/MeetingServiceTests.cs:274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Assert.Equal(MeetingMode.InPerson,
saved.Mode)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Assert.Equal(Sensitivity.Normal,
saved.Sensitivity)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Update_changes_rejected_information_without_changing_assignment_or_rejection_history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TC-24B390396CF8 | Update changes rejected information without changing assignment or rejection history
tests/TrustCabinet.Web.Tests/Meetings/MeetingServiceTests.cs:290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COUNTIF(E27:T27,"P")</f>
        <v>0</v>
      </c>
      <c r="B5" s="133"/>
      <c r="C5" s="132" t="n">
        <f>COUNTIF(E27:T27,"F")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COUNTIF(E26:T26,"N")</f>
        <v>0</v>
      </c>
      <c r="L5" s="136" t="n">
        <f>COUNTIF(E26:T26,"A")</f>
        <v>0</v>
      </c>
      <c r="M5" s="136" t="n">
        <f>COUNTIF(E26:T26,"B")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Assert.True(check.Succeeded)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Assert.Equal("Đã bổ sung số liệu",
meeting.Title)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Assert.Equal(MeetingStatus.Rejecte
d, meeting.Status)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Assert.Equal(_otherActorId,
meeting.AssignedApproverId)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Assert.Same(rejection, Assert.Sing
le(meeting.StatusHistory))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Assert.Equal("Cần bổ sung số
liệu", rejection.Reason)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Assert.Equal(1,
_repository.SaveCount)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Assert.Empty(_repository.Notificat
ions)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Assert.Empty(_repository.EmailMess
ages)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5" customHeight="1">
      <c r="A26" s="147" t="str">
        <v>Result</v>
      </c>
      <c r="B26" s="148" t="str">
        <v>Type(N : Normal, A : Abnormal, B : Boundary)</v>
      </c>
      <c r="C26" s="149"/>
      <c r="D26" s="150"/>
      <c r="E26" s="151"/>
      <c r="F26" s="151"/>
      <c r="G26" s="151"/>
      <c r="H26"/>
      <c r="I26"/>
      <c r="J26"/>
      <c r="K26"/>
      <c r="L26"/>
      <c r="M26"/>
      <c r="N26"/>
    </row>
    <row r="27">
      <c r="A27" s="152"/>
      <c r="B27" s="153" t="str">
        <v>Passed/Failed</v>
      </c>
      <c r="C27" s="16"/>
      <c r="D27" s="17"/>
      <c r="E27" s="154" t="str">
        <v>NotRun</v>
      </c>
      <c r="F27" s="154"/>
      <c r="G27" s="154"/>
      <c r="H27"/>
      <c r="I27"/>
      <c r="J27"/>
      <c r="K27"/>
      <c r="L27"/>
      <c r="M27"/>
      <c r="N27"/>
    </row>
    <row r="28">
      <c r="A28" s="152"/>
      <c r="B28" s="155" t="str">
        <v>Executed Date</v>
      </c>
      <c r="C28" s="16"/>
      <c r="D28" s="17"/>
      <c r="E28" s="156" t="str"/>
      <c r="F28" s="156"/>
      <c r="G28" s="156"/>
      <c r="H28"/>
      <c r="I28"/>
      <c r="J28"/>
      <c r="K28"/>
      <c r="L28"/>
      <c r="M28"/>
      <c r="N28"/>
    </row>
    <row r="29">
      <c r="A29" s="157"/>
      <c r="B29" s="155" t="str">
        <v>Defect ID</v>
      </c>
      <c r="C29" s="16"/>
      <c r="D29" s="17"/>
      <c r="E29" s="158" t="str"/>
      <c r="F29" s="158"/>
      <c r="G29" s="158"/>
      <c r="H29"/>
      <c r="I29"/>
      <c r="J29"/>
      <c r="K29"/>
      <c r="L29"/>
      <c r="M29"/>
      <c r="N29"/>
    </row>
  </sheetData>
  <mergeCells count="41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</mergeCells>
</worksheet>
</file>

<file path=xl/worksheets/sheet1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Update_returns_validation_errors_without_saving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TC-A1E8328E6A8F | Update returns validation errors without saving
tests/TrustCabinet.Web.Tests/Meetings/MeetingServiceTests.cs:324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InlineData(MeetingStatus.Draft)
InlineData(MeetingStatus.Rejected)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Assert.Equal(MeetingOutcome.Invali
dInformation,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Assert.Contains("title",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Assert.Equal(oldTitle, Assert.Sing
le(_repository.Meetings).Title)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Assert.Equal(0,
_repository.SaveCount)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Update_rejects_a_meeting_outside_draft_rejected_or_published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TC-6DA53B185C87 | Update rejects a meeting outside draft rejected or published
tests/TrustCabinet.Web.Tests/Meetings/MeetingServiceTests.cs:343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15" customHeight="1">
      <c r="A13" s="142"/>
      <c r="B13" s="145" t="str">
        <v>InlineData(MeetingStatus.WaitingApproval)
InlineData(MeetingStatus.Approved)
InlineData(MeetingStatus.InProgress)
InlineData(MeetingStatus.Ended)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Assert.Equal(MeetingOutcome.NotEdi
table,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Assert.Equal(oldTitle, Assert.Sing
le(_repository.Meetings).Title)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Assert.Equal(0,
_repository.SaveCount)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Update_does_not_save_when_information_is_unchanged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TC-10CC1A933B45 | Update does not save when information is unchanged
tests/TrustCabinet.Web.Tests/Meetings/MeetingServiceTests.cs:363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status, bool assigned)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32" customHeight="1">
      <c r="A13" s="142"/>
      <c r="B13" s="145" t="str">
        <v>InlineData(MeetingStatus.Draft, false)
InlineData(MeetingStatus.Rejected, false)
InlineData(MeetingStatus.Rejected, true)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Assert.Equal(updatedAt,
meeting.UpdatedAt)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Assert.Equal(status,
meeting.Status)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71" customHeight="1">
      <c r="A19" s="142"/>
      <c r="B19" s="145" t="str">
        <v>Assert.Equal(assigned ?
_otherActorId : (Guid?)null,
meeting.AssignedApproverId)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Assert.Equal(0,
_repository.SaveCount)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Assert.Empty(_repository.Notificat
ions)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Assert.Empty(_repository.EmailMess
ages)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1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Update_preserves_a_draft_assignment_when_information_is_unchanged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TC-AFB301786BDC | Update preserves a draft assignment when information is unchanged
tests/TrustCabinet.Web.Tests/Meetings/MeetingServiceTests.cs:386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Assert.Equal(MeetingStatus.Draft,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Assert.Equal(_otherActorId,
meeting.AssignedApproverId)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Assert.Equal(0,
_repository.SaveCount)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Get_and_update_return_the_same_not_found_for_missing_or_other_owners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TC-F1CC6930CE91 | Get and update return the same not found for missing or other owners
tests/TrustCabinet.Web.Tests/Meetings/MeetingServiceTests.cs:400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InlineData(MeetingStatus.Draft)
InlineData(MeetingStatus.Rejected)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Assert.Equal(MeetingOutcome.NotFou
nd, missing.Outcome)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Assert.Equal(missing, otherOwner)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Assert.Equal(MeetingOutcome.NotFou
nd, cannotUpdate.Outcome)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1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Get_allows_the_assigned_approver_and_a_meeting_participant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TC-392B5D7A69FA | Get allows the assigned approver and a meeting participant
tests/TrustCabinet.Web.Tests/Meetings/MeetingServiceTests.cs:417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Assert.True(approverResult.Succeed
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Assert.Equal(meeting.Id,
approverResult.Meeting!.Id)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Assert.True(participantResult.Succ
eeded)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Assert.Equal(meeting.Id,
participantResult.Meeting!.Id)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1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Get_returns_a_read_failure_when_the_repository_fails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TC-EE4E65CFB6CC | Get returns a read failure when the repository fails
tests/TrustCabinet.Web.Tests/Meetings/MeetingServiceTests.cs:440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Assert.Equal(MeetingOutcome.ReadFa
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1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List_forwards_criteria_and_actor_and_returns_the_page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TC-8CD3966AED22 | List forwards criteria and actor and returns the page
tests/TrustCabinet.Web.Tests/Meetings/MeetingServiceTests.cs:450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Assert.Equal(MeetingOutcome.Succes
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Assert.Same(query,
_repository.LastListQuery)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Assert.Equal(_actorId,
_repository.LastListActorId)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Assert.Equal(meeting.Id, Assert.Si
ngle(result.Page!.Items).Id)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Assert.Equal(1,
result.Page.TotalCount)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List_maps_a_database_failure_to_read_failed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TC-E22B7F8D14A3 | List maps a database failure to read failed
tests/TrustCabinet.Web.Tests/Meetings/MeetingServiceTests.cs:467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Assert.Equal(MeetingOutcome.ReadFa
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Assert.Null(result.Page)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Assert.Equal(LogLevel.Error,
logger.LastLevel)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Assert.Same(failure,
logger.LastException)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List_propagates_request_cancellation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TC-6FD9FE318439 | List propagates request cancellation
tests/TrustCabinet.Web.Tests/Meetings/MeetingServiceTests.cs:485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Assert.ThrowsAnyAsync&lt;OperationCan
celedException&gt;(
            () =&gt;
NewService().ListAsync(query,
_actorId, source.Token))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List_eligible_approvers_returns_the_repository_options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TC-0B1071CD856C | List eligible approvers returns the repository options
tests/TrustCabinet.Web.Tests/Meetings/MeetingServiceTests.cs:499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Assert.Equal(MeetingOutcome.Succes
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Assert.Equal(expected,
result.Approvers)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List_eligible_approvers_maps_database_failure_to_read_failed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TC-2FC8BCD252C0 | List eligible approvers maps database failure to read failed
tests/TrustCabinet.Web.Tests/Meetings/MeetingServiceTests.cs:515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Assert.Equal(MeetingOutcome.ReadFa
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Assert.Null(result.Approvers)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Save_failure_is_returned_as_a_service_failure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TC-8E69F46DA0CA | Save failure is returned as a service failure
tests/TrustCabinet.Web.Tests/Meetings/MeetingServiceTests.cs:526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Assert.Equal(MeetingOutcome.SaveFa
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Assert.Empty(_repository.Meetings)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Update_save_failure_is_returned_and_does_not_keep_mutated_values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TC-6438422FA30C | Update save failure is returned and does not keep mutated values
tests/TrustCabinet.Web.Tests/Meetings/MeetingServiceTests.cs:537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Assert.Equal(MeetingOutcome.SaveFa
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Assert.Equal("Giao ban tuần", Asse
rt.Single(_repository.Meetings).Ti
tle)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Assert.Equal(1,
_repository.SaveCount)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Submission_readiness_does_not_depend_on_agenda_content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TC-4277C1B81EC8 | Submission readiness does not depend on agenda content
tests/TrustCabinet.Web.Tests/Meetings/MeetingSubmissionReadinessTests.cs:11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MeetingSubmissionReadinessTests.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Assert.Empty(MeetingSubmissionRead
inessRules.Validate(meeting))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Assert.Empty(MeetingSubmissionRead
inessRules.Validate(meeting))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Submission_readiness_requires_a_valid_planned_schedule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TC-5D0887D7898E | Submission readiness requires a valid planned schedule
tests/TrustCabinet.Web.Tests/Meetings/MeetingSubmissionReadinessTests.cs:29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MeetingSubmissionReadinessTests.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Assert.Contains("plannedStartTime"
, missing.Keys)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Assert.Contains("plannedEndTime",
missing.Keys)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122" customHeight="1">
      <c r="A18" s="142"/>
      <c r="B18" s="145" t="str">
        <v>Assert.Equal(
            "Thời gian kết thúc
phải sau thời gian bắt đầu.",
            MeetingSubmissionReadi
nessRules.Validate(meeting)["plann
edEndTime"])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Meeting_readiness_reuses_information_rules_and_keeps_optional_fields_optional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TC-9579C00299A9 | Meeting readiness reuses information rules and keeps optional fields optional
tests/TrustCabinet.Web.Tests/Meetings/MeetingSubmissionReadinessTests.cs:52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MeetingSubmissionReadinessTests.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Assert.Empty(MeetingSubmissionRead
inessRules.Validate(meeting))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Assert.Contains("title",
invalid.Keys)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Assert.Contains("sensitivity",
invalid.Keys)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Assert.Contains("description",
invalid.Keys)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Assert.Contains("onlineLink",
invalid.Keys)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Submit_records_assignment_history_and_approver_notification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TC-61A2C0C4FC46 | Submit records assignment history and approver notification
tests/TrustCabinet.Web.Tests/Meetings/MeetingWorkflowServiceTests.cs:69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COUNTIF(E29:T29,"P")</f>
        <v>0</v>
      </c>
      <c r="B5" s="133"/>
      <c r="C5" s="132" t="n">
        <f>COUNTIF(E29:T29,"F")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COUNTIF(E28:T28,"N")</f>
        <v>0</v>
      </c>
      <c r="L5" s="136" t="n">
        <f>COUNTIF(E28:T28,"A")</f>
        <v>0</v>
      </c>
      <c r="M5" s="136" t="n">
        <f>COUNTIF(E28:T28,"B")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Assert.Equal(MeetingStatus.Waiting
Approval,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Assert.Equal(_approverId,
meeting.AssignedApproverId)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Assert.Single(meeting.StatusHistor
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Assert.Equal(MeetingHistoryAction.
SubmitForApproval, history.Action)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Assert.Equal(_approverId,
history.AssignedApproverId)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Assert.Single(_repository.Notifica
tions)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Assert.Equal(_approverId,
notification.UserId)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71" customHeight="1">
      <c r="A24" s="142"/>
      <c r="B24" s="145" t="str">
        <v>Assert.Equal(NotificationType.Meet
ingWaitingApproval,
notification.Type)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Assert.Equal("Meeting",
notification.TargetType)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Assert.Equal(meeting.Id,
notification.TargetId)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4" customHeight="1">
      <c r="A27" s="142"/>
      <c r="B27" s="145" t="str">
        <v>Assert.Empty(_repository.EmailMess
ages)</v>
      </c>
      <c r="C27" s="16"/>
      <c r="D27" s="17"/>
      <c r="E27" s="146" t="str">
        <v>O</v>
      </c>
      <c r="F27" s="144"/>
      <c r="G27" s="144"/>
      <c r="H27"/>
      <c r="I27"/>
      <c r="J27"/>
      <c r="K27"/>
      <c r="L27"/>
      <c r="M27"/>
      <c r="N27"/>
    </row>
    <row r="28" ht="55" customHeight="1">
      <c r="A28" s="147" t="str">
        <v>Result</v>
      </c>
      <c r="B28" s="148" t="str">
        <v>Type(N : Normal, A : Abnormal, B : Boundary)</v>
      </c>
      <c r="C28" s="149"/>
      <c r="D28" s="150"/>
      <c r="E28" s="151"/>
      <c r="F28" s="151"/>
      <c r="G28" s="151"/>
      <c r="H28"/>
      <c r="I28"/>
      <c r="J28"/>
      <c r="K28"/>
      <c r="L28"/>
      <c r="M28"/>
      <c r="N28"/>
    </row>
    <row r="29">
      <c r="A29" s="152"/>
      <c r="B29" s="153" t="str">
        <v>Passed/Failed</v>
      </c>
      <c r="C29" s="16"/>
      <c r="D29" s="17"/>
      <c r="E29" s="154" t="str">
        <v>NotRun</v>
      </c>
      <c r="F29" s="154"/>
      <c r="G29" s="154"/>
      <c r="H29"/>
      <c r="I29"/>
      <c r="J29"/>
      <c r="K29"/>
      <c r="L29"/>
      <c r="M29"/>
      <c r="N29"/>
    </row>
    <row r="30">
      <c r="A30" s="152"/>
      <c r="B30" s="155" t="str">
        <v>Executed Date</v>
      </c>
      <c r="C30" s="16"/>
      <c r="D30" s="17"/>
      <c r="E30" s="156" t="str"/>
      <c r="F30" s="156"/>
      <c r="G30" s="156"/>
      <c r="H30"/>
      <c r="I30"/>
      <c r="J30"/>
      <c r="K30"/>
      <c r="L30"/>
      <c r="M30"/>
      <c r="N30"/>
    </row>
    <row r="31">
      <c r="A31" s="157"/>
      <c r="B31" s="155" t="str">
        <v>Defect ID</v>
      </c>
      <c r="C31" s="16"/>
      <c r="D31" s="17"/>
      <c r="E31" s="158" t="str"/>
      <c r="F31" s="158"/>
      <c r="G31" s="158"/>
      <c r="H31"/>
      <c r="I31"/>
      <c r="J31"/>
      <c r="K31"/>
      <c r="L31"/>
      <c r="M31"/>
      <c r="N31"/>
    </row>
  </sheetData>
  <mergeCells count="4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</mergeCells>
</worksheet>
</file>

<file path=xl/worksheets/sheet2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Approve_notifies_the_organizer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TC-65AF745F43B0 | Approve notifies the organizer
tests/TrustCabinet.Web.Tests/Meetings/MeetingWorkflowServiceTests.cs:94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Assert.Single(_repository.Notifica
tions)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Assert.Equal(_organizerId,
notification.UserId)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Assert.Equal(NotificationType.Meet
ingApproved, notification.Type)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Assert.Equal(meeting.Id,
notification.TargetId)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Assert.Equal(meeting.StatusHistory
.Single().Id,
notification.OriginHistoryId)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2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Reject_notifies_the_organizer_with_the_reason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TC-762D81FE3B7E | Reject notifies the organizer with the reason
tests/TrustCabinet.Web.Tests/Meetings/MeetingWorkflowServiceTests.cs:110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Assert.Single(_repository.Notifica
tions)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Assert.Equal(_organizerId,
notification.UserId)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Assert.Equal(NotificationType.Meet
ingRejected, notification.Type)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Assert.Contains("Thiếu số liệu quý
3", notification.Body)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Assert.Equal(meeting.StatusHistory
.Single().Id,
notification.OriginHistoryId)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2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Rejected_meeting_returns_to_draft_with_a_new_history_without_losing_reason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TC-A19BF1DA7AF9 | Rejected meeting returns to draft with a new history without losing reason
tests/TrustCabinet.Web.Tests/Meetings/MeetingWorkflowServiceTests.cs:128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COUNTIF(E28:T28,"P")</f>
        <v>0</v>
      </c>
      <c r="B5" s="133"/>
      <c r="C5" s="132" t="n">
        <f>COUNTIF(E28:T28,"F")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COUNTIF(E27:T27,"N")</f>
        <v>0</v>
      </c>
      <c r="L5" s="136" t="n">
        <f>COUNTIF(E27:T27,"A")</f>
        <v>0</v>
      </c>
      <c r="M5" s="136" t="n">
        <f>COUNTIF(E27:T27,"B")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Assert.Equal(MeetingStatus.Draft,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Assert.Null(meeting.AssignedApprov
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Assert.Equal(2,
meeting.StatusHistory.Count)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Assert.Equal("Cần bổ sung số
liệu", meeting.StatusHistory.First
().Reason)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Assert.Equal(MeetingHistoryAction.
ReturnToDraft, meeting.StatusHisto
ry.Last().Action)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Assert.Equal(_approverId, meeting.
StatusHistory.First().AssignedAppr
overId)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Assert.Empty(_repository.EmailMess
ages)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Assert.Empty(_repository.Notificat
ions)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105" customHeight="1">
      <c r="A25" s="142"/>
      <c r="B25" s="145" t="str">
        <v>Assert.Equal(MeetingWorkflowOutcom
e.NotFound,
            (await NewService().Ge
tHistoryAsync(meeting.Id,
_approverId, 1, 20)).Outcome)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105" customHeight="1">
      <c r="A26" s="142"/>
      <c r="B26" s="145" t="str">
        <v>Assert.Equal(MeetingWorkflowOutcom
e.Success,
            (await NewService().Ge
tHistoryAsync(meeting.Id,
_organizerId, 1, 20)).Outcome)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5" customHeight="1">
      <c r="A27" s="147" t="str">
        <v>Result</v>
      </c>
      <c r="B27" s="148" t="str">
        <v>Type(N : Normal, A : Abnormal, B : Boundary)</v>
      </c>
      <c r="C27" s="149"/>
      <c r="D27" s="150"/>
      <c r="E27" s="151"/>
      <c r="F27" s="151"/>
      <c r="G27" s="151"/>
      <c r="H27"/>
      <c r="I27"/>
      <c r="J27"/>
      <c r="K27"/>
      <c r="L27"/>
      <c r="M27"/>
      <c r="N27"/>
    </row>
    <row r="28">
      <c r="A28" s="152"/>
      <c r="B28" s="153" t="str">
        <v>Passed/Failed</v>
      </c>
      <c r="C28" s="16"/>
      <c r="D28" s="17"/>
      <c r="E28" s="154" t="str">
        <v>NotRun</v>
      </c>
      <c r="F28" s="154"/>
      <c r="G28" s="154"/>
      <c r="H28"/>
      <c r="I28"/>
      <c r="J28"/>
      <c r="K28"/>
      <c r="L28"/>
      <c r="M28"/>
      <c r="N28"/>
    </row>
    <row r="29">
      <c r="A29" s="152"/>
      <c r="B29" s="155" t="str">
        <v>Executed Date</v>
      </c>
      <c r="C29" s="16"/>
      <c r="D29" s="17"/>
      <c r="E29" s="156" t="str"/>
      <c r="F29" s="156"/>
      <c r="G29" s="156"/>
      <c r="H29"/>
      <c r="I29"/>
      <c r="J29"/>
      <c r="K29"/>
      <c r="L29"/>
      <c r="M29"/>
      <c r="N29"/>
    </row>
    <row r="30">
      <c r="A30" s="157"/>
      <c r="B30" s="155" t="str">
        <v>Defect ID</v>
      </c>
      <c r="C30" s="16"/>
      <c r="D30" s="17"/>
      <c r="E30" s="158" t="str"/>
      <c r="F30" s="158"/>
      <c r="G30" s="158"/>
      <c r="H30"/>
      <c r="I30"/>
      <c r="J30"/>
      <c r="K30"/>
      <c r="L30"/>
      <c r="M30"/>
      <c r="N30"/>
    </row>
  </sheetData>
  <mergeCells count="4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</mergeCells>
</worksheet>
</file>

<file path=xl/worksheets/sheet2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Draft_approver_selected_by_legacy_data_cannot_read_detail_or_history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TC-A7C8BC0D4BC6 | Draft approver selected by legacy data cannot read detail or history
tests/TrustCabinet.Web.Tests/Meetings/MeetingWorkflowServiceTests.cs:164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Assert.Equal(MeetingOutcome.NotFou
nd, detail.Outcome)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Assert.Null(organizerDetail.Meetin
g!.AssignedApproverId)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Assert.Equal(MeetingWorkflowOutcom
e.NotFound, history.Outcome)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Assert.Equal(MeetingWorkflowOutcom
e.NotFound, action.Outcome)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Assigned_approver_with_capability_can_approve_but_an_unassigned_approver_cannot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TC-182BC5094F49 | Assigned approver with capability can approve but an unassigned approver cannot
tests/TrustCabinet.Web.Tests/Meetings/MeetingWorkflowServiceTests.cs:184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e.NotFound, denied.Outcome)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Assert.Equal(MeetingWorkflowOutcom
e.Success, approved.Outcome)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Assert.Equal(MeetingStatus.Approve
d, meeting.Status)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Assigned_approver_without_current_capability_is_forbidden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TC-7DB330F34290 | Assigned approver without current capability is forbidden
tests/TrustCabinet.Web.Tests/Meetings/MeetingWorkflowServiceTests.cs:205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e.Forbidden,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Assert.Equal(MeetingStatus.Waiting
Approval,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Assert.Empty(meeting.StatusHistory
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Readiness_get_and_submit_use_the_same_meeting_information_validation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TC-CF0396C50989 | Readiness get and submit use the same meeting information validation
tests/TrustCabinet.Web.Tests/Meetings/MeetingWorkflowServiceTests.cs:221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Assert.False(readiness.Ready)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Assert.Contains("title",
readiness.Errors.Keys)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Assert.Equal(MeetingWorkflowOutcom
e.SubmissionNotReady,
submit.Outcome)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Assert.Equal(readiness.Errors,
submit.Errors)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Assert.Equal(MeetingStatus.Draft,
meeting.Status)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Assert.Empty(_repository.Notificat
ions)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2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Reject_requires_nonblank_reason_and_stores_trimmed_value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TC-4DACE9F6A075 | Reject requires nonblank reason and stores trimmed value
tests/TrustCabinet.Web.Tests/Meetings/MeetingWorkflowServiceTests.cs:241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string? reason, MeetingWorkflowOutcome expected)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32" customHeight="1">
      <c r="A13" s="142"/>
      <c r="B13" s="145" t="str">
        <v>InlineData(null, MeetingWorkflowOutcome.RejectionReasonRequired)
InlineData("   ", MeetingWorkflowOutcome.RejectionReasonRequired)
InlineData("valid", MeetingWorkflowOutcome.Success)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Assert.Equal(expected,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05" customHeight="1">
      <c r="A17" s="142"/>
      <c r="B17" s="145" t="str">
        <v>Assert.Equal(expected ==
MeetingWorkflowOutcome.Success ?
MeetingStatus.Rejected :
MeetingStatus.WaitingApproval,
           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Assert.Equal("valid", Assert.Singl
e(meeting.StatusHistory).Reason)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Reject_accepts_exactly_1000_characters_and_rejects_1001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TC-44FB8B0C44E6 | Reject accepts exactly 1000 characters and rejects 1001
tests/TrustCabinet.Web.Tests/Meetings/MeetingWorkflowServiceTests.cs:264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accepted.Outcome)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Assert.Equal(1000, Assert.Single(a
cceptedMeeting.StatusHistory).Reas
on.Length)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Assert.Equal(MeetingWorkflowOutcom
e.RejectionReasonTooLong,
rejected.Outcome)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Assert.Equal(MeetingStatus.Waiting
Approval, rejectedMeeting.Status)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Publish_notifies_active_non_delegated_participants_and_passes_meeting_id_to_the_email_owner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TC-6C7E0F28844F | Publish notifies active non delegated participants and passes meeting id to the email owner
tests/TrustCabinet.Web.Tests/Meetings/MeetingWorkflowServiceTests.cs:284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Assert.Equal(MeetingStatus.Publish
ed,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Assert.Single(_repository.Notifica
tions)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Assert.Equal(active.UserId,
notification.UserId)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Assert.Equal(NotificationType.Meet
ingInvited, notification.Type)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Assert.Equal(meeting.StatusHistory
.Single().Id,
notification.OriginHistoryId)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Assert.Equal(meeting.Id, Assert.Si
ngle(_invitations.MeetingIds))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71" customHeight="1">
      <c r="A23" s="142"/>
      <c r="B23" s="145" t="str">
        <v>Assert.Equal(MeetingHistoryAction.
Publish, meeting.StatusHistory.Sin
gle().Action)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2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Publish_does_not_notify_the_publisher_in_app_even_when_they_are_a_participant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TC-301D3A5A60F4 | Publish does not notify the publisher in app even when they are a participant
tests/TrustCabinet.Web.Tests/Meetings/MeetingWorkflowServiceTests.cs:310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Assert.Equal(member.UserId, Assert
.Single(_repository.Notifications)
.UserId)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Assert.Equal(meeting.Id, Assert.Si
ngle(_invitations.MeetingIds))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Publish_keeps_the_full_unicode_title_available_to_the_email_owner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TC-02AFF74F606F | Publish keeps the full unicode title available to the email owner
tests/TrustCabinet.Web.Tests/Meetings/MeetingWorkflowServiceTests.cs:329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Assert.Equal(300,
meeting.Title.Length)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Assert.Equal(MeetingWorkflowOutcom
e.Success, result.Outcome)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Assert.Equal(meeting.Id, Assert.Si
ngle(_invitations.MeetingIds))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105" customHeight="1">
      <c r="A19" s="142"/>
      <c r="B19" s="145" t="str">
        <v>Assert.Equal(new string('a', 290)
+ string.Concat(Enumerable.Repeat(
"📋", 5)),
            _repository.Meetings.S
ingle().Title)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Organizer_cannot_submit_to_self_even_with_both_capabilities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TC-595301F86FF8 | Organizer cannot submit to self even with both capabilities
tests/TrustCabinet.Web.Tests/Meetings/MeetingWorkflowServiceTests.cs:346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(Sensitivity sensitivity)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98" customHeight="1">
      <c r="A13" s="142"/>
      <c r="B13" s="145" t="str">
        <v>InlineData(Sensitivity.Normal)
InlineData(Sensitivity.Internal)
InlineData(Sensitivity.Confidential)
InlineData(Sensitivity.Secret)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e.InvalidApprover,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Assert.Equal(MeetingStatus.Draft,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Assert.Null(meeting.AssignedApprov
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Assert.Empty(meeting.StatusHistory
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Assert.Empty(_repository.Notificat
ions)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Assert.Empty(_repository.EmailMess
ages)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2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Legacy_self_assignment_cannot_approve_or_reject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TC-0954C69F9CD9 | Legacy self assignment cannot approve or reject
tests/TrustCabinet.Web.Tests/Meetings/MeetingWorkflowServiceTests.cs:370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(MeetingTransitionAction action)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81" customHeight="1">
      <c r="A13" s="142"/>
      <c r="B13" s="145" t="str">
        <v>InlineData(MeetingTransitionAction.Approve)
InlineData(MeetingTransitionAction.Reject)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e.Forbidden,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Assert.Equal(MeetingStatus.Waiting
Approval,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Assert.Empty(meeting.StatusHistory
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Assert.Empty(_repository.Notificat
ions)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Assert.Empty(_repository.EmailMess
ages)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Waiting_approval_can_be_withdrawn_only_when_approver_is_ineligible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TC-8DF28384EC27 | Waiting approval can be withdrawn only when approver is ineligible
tests/TrustCabinet.Web.Tests/Meetings/MeetingWorkflowServiceTests.cs:390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COUNTIF(E30:T30,"P")</f>
        <v>0</v>
      </c>
      <c r="B5" s="133"/>
      <c r="C5" s="132" t="n">
        <f>COUNTIF(E30:T30,"F")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COUNTIF(E29:T29,"N")</f>
        <v>0</v>
      </c>
      <c r="L5" s="136" t="n">
        <f>COUNTIF(E29:T29,"A")</f>
        <v>0</v>
      </c>
      <c r="M5" s="136" t="n">
        <f>COUNTIF(E29:T29,"B")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(bool approverEligible)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InlineData(true)
InlineData(false)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Assert.Equal(approverEligible ? Me
etingWorkflowOutcome.StatusConflic
t :
MeetingWorkflowOutcome.Success,
           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88" customHeight="1">
      <c r="A17" s="142"/>
      <c r="B17" s="145" t="str">
        <v>Assert.Equal(approverEligible ?
MeetingStatus.WaitingApproval :
MeetingStatus.Draft,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Assert.Equal(approverEligible ?
_approverId : (Guid?)null,
meeting.AssignedApproverId)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Assert.Empty(meeting.StatusHistory
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Assert.Single(meeting.StatusHistor
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Assert.Equal(MeetingHistoryAction.
ReturnToDraft, history.Action)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Assert.Equal(MeetingStatus.Waiting
Approval, history.FromStatus)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Assert.Equal(MeetingStatus.Draft,
history.ToStatus)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Assert.Equal(_organizerId,
history.ActorId)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Assert.True(_repository.LastWorkfl
owForUpdate)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Assert.Empty(_repository.Notificat
ions)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4" customHeight="1">
      <c r="A27" s="142"/>
      <c r="B27" s="145" t="str">
        <v>Assert.Empty(_repository.EmailMess
ages)</v>
      </c>
      <c r="C27" s="16"/>
      <c r="D27" s="17"/>
      <c r="E27" s="146" t="str">
        <v>O</v>
      </c>
      <c r="F27" s="144"/>
      <c r="G27" s="144"/>
      <c r="H27"/>
      <c r="I27"/>
      <c r="J27"/>
      <c r="K27"/>
      <c r="L27"/>
      <c r="M27"/>
      <c r="N27"/>
    </row>
    <row r="28" ht="54" customHeight="1">
      <c r="A28" s="142"/>
      <c r="B28" s="145" t="str">
        <v>Assert.Empty(_invitations.MeetingI
ds)</v>
      </c>
      <c r="C28" s="16"/>
      <c r="D28" s="17"/>
      <c r="E28" s="146" t="str">
        <v>O</v>
      </c>
      <c r="F28" s="144"/>
      <c r="G28" s="144"/>
      <c r="H28"/>
      <c r="I28"/>
      <c r="J28"/>
      <c r="K28"/>
      <c r="L28"/>
      <c r="M28"/>
      <c r="N28"/>
    </row>
    <row r="29" ht="55" customHeight="1">
      <c r="A29" s="147" t="str">
        <v>Result</v>
      </c>
      <c r="B29" s="148" t="str">
        <v>Type(N : Normal, A : Abnormal, B : Boundary)</v>
      </c>
      <c r="C29" s="149"/>
      <c r="D29" s="150"/>
      <c r="E29" s="151"/>
      <c r="F29" s="151"/>
      <c r="G29" s="151"/>
      <c r="H29"/>
      <c r="I29"/>
      <c r="J29"/>
      <c r="K29"/>
      <c r="L29"/>
      <c r="M29"/>
      <c r="N29"/>
    </row>
    <row r="30">
      <c r="A30" s="152"/>
      <c r="B30" s="153" t="str">
        <v>Passed/Failed</v>
      </c>
      <c r="C30" s="16"/>
      <c r="D30" s="17"/>
      <c r="E30" s="154" t="str">
        <v>NotRun</v>
      </c>
      <c r="F30" s="154"/>
      <c r="G30" s="154"/>
      <c r="H30"/>
      <c r="I30"/>
      <c r="J30"/>
      <c r="K30"/>
      <c r="L30"/>
      <c r="M30"/>
      <c r="N30"/>
    </row>
    <row r="31">
      <c r="A31" s="152"/>
      <c r="B31" s="155" t="str">
        <v>Executed Date</v>
      </c>
      <c r="C31" s="16"/>
      <c r="D31" s="17"/>
      <c r="E31" s="156" t="str"/>
      <c r="F31" s="156"/>
      <c r="G31" s="156"/>
      <c r="H31"/>
      <c r="I31"/>
      <c r="J31"/>
      <c r="K31"/>
      <c r="L31"/>
      <c r="M31"/>
      <c r="N31"/>
    </row>
    <row r="32">
      <c r="A32" s="157"/>
      <c r="B32" s="155" t="str">
        <v>Defect ID</v>
      </c>
      <c r="C32" s="16"/>
      <c r="D32" s="17"/>
      <c r="E32" s="158" t="str"/>
      <c r="F32" s="158"/>
      <c r="G32" s="158"/>
      <c r="H32"/>
      <c r="I32"/>
      <c r="J32"/>
      <c r="K32"/>
      <c r="L32"/>
      <c r="M32"/>
      <c r="N32"/>
    </row>
  </sheetData>
  <mergeCells count="4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</mergeCells>
</worksheet>
</file>

<file path=xl/worksheets/sheet2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Legacy_missing_or_self_assignment_can_be_withdrawn_and_resubmitted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TC-65F73403A97A | Legacy missing or self assignment can be withdrawn and resubmitted
tests/TrustCabinet.Web.Tests/Meetings/MeetingWorkflowServiceTests.cs:426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COUNTIF(E38:T38,"P")</f>
        <v>0</v>
      </c>
      <c r="B5" s="133"/>
      <c r="C5" s="132" t="n">
        <f>COUNTIF(E38:T38,"F")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COUNTIF(E37:T37,"N")</f>
        <v>0</v>
      </c>
      <c r="L5" s="136" t="n">
        <f>COUNTIF(E37:T37,"A")</f>
        <v>0</v>
      </c>
      <c r="M5" s="136" t="n">
        <f>COUNTIF(E37:T37,"B")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(bool selfAssignment)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InlineData(true)
InlineData(false)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Assert.Equal(MeetingStatus.Draft,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Assert.Null(meeting.AssignedApprov
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Assert.Single(meeting.StatusHistor
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Assert.Equal(MeetingHistoryAction.
ReturnToDraft, withdrawal.Action)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Assert.Equal(MeetingStatus.Waiting
Approval, withdrawal.FromStatus)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Assert.Equal(MeetingStatus.Draft,
withdrawal.ToStatus)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Assert.Equal(_organizerId,
withdrawal.ActorId)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Assert.True(_repository.LastWorkfl
owForUpdate)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Assert.Empty(_repository.Notificat
ions)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Assert.Empty(_repository.EmailMess
ages)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4" customHeight="1">
      <c r="A27" s="142"/>
      <c r="B27" s="145" t="str">
        <v>Assert.Empty(_invitations.MeetingI
ds)</v>
      </c>
      <c r="C27" s="16"/>
      <c r="D27" s="17"/>
      <c r="E27" s="146" t="str">
        <v>O</v>
      </c>
      <c r="F27" s="144"/>
      <c r="G27" s="144"/>
      <c r="H27"/>
      <c r="I27"/>
      <c r="J27"/>
      <c r="K27"/>
      <c r="L27"/>
      <c r="M27"/>
      <c r="N27"/>
    </row>
    <row r="28" ht="54" customHeight="1">
      <c r="A28" s="142"/>
      <c r="B28" s="145" t="str">
        <v>Assert.Equal(MeetingWorkflowOutcom
e.Success, resubmit.Outcome)</v>
      </c>
      <c r="C28" s="16"/>
      <c r="D28" s="17"/>
      <c r="E28" s="146" t="str">
        <v>O</v>
      </c>
      <c r="F28" s="144"/>
      <c r="G28" s="144"/>
      <c r="H28"/>
      <c r="I28"/>
      <c r="J28"/>
      <c r="K28"/>
      <c r="L28"/>
      <c r="M28"/>
      <c r="N28"/>
    </row>
    <row r="29" ht="54" customHeight="1">
      <c r="A29" s="142"/>
      <c r="B29" s="145" t="str">
        <v>Assert.Equal(MeetingStatus.Waiting
Approval, meeting.Status)</v>
      </c>
      <c r="C29" s="16"/>
      <c r="D29" s="17"/>
      <c r="E29" s="146" t="str">
        <v>O</v>
      </c>
      <c r="F29" s="144"/>
      <c r="G29" s="144"/>
      <c r="H29"/>
      <c r="I29"/>
      <c r="J29"/>
      <c r="K29"/>
      <c r="L29"/>
      <c r="M29"/>
      <c r="N29"/>
    </row>
    <row r="30" ht="54" customHeight="1">
      <c r="A30" s="142"/>
      <c r="B30" s="145" t="str">
        <v>Assert.Equal(_approverId,
meeting.AssignedApproverId)</v>
      </c>
      <c r="C30" s="16"/>
      <c r="D30" s="17"/>
      <c r="E30" s="146" t="str">
        <v>O</v>
      </c>
      <c r="F30" s="144"/>
      <c r="G30" s="144"/>
      <c r="H30"/>
      <c r="I30"/>
      <c r="J30"/>
      <c r="K30"/>
      <c r="L30"/>
      <c r="M30"/>
      <c r="N30"/>
    </row>
    <row r="31" ht="54" customHeight="1">
      <c r="A31" s="142"/>
      <c r="B31" s="145" t="str">
        <v>Assert.Equal(2,
meeting.StatusHistory.Count)</v>
      </c>
      <c r="C31" s="16"/>
      <c r="D31" s="17"/>
      <c r="E31" s="146" t="str">
        <v>O</v>
      </c>
      <c r="F31" s="144"/>
      <c r="G31" s="144"/>
      <c r="H31"/>
      <c r="I31"/>
      <c r="J31"/>
      <c r="K31"/>
      <c r="L31"/>
      <c r="M31"/>
      <c r="N31"/>
    </row>
    <row r="32" ht="54" customHeight="1">
      <c r="A32" s="142"/>
      <c r="B32" s="145" t="str">
        <v>Assert.Same(withdrawal,
meeting.StatusHistory.First())</v>
      </c>
      <c r="C32" s="16"/>
      <c r="D32" s="17"/>
      <c r="E32" s="146" t="str">
        <v>O</v>
      </c>
      <c r="F32" s="144"/>
      <c r="G32" s="144"/>
      <c r="H32"/>
      <c r="I32"/>
      <c r="J32"/>
      <c r="K32"/>
      <c r="L32"/>
      <c r="M32"/>
      <c r="N32"/>
    </row>
    <row r="33" ht="54" customHeight="1">
      <c r="A33" s="142"/>
      <c r="B33" s="145" t="str">
        <v>Assert.Equal(MeetingHistoryAction.
ReturnToDraft, withdrawal.Action)</v>
      </c>
      <c r="C33" s="16"/>
      <c r="D33" s="17"/>
      <c r="E33" s="146" t="str">
        <v>O</v>
      </c>
      <c r="F33" s="144"/>
      <c r="G33" s="144"/>
      <c r="H33"/>
      <c r="I33"/>
      <c r="J33"/>
      <c r="K33"/>
      <c r="L33"/>
      <c r="M33"/>
      <c r="N33"/>
    </row>
    <row r="34" ht="54" customHeight="1">
      <c r="A34" s="142"/>
      <c r="B34" s="145" t="str">
        <v>Assert.Equal(MeetingStatus.Draft,
withdrawal.ToStatus)</v>
      </c>
      <c r="C34" s="16"/>
      <c r="D34" s="17"/>
      <c r="E34" s="146" t="str">
        <v>O</v>
      </c>
      <c r="F34" s="144"/>
      <c r="G34" s="144"/>
      <c r="H34"/>
      <c r="I34"/>
      <c r="J34"/>
      <c r="K34"/>
      <c r="L34"/>
      <c r="M34"/>
      <c r="N34"/>
    </row>
    <row r="35" ht="71" customHeight="1">
      <c r="A35" s="142"/>
      <c r="B35" s="145" t="str">
        <v>Assert.Equal(_approverId, Assert.S
ingle(_repository.Notifications).U
serId)</v>
      </c>
      <c r="C35" s="16"/>
      <c r="D35" s="17"/>
      <c r="E35" s="146" t="str">
        <v>O</v>
      </c>
      <c r="F35" s="144"/>
      <c r="G35" s="144"/>
      <c r="H35"/>
      <c r="I35"/>
      <c r="J35"/>
      <c r="K35"/>
      <c r="L35"/>
      <c r="M35"/>
      <c r="N35"/>
    </row>
    <row r="36" ht="54" customHeight="1">
      <c r="A36" s="142"/>
      <c r="B36" s="145" t="str">
        <v>Assert.Empty(_invitations.MeetingI
ds)</v>
      </c>
      <c r="C36" s="16"/>
      <c r="D36" s="17"/>
      <c r="E36" s="146" t="str">
        <v>O</v>
      </c>
      <c r="F36" s="144"/>
      <c r="G36" s="144"/>
      <c r="H36"/>
      <c r="I36"/>
      <c r="J36"/>
      <c r="K36"/>
      <c r="L36"/>
      <c r="M36"/>
      <c r="N36"/>
    </row>
    <row r="37" ht="55" customHeight="1">
      <c r="A37" s="147" t="str">
        <v>Result</v>
      </c>
      <c r="B37" s="148" t="str">
        <v>Type(N : Normal, A : Abnormal, B : Boundary)</v>
      </c>
      <c r="C37" s="149"/>
      <c r="D37" s="150"/>
      <c r="E37" s="151"/>
      <c r="F37" s="151"/>
      <c r="G37" s="151"/>
      <c r="H37"/>
      <c r="I37"/>
      <c r="J37"/>
      <c r="K37"/>
      <c r="L37"/>
      <c r="M37"/>
      <c r="N37"/>
    </row>
    <row r="38">
      <c r="A38" s="152"/>
      <c r="B38" s="153" t="str">
        <v>Passed/Failed</v>
      </c>
      <c r="C38" s="16"/>
      <c r="D38" s="17"/>
      <c r="E38" s="154" t="str">
        <v>NotRun</v>
      </c>
      <c r="F38" s="154"/>
      <c r="G38" s="154"/>
      <c r="H38"/>
      <c r="I38"/>
      <c r="J38"/>
      <c r="K38"/>
      <c r="L38"/>
      <c r="M38"/>
      <c r="N38"/>
    </row>
    <row r="39">
      <c r="A39" s="152"/>
      <c r="B39" s="155" t="str">
        <v>Executed Date</v>
      </c>
      <c r="C39" s="16"/>
      <c r="D39" s="17"/>
      <c r="E39" s="156" t="str"/>
      <c r="F39" s="156"/>
      <c r="G39" s="156"/>
      <c r="H39"/>
      <c r="I39"/>
      <c r="J39"/>
      <c r="K39"/>
      <c r="L39"/>
      <c r="M39"/>
      <c r="N39"/>
    </row>
    <row r="40">
      <c r="A40" s="157"/>
      <c r="B40" s="155" t="str">
        <v>Defect ID</v>
      </c>
      <c r="C40" s="16"/>
      <c r="D40" s="17"/>
      <c r="E40" s="158" t="str"/>
      <c r="F40" s="158"/>
      <c r="G40" s="158"/>
      <c r="H40"/>
      <c r="I40"/>
      <c r="J40"/>
      <c r="K40"/>
      <c r="L40"/>
      <c r="M40"/>
      <c r="N40"/>
    </row>
  </sheetData>
  <mergeCells count="5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</mergeCells>
</worksheet>
</file>

<file path=xl/worksheets/sheet2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Withdrawal_save_failure_rolls_back_the_blocked_approval_cycle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TC-85CB1809DB78 | Withdrawal save failure rolls back the blocked approval cycle
tests/TrustCabinet.Web.Tests/Meetings/MeetingWorkflowServiceTests.cs:466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e.SaveFailed,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Assert.Equal(MeetingStatus.Waiting
Approval, persisted.Status)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Assert.Equal(_approverId,
persisted.AssignedApproverId)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Assert.Empty(persisted.StatusHisto
ry)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Assert.Empty(_repository.Notificat
ions)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Assert.Empty(_invitations.MeetingI
ds)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2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Ineligible_approver_does_not_allow_withdrawal_from_other_states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TC-D5541941C49B | Ineligible approver does not allow withdrawal from other states
tests/TrustCabinet.Web.Tests/Meetings/MeetingWorkflowServiceTests.cs:485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98" customHeight="1">
      <c r="A13" s="142"/>
      <c r="B13" s="145" t="str">
        <v>InlineData(MeetingStatus.Draft)
InlineData(MeetingStatus.Approved)
InlineData(MeetingStatus.Published)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e.StatusConflict,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Assert.Equal(status,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Assert.Empty(meeting.StatusHistory
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Assert.Empty(_repository.Notificat
ions)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Assert.Empty(_invitations.MeetingI
ds)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Invitation_producer_failure_keeps_the_successful_publication_for_worker_retry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TC-C311D740683D | Invitation producer failure keeps the successful publication for worker retry
tests/TrustCabinet.Web.Tests/Meetings/MeetingWorkflowServiceTests.cs:504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Assert.Equal(MeetingStatus.Publish
ed, Assert.Single(_repository.Meet
ings).Status)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Assert.Equal(MeetingHistoryAction.
Publish, Assert.Single(meeting.Sta
tusHistory).Action)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Assert.Single(_repository.Notifica
tions)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Assert.Empty(_invitations.MeetingI
ds)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Assert.Equal([meeting.Id],
_invitations.MeetingIds)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Assert.Single(meeting.StatusHistor
y)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2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Publish_persistence_failure_rolls_back_status_history_notifications_and_jobs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TC-EE7597F509CF | Publish persistence failure rolls back status history notifications and jobs
tests/TrustCabinet.Web.Tests/Meetings/MeetingWorkflowServiceTests.cs:526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COUNTIF(E23:T23,"P")</f>
        <v>0</v>
      </c>
      <c r="B5" s="133"/>
      <c r="C5" s="132" t="n">
        <f>COUNTIF(E23:T23,"F")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COUNTIF(E22:T22,"N")</f>
        <v>0</v>
      </c>
      <c r="L5" s="136" t="n">
        <f>COUNTIF(E22:T22,"A")</f>
        <v>0</v>
      </c>
      <c r="M5" s="136" t="n">
        <f>COUNTIF(E22:T22,"B")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e.SaveFailed,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Assert.Equal(MeetingStatus.Approve
d, persisted.Status)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Assert.Empty(persisted.StatusHisto
ry)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Assert.Empty(_repository.Notificat
ions)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Assert.Empty(_repository.EmailMess
ages)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5" customHeight="1">
      <c r="A22" s="147" t="str">
        <v>Result</v>
      </c>
      <c r="B22" s="148" t="str">
        <v>Type(N : Normal, A : Abnormal, B : Boundary)</v>
      </c>
      <c r="C22" s="149"/>
      <c r="D22" s="150"/>
      <c r="E22" s="151"/>
      <c r="F22" s="151"/>
      <c r="G22" s="151"/>
      <c r="H22"/>
      <c r="I22"/>
      <c r="J22"/>
      <c r="K22"/>
      <c r="L22"/>
      <c r="M22"/>
      <c r="N22"/>
    </row>
    <row r="23">
      <c r="A23" s="152"/>
      <c r="B23" s="153" t="str">
        <v>Passed/Failed</v>
      </c>
      <c r="C23" s="16"/>
      <c r="D23" s="17"/>
      <c r="E23" s="154" t="str">
        <v>NotRun</v>
      </c>
      <c r="F23" s="154"/>
      <c r="G23" s="154"/>
      <c r="H23"/>
      <c r="I23"/>
      <c r="J23"/>
      <c r="K23"/>
      <c r="L23"/>
      <c r="M23"/>
      <c r="N23"/>
    </row>
    <row r="24">
      <c r="A24" s="152"/>
      <c r="B24" s="155" t="str">
        <v>Executed Date</v>
      </c>
      <c r="C24" s="16"/>
      <c r="D24" s="17"/>
      <c r="E24" s="156" t="str"/>
      <c r="F24" s="156"/>
      <c r="G24" s="156"/>
      <c r="H24"/>
      <c r="I24"/>
      <c r="J24"/>
      <c r="K24"/>
      <c r="L24"/>
      <c r="M24"/>
      <c r="N24"/>
    </row>
    <row r="25">
      <c r="A25" s="157"/>
      <c r="B25" s="155" t="str">
        <v>Defect ID</v>
      </c>
      <c r="C25" s="16"/>
      <c r="D25" s="17"/>
      <c r="E25" s="158" t="str"/>
      <c r="F25" s="158"/>
      <c r="G25" s="158"/>
      <c r="H25"/>
      <c r="I25"/>
      <c r="J25"/>
      <c r="K25"/>
      <c r="L25"/>
      <c r="M25"/>
      <c r="N25"/>
    </row>
  </sheetData>
  <mergeCells count="37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</mergeCells>
</worksheet>
</file>

<file path=xl/worksheets/sheet2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Organizer_and_current_approver_get_reasons_and_published_participant_gets_redacted_timeline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TC-C3DF6F26DF1E | Organizer and current approver get reasons and published participant gets redacted timeline
tests/TrustCabinet.Web.Tests/Meetings/MeetingWorkflowServiceTests.cs:546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current.Outcome)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Assert.Equal(MeetingWorkflowOutcom
e.Success, organizer.Outcome)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Assert.Equal(MeetingWorkflowOutcom
e.NotFound, former.Outcome)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Assert.Equal(MeetingWorkflowOutcom
e.Success, participant.Outcome)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Assert.Equal("Cần bổ sung số
liệu", Assert.Single(current.Page!
.Items).RejectionReason)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Assert.Null(Assert.Single(particip
ant.Page!.Items).RejectionReason)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Assert.Equal("Cần bổ sung số
liệu", Assert.Single(organizer.Pag
e!.Items).RejectionReason)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Assert.False(_repository.LastWorkf
lowForUpdate)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2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Administrative_transfer_recovers_an_approved_meeting_and_records_typed_organizer_ids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TC-BC88ECC801E4 | Administrative transfer recovers an approved meeting and records typed organizer ids
tests/TrustCabinet.Web.Tests/Meetings/MeetingWorkflowServiceTests.cs:588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COUNTIF(E42:T42,"P")</f>
        <v>0</v>
      </c>
      <c r="B5" s="133"/>
      <c r="C5" s="132" t="n">
        <f>COUNTIF(E42:T42,"F")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COUNTIF(E41:T41,"N")</f>
        <v>0</v>
      </c>
      <c r="L5" s="136" t="n">
        <f>COUNTIF(E41:T41,"A")</f>
        <v>0</v>
      </c>
      <c r="M5" s="136" t="n">
        <f>COUNTIF(E41:T41,"B")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Assert.Null(result.Meeting)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Assert.Equal(MeetingStatus.Approve
d, meeting.Status)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Assert.Equal(replacement,
meeting.CreatedById)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Assert.Equal(_approverId,
meeting.AssignedApproverId)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Assert.Equal(2,
meeting.StatusHistory.Count)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Assert.Same(approval,
meeting.StatusHistory.First())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71" customHeight="1">
      <c r="A23" s="142"/>
      <c r="B23" s="145" t="str">
        <v>Assert.Equal(MeetingHistoryAction.
TransferOrganizer,
transfer.Action)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Assert.Equal(MeetingStatus.Approve
d, transfer.FromStatus)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Assert.Equal(MeetingStatus.Approve
d, transfer.ToStatus)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Assert.Equal(administrator,
transfer.ActorId)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54" customHeight="1">
      <c r="A27" s="142"/>
      <c r="B27" s="145" t="str">
        <v>Assert.Equal(_organizerId,
transfer.PreviousOrganizerId)</v>
      </c>
      <c r="C27" s="16"/>
      <c r="D27" s="17"/>
      <c r="E27" s="146" t="str">
        <v>O</v>
      </c>
      <c r="F27" s="144"/>
      <c r="G27" s="144"/>
      <c r="H27"/>
      <c r="I27"/>
      <c r="J27"/>
      <c r="K27"/>
      <c r="L27"/>
      <c r="M27"/>
      <c r="N27"/>
    </row>
    <row r="28" ht="54" customHeight="1">
      <c r="A28" s="142"/>
      <c r="B28" s="145" t="str">
        <v>Assert.Equal(replacement,
transfer.NewOrganizerId)</v>
      </c>
      <c r="C28" s="16"/>
      <c r="D28" s="17"/>
      <c r="E28" s="146" t="str">
        <v>O</v>
      </c>
      <c r="F28" s="144"/>
      <c r="G28" s="144"/>
      <c r="H28"/>
      <c r="I28"/>
      <c r="J28"/>
      <c r="K28"/>
      <c r="L28"/>
      <c r="M28"/>
      <c r="N28"/>
    </row>
    <row r="29" ht="54" customHeight="1">
      <c r="A29" s="142"/>
      <c r="B29" s="145" t="str">
        <v>Assert.Equal(_organizerId, result.
History!.PreviousOrganizerId)</v>
      </c>
      <c r="C29" s="16"/>
      <c r="D29" s="17"/>
      <c r="E29" s="146" t="str">
        <v>O</v>
      </c>
      <c r="F29" s="144"/>
      <c r="G29" s="144"/>
      <c r="H29"/>
      <c r="I29"/>
      <c r="J29"/>
      <c r="K29"/>
      <c r="L29"/>
      <c r="M29"/>
      <c r="N29"/>
    </row>
    <row r="30" ht="54" customHeight="1">
      <c r="A30" s="142"/>
      <c r="B30" s="145" t="str">
        <v>Assert.Equal(replacement,
result.History.NewOrganizerId)</v>
      </c>
      <c r="C30" s="16"/>
      <c r="D30" s="17"/>
      <c r="E30" s="146" t="str">
        <v>O</v>
      </c>
      <c r="F30" s="144"/>
      <c r="G30" s="144"/>
      <c r="H30"/>
      <c r="I30"/>
      <c r="J30"/>
      <c r="K30"/>
      <c r="L30"/>
      <c r="M30"/>
      <c r="N30"/>
    </row>
    <row r="31" ht="54" customHeight="1">
      <c r="A31" s="142"/>
      <c r="B31" s="145" t="str">
        <v>Assert.Empty(_repository.Notificat
ions)</v>
      </c>
      <c r="C31" s="16"/>
      <c r="D31" s="17"/>
      <c r="E31" s="146" t="str">
        <v>O</v>
      </c>
      <c r="F31" s="144"/>
      <c r="G31" s="144"/>
      <c r="H31"/>
      <c r="I31"/>
      <c r="J31"/>
      <c r="K31"/>
      <c r="L31"/>
      <c r="M31"/>
      <c r="N31"/>
    </row>
    <row r="32" ht="54" customHeight="1">
      <c r="A32" s="142"/>
      <c r="B32" s="145" t="str">
        <v>Assert.Empty(_invitations.MeetingI
ds)</v>
      </c>
      <c r="C32" s="16"/>
      <c r="D32" s="17"/>
      <c r="E32" s="146" t="str">
        <v>O</v>
      </c>
      <c r="F32" s="144"/>
      <c r="G32" s="144"/>
      <c r="H32"/>
      <c r="I32"/>
      <c r="J32"/>
      <c r="K32"/>
      <c r="L32"/>
      <c r="M32"/>
      <c r="N32"/>
    </row>
    <row r="33" ht="54" customHeight="1">
      <c r="A33" s="142"/>
      <c r="B33" s="145" t="str">
        <v>Assert.True(_repository.LastWorkfl
owForUpdate)</v>
      </c>
      <c r="C33" s="16"/>
      <c r="D33" s="17"/>
      <c r="E33" s="146" t="str">
        <v>O</v>
      </c>
      <c r="F33" s="144"/>
      <c r="G33" s="144"/>
      <c r="H33"/>
      <c r="I33"/>
      <c r="J33"/>
      <c r="K33"/>
      <c r="L33"/>
      <c r="M33"/>
      <c r="N33"/>
    </row>
    <row r="34" ht="88" customHeight="1">
      <c r="A34" s="142"/>
      <c r="B34" s="145" t="str">
        <v>Assert.Equal(MeetingOutcome.NotFou
nd, (await
NewService().GetAsync(meeting.Id,
administrator)).Outcome)</v>
      </c>
      <c r="C34" s="16"/>
      <c r="D34" s="17"/>
      <c r="E34" s="146" t="str">
        <v>O</v>
      </c>
      <c r="F34" s="144"/>
      <c r="G34" s="144"/>
      <c r="H34"/>
      <c r="I34"/>
      <c r="J34"/>
      <c r="K34"/>
      <c r="L34"/>
      <c r="M34"/>
      <c r="N34"/>
    </row>
    <row r="35" ht="105" customHeight="1">
      <c r="A35" s="142"/>
      <c r="B35" s="145" t="str">
        <v>Assert.Equal(MeetingWorkflowOutcom
e.NotFound,
            (await NewService().Ge
tHistoryAsync(meeting.Id,
administrator, 1, 20)).Outcome)</v>
      </c>
      <c r="C35" s="16"/>
      <c r="D35" s="17"/>
      <c r="E35" s="146" t="str">
        <v>O</v>
      </c>
      <c r="F35" s="144"/>
      <c r="G35" s="144"/>
      <c r="H35"/>
      <c r="I35"/>
      <c r="J35"/>
      <c r="K35"/>
      <c r="L35"/>
      <c r="M35"/>
      <c r="N35"/>
    </row>
    <row r="36" ht="54" customHeight="1">
      <c r="A36" s="142"/>
      <c r="B36" s="145" t="str">
        <v>Assert.Equal(MeetingWorkflowOutcom
e.StatusConflict, retry.Outcome)</v>
      </c>
      <c r="C36" s="16"/>
      <c r="D36" s="17"/>
      <c r="E36" s="146" t="str">
        <v>O</v>
      </c>
      <c r="F36" s="144"/>
      <c r="G36" s="144"/>
      <c r="H36"/>
      <c r="I36"/>
      <c r="J36"/>
      <c r="K36"/>
      <c r="L36"/>
      <c r="M36"/>
      <c r="N36"/>
    </row>
    <row r="37" ht="54" customHeight="1">
      <c r="A37" s="142"/>
      <c r="B37" s="145" t="str">
        <v>Assert.Equal(2,
meeting.StatusHistory.Count)</v>
      </c>
      <c r="C37" s="16"/>
      <c r="D37" s="17"/>
      <c r="E37" s="146" t="str">
        <v>O</v>
      </c>
      <c r="F37" s="144"/>
      <c r="G37" s="144"/>
      <c r="H37"/>
      <c r="I37"/>
      <c r="J37"/>
      <c r="K37"/>
      <c r="L37"/>
      <c r="M37"/>
      <c r="N37"/>
    </row>
    <row r="38" ht="54" customHeight="1">
      <c r="A38" s="142"/>
      <c r="B38" s="145" t="str">
        <v>Assert.Equal(MeetingWorkflowOutcom
e.Success, publish.Outcome)</v>
      </c>
      <c r="C38" s="16"/>
      <c r="D38" s="17"/>
      <c r="E38" s="146" t="str">
        <v>O</v>
      </c>
      <c r="F38" s="144"/>
      <c r="G38" s="144"/>
      <c r="H38"/>
      <c r="I38"/>
      <c r="J38"/>
      <c r="K38"/>
      <c r="L38"/>
      <c r="M38"/>
      <c r="N38"/>
    </row>
    <row r="39" ht="54" customHeight="1">
      <c r="A39" s="142"/>
      <c r="B39" s="145" t="str">
        <v>Assert.Equal(MeetingStatus.Publish
ed, meeting.Status)</v>
      </c>
      <c r="C39" s="16"/>
      <c r="D39" s="17"/>
      <c r="E39" s="146" t="str">
        <v>O</v>
      </c>
      <c r="F39" s="144"/>
      <c r="G39" s="144"/>
      <c r="H39"/>
      <c r="I39"/>
      <c r="J39"/>
      <c r="K39"/>
      <c r="L39"/>
      <c r="M39"/>
      <c r="N39"/>
    </row>
    <row r="40" ht="54" customHeight="1">
      <c r="A40" s="142"/>
      <c r="B40" s="145" t="str">
        <v>Assert.Equal(meeting.Id, Assert.Si
ngle(_invitations.MeetingIds))</v>
      </c>
      <c r="C40" s="16"/>
      <c r="D40" s="17"/>
      <c r="E40" s="146" t="str">
        <v>O</v>
      </c>
      <c r="F40" s="144"/>
      <c r="G40" s="144"/>
      <c r="H40"/>
      <c r="I40"/>
      <c r="J40"/>
      <c r="K40"/>
      <c r="L40"/>
      <c r="M40"/>
      <c r="N40"/>
    </row>
    <row r="41" ht="55" customHeight="1">
      <c r="A41" s="147" t="str">
        <v>Result</v>
      </c>
      <c r="B41" s="148" t="str">
        <v>Type(N : Normal, A : Abnormal, B : Boundary)</v>
      </c>
      <c r="C41" s="149"/>
      <c r="D41" s="150"/>
      <c r="E41" s="151"/>
      <c r="F41" s="151"/>
      <c r="G41" s="151"/>
      <c r="H41"/>
      <c r="I41"/>
      <c r="J41"/>
      <c r="K41"/>
      <c r="L41"/>
      <c r="M41"/>
      <c r="N41"/>
    </row>
    <row r="42">
      <c r="A42" s="152"/>
      <c r="B42" s="153" t="str">
        <v>Passed/Failed</v>
      </c>
      <c r="C42" s="16"/>
      <c r="D42" s="17"/>
      <c r="E42" s="154" t="str">
        <v>NotRun</v>
      </c>
      <c r="F42" s="154"/>
      <c r="G42" s="154"/>
      <c r="H42"/>
      <c r="I42"/>
      <c r="J42"/>
      <c r="K42"/>
      <c r="L42"/>
      <c r="M42"/>
      <c r="N42"/>
    </row>
    <row r="43">
      <c r="A43" s="152"/>
      <c r="B43" s="155" t="str">
        <v>Executed Date</v>
      </c>
      <c r="C43" s="16"/>
      <c r="D43" s="17"/>
      <c r="E43" s="156" t="str"/>
      <c r="F43" s="156"/>
      <c r="G43" s="156"/>
      <c r="H43"/>
      <c r="I43"/>
      <c r="J43"/>
      <c r="K43"/>
      <c r="L43"/>
      <c r="M43"/>
      <c r="N43"/>
    </row>
    <row r="44">
      <c r="A44" s="157"/>
      <c r="B44" s="155" t="str">
        <v>Defect ID</v>
      </c>
      <c r="C44" s="16"/>
      <c r="D44" s="17"/>
      <c r="E44" s="158" t="str"/>
      <c r="F44" s="158"/>
      <c r="G44" s="158"/>
      <c r="H44"/>
      <c r="I44"/>
      <c r="J44"/>
      <c r="K44"/>
      <c r="L44"/>
      <c r="M44"/>
      <c r="N44"/>
    </row>
  </sheetData>
  <mergeCells count="5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</mergeCells>
</worksheet>
</file>

<file path=xl/worksheets/sheet2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Transfer_requires_current_active_administrator_before_reading_the_meeting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TC-240DB7EFDFB2 | Transfer requires current active administrator before reading the meeting
tests/TrustCabinet.Web.Tests/Meetings/MeetingWorkflowServiceTests.cs:648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(bool inactive)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InlineData(false)
InlineData(true)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e.NotFound,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Assert.NotNull(_repository.NextWor
kflowReadThrows)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Assert.Equal(_organizerId,
meeting.CreatedById)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Assert.Empty(meeting.StatusHistory
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Assert.Empty(_repository.Notificat
ions)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Transfer_cannot_replace_an_active_organizer_even_if_their_creator_capability_was_removed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TC-24829D7CA400 | Transfer cannot replace an active organizer even if their creator capability was removed
tests/TrustCabinet.Web.Tests/Meetings/MeetingWorkflowServiceTests.cs:671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e.StatusConflict,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Assert.Equal(_organizerId,
meeting.CreatedById)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Assert.Empty(meeting.StatusHistory
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Transfer_rejects_an_invalid_organizer_without_recording_history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TC-FC12191BB40B | Transfer rejects an invalid organizer without recording history
tests/TrustCabinet.Web.Tests/Meetings/MeetingWorkflowServiceTests.cs:690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target)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15" customHeight="1">
      <c r="A13" s="142"/>
      <c r="B13" s="145" t="str">
        <v>InlineData("missing")
InlineData("inactive")
InlineData("withoutCapability")
InlineData("previousOrganizer")
InlineData("assignedApprover")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Assert.Equal(MeetingWorkflowOutcom
e.InvalidOrganizer,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Assert.Equal(_organizerId,
meeting.CreatedById)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Assert.Equal(_approverId,
meeting.AssignedApproverId)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Assert.Equal(MeetingStatus.Approve
d, meeting.Status)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Assert.Empty(meeting.StatusHistory
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Assert.Empty(_repository.Notificat
ions)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Assert.Empty(_invitations.MeetingI
ds)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2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Transfer_requires_an_approved_meeting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TC-C58A26D24D6A | Transfer requires an approved meeting
tests/TrustCabinet.Web.Tests/Meetings/MeetingWorkflowServiceTests.cs:727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32" customHeight="1">
      <c r="A13" s="142"/>
      <c r="B13" s="145" t="str">
        <v>InlineData(MeetingStatus.Draft)
InlineData(MeetingStatus.WaitingApproval)
InlineData(MeetingStatus.Rejected)
InlineData(MeetingStatus.Published)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e.StatusConflict,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Assert.Equal(status,
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Assert.Equal(_organizerId,
meeting.CreatedById)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Assert.Empty(meeting.StatusHistory
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Transfer_save_failure_rolls_back_the_organizer_and_history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TC-3D524CAC36D1 | Transfer save failure rolls back the organizer and history
tests/TrustCabinet.Web.Tests/Meetings/MeetingWorkflowServiceTests.cs:751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e.SaveFailed,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Assert.Equal(_organizerId,
persisted.CreatedById)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Assert.Equal(_approverId,
persisted.AssignedApproverId)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Assert.Equal(MeetingStatus.Approve
d, persisted.Status)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Assert.Empty(persisted.StatusHisto
ry)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Assert.Empty(_repository.Notificat
ions)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Assert.Empty(_invitations.MeetingI
ds)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2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Transfer_organizer_ids_are_visible_only_in_full_history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TC-7A0587D0D191 | Transfer organizer ids are visible only in full history
tests/TrustCabinet.Web.Tests/Meetings/MeetingWorkflowServiceTests.cs:776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Assert.NotNull(Assert.Single(full.
Page!.Items).PreviousOrganizerId)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Assert.Equal(_organizerId, full.Pa
ge.Items.Single().NewOrganizerId)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Assert.Null(Assert.Single(limited.
Page!.Items).PreviousOrganizerId)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Assert.Null(limited.Page.Items.Sin
gle().NewOrganizerId)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71" customHeight="1">
      <c r="A20" s="142"/>
      <c r="B20" s="145" t="str">
        <v>Assert.Equal(MeetingHistoryAction.
TransferOrganizer, limited.Page.It
ems.Single().Action)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Submit_accepts_draft_or_rejected_without_agenda_or_sessions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TC-AEA65F81EFCB | Submit accepts draft or rejected without agenda or sessions
tests/TrustCabinet.Web.Tests/Meetings/MeetingWorkflowServiceTests.cs:804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COUNTIF(E31:T31,"P")</f>
        <v>0</v>
      </c>
      <c r="B5" s="133"/>
      <c r="C5" s="132" t="n">
        <f>COUNTIF(E31:T31,"F")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COUNTIF(E30:T30,"N")</f>
        <v>0</v>
      </c>
      <c r="L5" s="136" t="n">
        <f>COUNTIF(E30:T30,"A")</f>
        <v>0</v>
      </c>
      <c r="M5" s="136" t="n">
        <f>COUNTIF(E30:T30,"B")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InlineData(MeetingStatus.Draft)
InlineData(MeetingStatus.Rejected)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Assert.True(readiness.Ready)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Assert.Equal(status,
readiness.Status)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Assert.Equal(MeetingWorkflowOutcom
e.Success, result.Outcome)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Assert.Equal(MeetingStatus.Waiting
Approval, meeting.Status)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Assert.Equal(replacement,
meeting.AssignedApproverId)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Assert.Equal(status,
submission.FromStatus)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71" customHeight="1">
      <c r="A22" s="142"/>
      <c r="B22" s="145" t="str">
        <v>Assert.Equal(MeetingHistoryAction.
SubmitForApproval,
submission.Action)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Assert.Equal(replacement,
submission.AssignedApproverId)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Assert.Same(rejection,
meeting.StatusHistory.First())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Assert.Equal("Bổ sung tài liệu",
rejection.Reason)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4" customHeight="1">
      <c r="A26" s="142"/>
      <c r="B26" s="145" t="str">
        <v>Assert.Equal(previousApproverId,
rejection.AssignedApproverId)</v>
      </c>
      <c r="C26" s="16"/>
      <c r="D26" s="17"/>
      <c r="E26" s="146" t="str">
        <v>O</v>
      </c>
      <c r="F26" s="144"/>
      <c r="G26" s="144"/>
      <c r="H26"/>
      <c r="I26"/>
      <c r="J26"/>
      <c r="K26"/>
      <c r="L26"/>
      <c r="M26"/>
      <c r="N26"/>
    </row>
    <row r="27" ht="71" customHeight="1">
      <c r="A27" s="142"/>
      <c r="B27" s="145" t="str">
        <v>Assert.Equal(status ==
MeetingStatus.Rejected ? 2 : 1,
meeting.StatusHistory.Count)</v>
      </c>
      <c r="C27" s="16"/>
      <c r="D27" s="17"/>
      <c r="E27" s="146" t="str">
        <v>O</v>
      </c>
      <c r="F27" s="144"/>
      <c r="G27" s="144"/>
      <c r="H27"/>
      <c r="I27"/>
      <c r="J27"/>
      <c r="K27"/>
      <c r="L27"/>
      <c r="M27"/>
      <c r="N27"/>
    </row>
    <row r="28" ht="71" customHeight="1">
      <c r="A28" s="142"/>
      <c r="B28" s="145" t="str">
        <v>Assert.Equal(replacement, Assert.S
ingle(_repository.Notifications).U
serId)</v>
      </c>
      <c r="C28" s="16"/>
      <c r="D28" s="17"/>
      <c r="E28" s="146" t="str">
        <v>O</v>
      </c>
      <c r="F28" s="144"/>
      <c r="G28" s="144"/>
      <c r="H28"/>
      <c r="I28"/>
      <c r="J28"/>
      <c r="K28"/>
      <c r="L28"/>
      <c r="M28"/>
      <c r="N28"/>
    </row>
    <row r="29" ht="54" customHeight="1">
      <c r="A29" s="142"/>
      <c r="B29" s="145" t="str">
        <v>Assert.Empty(_invitations.MeetingI
ds)</v>
      </c>
      <c r="C29" s="16"/>
      <c r="D29" s="17"/>
      <c r="E29" s="146" t="str">
        <v>O</v>
      </c>
      <c r="F29" s="144"/>
      <c r="G29" s="144"/>
      <c r="H29"/>
      <c r="I29"/>
      <c r="J29"/>
      <c r="K29"/>
      <c r="L29"/>
      <c r="M29"/>
      <c r="N29"/>
    </row>
    <row r="30" ht="55" customHeight="1">
      <c r="A30" s="147" t="str">
        <v>Result</v>
      </c>
      <c r="B30" s="148" t="str">
        <v>Type(N : Normal, A : Abnormal, B : Boundary)</v>
      </c>
      <c r="C30" s="149"/>
      <c r="D30" s="150"/>
      <c r="E30" s="151"/>
      <c r="F30" s="151"/>
      <c r="G30" s="151"/>
      <c r="H30"/>
      <c r="I30"/>
      <c r="J30"/>
      <c r="K30"/>
      <c r="L30"/>
      <c r="M30"/>
      <c r="N30"/>
    </row>
    <row r="31">
      <c r="A31" s="152"/>
      <c r="B31" s="153" t="str">
        <v>Passed/Failed</v>
      </c>
      <c r="C31" s="16"/>
      <c r="D31" s="17"/>
      <c r="E31" s="154" t="str">
        <v>NotRun</v>
      </c>
      <c r="F31" s="154"/>
      <c r="G31" s="154"/>
      <c r="H31"/>
      <c r="I31"/>
      <c r="J31"/>
      <c r="K31"/>
      <c r="L31"/>
      <c r="M31"/>
      <c r="N31"/>
    </row>
    <row r="32">
      <c r="A32" s="152"/>
      <c r="B32" s="155" t="str">
        <v>Executed Date</v>
      </c>
      <c r="C32" s="16"/>
      <c r="D32" s="17"/>
      <c r="E32" s="156" t="str"/>
      <c r="F32" s="156"/>
      <c r="G32" s="156"/>
      <c r="H32"/>
      <c r="I32"/>
      <c r="J32"/>
      <c r="K32"/>
      <c r="L32"/>
      <c r="M32"/>
      <c r="N32"/>
    </row>
    <row r="33">
      <c r="A33" s="157"/>
      <c r="B33" s="155" t="str">
        <v>Defect ID</v>
      </c>
      <c r="C33" s="16"/>
      <c r="D33" s="17"/>
      <c r="E33" s="158" t="str"/>
      <c r="F33" s="158"/>
      <c r="G33" s="158"/>
      <c r="H33"/>
      <c r="I33"/>
      <c r="J33"/>
      <c r="K33"/>
      <c r="L33"/>
      <c r="M33"/>
      <c r="N33"/>
    </row>
  </sheetData>
  <mergeCells count="4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</mergeCells>
</worksheet>
</file>

<file path=xl/worksheets/sheet2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Failed_rejected_resubmission_keeps_assignment_and_rejection_evidence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TC-61A1A8ECE698 | Failed rejected resubmission keeps assignment and rejection evidence
tests/TrustCabinet.Web.Tests/Meetings/MeetingWorkflowServiceTests.cs:853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COUNTIF(E27:T27,"P")</f>
        <v>0</v>
      </c>
      <c r="B5" s="133"/>
      <c r="C5" s="132" t="n">
        <f>COUNTIF(E27:T27,"F")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COUNTIF(E26:T26,"N")</f>
        <v>0</v>
      </c>
      <c r="L5" s="136" t="n">
        <f>COUNTIF(E26:T26,"A")</f>
        <v>0</v>
      </c>
      <c r="M5" s="136" t="n">
        <f>COUNTIF(E26:T26,"B")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string failure, MeetingWorkflowOutcome expected)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32" customHeight="1">
      <c r="A13" s="142"/>
      <c r="B13" s="145" t="str">
        <v>InlineData("invalidApprover", MeetingWorkflowOutcome.InvalidApprover)
InlineData("invalidInformation", MeetingWorkflowOutcome.SubmissionNotReady)
InlineData("saveFailure", MeetingWorkflowOutcome.SaveFailed)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Assert.Equal(expected,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Assert.Single(_repository.Meetings
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Assert.Equal(MeetingStatus.Rejecte
d, persisted.Status)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Assert.Equal(_approverId,
persisted.AssignedApproverId)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Assert.Same(rejection, Assert.Sing
le(persisted.StatusHistory))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Assert.Equal("Giữ nguyên bằng
chứng từ chối", rejection.Reason)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Assert.Equal(_approverId,
rejection.AssignedApproverId)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Assert.Empty(_repository.Notificat
ions)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Assert.Empty(_repository.EmailMess
ages)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Assert.Empty(_invitations.MeetingI
ds)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5" customHeight="1">
      <c r="A26" s="147" t="str">
        <v>Result</v>
      </c>
      <c r="B26" s="148" t="str">
        <v>Type(N : Normal, A : Abnormal, B : Boundary)</v>
      </c>
      <c r="C26" s="149"/>
      <c r="D26" s="150"/>
      <c r="E26" s="151"/>
      <c r="F26" s="151"/>
      <c r="G26" s="151"/>
      <c r="H26"/>
      <c r="I26"/>
      <c r="J26"/>
      <c r="K26"/>
      <c r="L26"/>
      <c r="M26"/>
      <c r="N26"/>
    </row>
    <row r="27">
      <c r="A27" s="152"/>
      <c r="B27" s="153" t="str">
        <v>Passed/Failed</v>
      </c>
      <c r="C27" s="16"/>
      <c r="D27" s="17"/>
      <c r="E27" s="154" t="str">
        <v>NotRun</v>
      </c>
      <c r="F27" s="154"/>
      <c r="G27" s="154"/>
      <c r="H27"/>
      <c r="I27"/>
      <c r="J27"/>
      <c r="K27"/>
      <c r="L27"/>
      <c r="M27"/>
      <c r="N27"/>
    </row>
    <row r="28">
      <c r="A28" s="152"/>
      <c r="B28" s="155" t="str">
        <v>Executed Date</v>
      </c>
      <c r="C28" s="16"/>
      <c r="D28" s="17"/>
      <c r="E28" s="156" t="str"/>
      <c r="F28" s="156"/>
      <c r="G28" s="156"/>
      <c r="H28"/>
      <c r="I28"/>
      <c r="J28"/>
      <c r="K28"/>
      <c r="L28"/>
      <c r="M28"/>
      <c r="N28"/>
    </row>
    <row r="29">
      <c r="A29" s="157"/>
      <c r="B29" s="155" t="str">
        <v>Defect ID</v>
      </c>
      <c r="C29" s="16"/>
      <c r="D29" s="17"/>
      <c r="E29" s="158" t="str"/>
      <c r="F29" s="158"/>
      <c r="G29" s="158"/>
      <c r="H29"/>
      <c r="I29"/>
      <c r="J29"/>
      <c r="K29"/>
      <c r="L29"/>
      <c r="M29"/>
      <c r="N29"/>
    </row>
  </sheetData>
  <mergeCells count="41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</mergeCells>
</worksheet>
</file>

<file path=xl/worksheets/sheet2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Publish_succeeds_with_the_meeting_level_schedule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TC-3619710AD4C2 | Publish succeeds with the meeting level schedule
tests/TrustCabinet.Web.Tests/Meetings/MeetingWorkflowServiceTests.cs:896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Assert.Equal(MeetingStatus.Publish
ed,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Assert.Equal(MeetingHistoryAction.
Publish, Assert.Single(meeting.Sta
tusHistory).Action)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Assert.Single(_repository.Notifica
tions)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Assert.Equal(meeting.Id, Assert.Si
ngle(_invitations.MeetingIds))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Assert.Equal(1,
_repository.SaveCount)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Assert.True(_repository.LastWorkfl
owForUpdate)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2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Publish_requires_exactly_one_active_chair_and_an_active_secretary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TC-E8CF45B4E5B2 | Publish requires exactly one active chair and an active secretary
tests/TrustCabinet.Web.Tests/Meetings/MeetingWorkflowServiceTests.cs:914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scenario)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32" customHeight="1">
      <c r="A13" s="142"/>
      <c r="B13" s="145" t="str">
        <v>InlineData("no-participants")
InlineData("no-chair")
InlineData("multiple-chairs")
InlineData("inactive-chair")
InlineData("no-secretary")
InlineData("inactive-secretaries")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Assert.Equal(MeetingWorkflowOutcom
e.PublicationRosterNotReady,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Assert.Equal(MeetingStatus.Approve
d, meeting.Status)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Assert.Empty(meeting.StatusHistory
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Assert.Empty(_repository.Notificat
ions)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Assert.Empty(_repository.EmailMess
ages)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Assert.Empty(_invitations.MeetingI
ds)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Assert.Equal(0,
_repository.SaveCount)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2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Assigned_secretary_reads_detail_and_rejection_reason_without_transfer_ids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TC-DE12A807C1C5 | Assigned secretary reads detail and rejection reason without transfer ids
tests/TrustCabinet.Web.Tests/Meetings/MeetingWorkflowServiceTests.cs:960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(MeetingStatus status)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49" customHeight="1">
      <c r="A13" s="142"/>
      <c r="B13" s="145" t="str">
        <v>InlineData(MeetingStatus.Draft)
InlineData(MeetingStatus.WaitingApproval)
InlineData(MeetingStatus.Rejected)
InlineData(MeetingStatus.Approved)
InlineData(MeetingStatus.Published)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e.Success, history.Outcome)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122" customHeight="1">
      <c r="A17" s="142"/>
      <c r="B17" s="145" t="str">
        <v>Assert.Equal("Lý do dành cho thư
ký",
Assert.Single(history.Page!.Items,
            item =&gt; item.Action ==
MeetingHistoryAction.Reject).Rejec
tionReason)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139" customHeight="1">
      <c r="A18" s="142"/>
      <c r="B18" s="145" t="str">
        <v>Assert.All(history.Page.Items,
item =&gt;
        {
            Assert.Null(item.Previ
ousOrganizerId);
Assert.Null(item.NewOrganizerId);
        })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Assert.Equal(MeetingOutcome.Succes
s, details.Outcome)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Meetings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Invalid_secretary_relationship_does_not_grant_prepublication_history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TC-8AB3BF2FEDDF | Invalid secretary relationship does not grant prepublication history
tests/TrustCabinet.Web.Tests/Meetings/MeetingWorkflowServiceTests.cs:1006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MeetingWorkflowServiceTests.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invalid)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115" customHeight="1">
      <c r="A13" s="142"/>
      <c r="B13" s="145" t="str">
        <v>InlineData("member")
InlineData("globalSecretary")
InlineData("otherMeeting")
InlineData("delegated")
InlineData("delegationTarget")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Assert.Equal(MeetingWorkflowOutcom
e.NotFound,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Assert.Null(result.Page)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Assert.Empty(_repository.Notificat
ions)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Assert.Empty(_invitations.MeetingI
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Notifications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Migration_marks_preexisting_notifications_as_already_pushed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TC-37B3B50080AF | Migration marks preexisting notifications as already pushed
tests/TrustCabinet.Web.Tests/Notifications/NotificationWorkerTests.cs:21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NotificationWorkerTests.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Assert.Single(migration.UpOperatio
ns.OfType&lt;SqlOperation&gt;())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Assert.Contains("SET pushed_at =
created_at", sql,
StringComparison.Ordinal)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105" customHeight="1">
      <c r="A18" s="142"/>
      <c r="B18" s="145" t="str">
        <v>Assert.DoesNotContain(
            migration.UpOperations
.OfType&lt;AddColumnOperation&gt;(),
            operation =&gt;
operation.Name == "action_url")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List_returns_every_account_sorted_by_name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TC-EC2E52157391 | List returns every account sorted by name
tests/TrustCabinet.Web.Tests/Users/UserServiceTests.cs:62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Assert.Equal(
            ["Lê Thành Viên",
"Nguyễn Thư Ký", "Phạm Quản Trị"],
            accounts.Select(a =&gt;
a.FullName))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List_includes_deactivated_accounts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TC-8AF733392914 | List includes deactivated accounts
tests/TrustCabinet.Web.Tests/Users/UserServiceTests.cs:76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Assert.False(Assert.Single(account
s).IsActive)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List_never_exposes_the_password_hash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TC-28CA5A53C7DB | List never exposes the password hash
tests/TrustCabinet.Web.Tests/Users/UserServiceTests.cs:88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Assert.Single(await
NewService().ListAsync())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Assert.True(account.HasPassword)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88" customHeight="1">
      <c r="A18" s="142"/>
      <c r="B18" s="145" t="str">
        <v>Assert.DoesNotContain(
nameof(User.PasswordHash),
            typeof(UserAccount).Ge
tProperties().Select(p =&gt; p.Name))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Create_stores_an_active_account_and_records_the_audit_entry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TC-65BBB31AF9DC | Create stores an active account and records the audit entry
tests/TrustCabinet.Web.Tests/Users/UserServiceTests.cs:105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COUNTIF(E27:T27,"P")</f>
        <v>0</v>
      </c>
      <c r="B5" s="133"/>
      <c r="C5" s="132" t="n">
        <f>COUNTIF(E27:T27,"F")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COUNTIF(E26:T26,"N")</f>
        <v>0</v>
      </c>
      <c r="L5" s="136" t="n">
        <f>COUNTIF(E26:T26,"A")</f>
        <v>0</v>
      </c>
      <c r="M5" s="136" t="n">
        <f>COUNTIF(E26:T26,"B")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Assert.Equal("chutoa@trustcabinet.
local", result.Account!.Email)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Assert.Equal(BuiltInRoles.Chair,
result.Account.RoleId)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Assert.Equal("Chủ toạ",
result.Account.RoleName)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Assert.True(result.Account.IsActiv
e)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37" customHeight="1">
      <c r="A21" s="142"/>
      <c r="B21" s="145" t="str">
        <v>Assert.Single(_audit.Records)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Assert.Equal(AuditActions.UserCrea
ted, recorded.Action)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Assert.Equal(AuditActions.UserObje
ctType, recorded.ObjectType)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Assert.Equal(result.Account.Id,
recorded.ObjectId)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4" customHeight="1">
      <c r="A25" s="142"/>
      <c r="B25" s="145" t="str">
        <v>Assert.Equal(_actorId,
recorded.ActorId)</v>
      </c>
      <c r="C25" s="16"/>
      <c r="D25" s="17"/>
      <c r="E25" s="146" t="str">
        <v>O</v>
      </c>
      <c r="F25" s="144"/>
      <c r="G25" s="144"/>
      <c r="H25"/>
      <c r="I25"/>
      <c r="J25"/>
      <c r="K25"/>
      <c r="L25"/>
      <c r="M25"/>
      <c r="N25"/>
    </row>
    <row r="26" ht="55" customHeight="1">
      <c r="A26" s="147" t="str">
        <v>Result</v>
      </c>
      <c r="B26" s="148" t="str">
        <v>Type(N : Normal, A : Abnormal, B : Boundary)</v>
      </c>
      <c r="C26" s="149"/>
      <c r="D26" s="150"/>
      <c r="E26" s="151"/>
      <c r="F26" s="151"/>
      <c r="G26" s="151"/>
      <c r="H26"/>
      <c r="I26"/>
      <c r="J26"/>
      <c r="K26"/>
      <c r="L26"/>
      <c r="M26"/>
      <c r="N26"/>
    </row>
    <row r="27">
      <c r="A27" s="152"/>
      <c r="B27" s="153" t="str">
        <v>Passed/Failed</v>
      </c>
      <c r="C27" s="16"/>
      <c r="D27" s="17"/>
      <c r="E27" s="154" t="str">
        <v>NotRun</v>
      </c>
      <c r="F27" s="154"/>
      <c r="G27" s="154"/>
      <c r="H27"/>
      <c r="I27"/>
      <c r="J27"/>
      <c r="K27"/>
      <c r="L27"/>
      <c r="M27"/>
      <c r="N27"/>
    </row>
    <row r="28">
      <c r="A28" s="152"/>
      <c r="B28" s="155" t="str">
        <v>Executed Date</v>
      </c>
      <c r="C28" s="16"/>
      <c r="D28" s="17"/>
      <c r="E28" s="156" t="str"/>
      <c r="F28" s="156"/>
      <c r="G28" s="156"/>
      <c r="H28"/>
      <c r="I28"/>
      <c r="J28"/>
      <c r="K28"/>
      <c r="L28"/>
      <c r="M28"/>
      <c r="N28"/>
    </row>
    <row r="29">
      <c r="A29" s="157"/>
      <c r="B29" s="155" t="str">
        <v>Defect ID</v>
      </c>
      <c r="C29" s="16"/>
      <c r="D29" s="17"/>
      <c r="E29" s="158" t="str"/>
      <c r="F29" s="158"/>
      <c r="G29" s="158"/>
      <c r="H29"/>
      <c r="I29"/>
      <c r="J29"/>
      <c r="K29"/>
      <c r="L29"/>
      <c r="M29"/>
      <c r="N29"/>
    </row>
  </sheetData>
  <mergeCells count="41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</mergeCells>
</worksheet>
</file>

<file path=xl/worksheets/sheet2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Create_hashes_the_password_instead_of_storing_it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TC-51DEB8644AAA | Create hashes the password instead of storing it
tests/TrustCabinet.Web.Tests/Users/UserServiceTests.cs:127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Assert.Single(_users.Users)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Assert.NotNull(stored)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Assert.DoesNotContain(ValidPasswor
d, stored)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Assert.True(hasher.Verify(stored,
ValidPassword))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Create_never_puts_the_password_in_the_audit_details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TC-E520FE7DAA66 | Create never puts the password in the audit details
tests/TrustCabinet.Web.Tests/Users/UserServiceTests.cs:149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Assert.Single(_audit.Records)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Assert.DoesNotContain(ValidPasswor
d, details)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Assert.DoesNotContain("hashed:",
details)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Create_rejects_invalid_information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TC-353B1DC5A7CE | Create rejects invalid information
tests/TrustCabinet.Web.Tests/Users/UserServiceTests.cs:164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 fullName, string email, string field)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217" customHeight="1">
      <c r="A13" s="142"/>
      <c r="B13" s="145" t="str">
        <v>InlineData("", "hople@trustcabinet.local", "fullName")
InlineData("   ", "hople@trustcabinet.local", "fullName")
InlineData("Tên hợp lệ", "", "email")
InlineData("Tên hợp lệ", "khong-phai-email", "email")
InlineData("Tên hợp lệ", "thieu@ten-mien", "email")
InlineData("Tên hợp lệ", "co khoang trang@x.vn", "email")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Assert.Contains(field,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Assert.Null(result.Account)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Create_rejects_a_password_shorter_than_the_minimum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TC-3BBD8EBCC2F3 | Create rejects a password shorter than the minimum
tests/TrustCabinet.Web.Tests/Users/UserServiceTests.cs:183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Assert.Contains("password",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Create_rejects_a_role_that_does_not_exist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TC-59EE174815B1 | Create rejects a role that does not exist
tests/TrustCabinet.Web.Tests/Users/UserServiceTests.cs:194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Assert.Equal("Vai trò không tồn
tại.", result.Errors!["roleId"])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Assert.Empty(_users.Users)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Create_accepts_a_role_an_administrator_created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TC-A34B64046104 | Create accepts a role an administrator created
tests/TrustCabinet.Web.Tests/Users/UserServiceTests.cs:208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Assert.Equal(deputy.Id,
result.Account!.RoleId)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Assert.Equal("Thư ký phó",
result.Account.RoleName)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Create_reports_every_invalid_field_at_once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TC-C980CFE6D732 | Create reports every invalid field at once
tests/TrustCabinet.Web.Tests/Users/UserServiceTests.cs:223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Assert.Equal(
            ["email", "fullName",
"password"],
result.Errors!.Keys.OrderBy(k =&gt;
k))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Create_rejects_an_email_that_already_exists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TC-433F1206F7F8 | Create rejects an email that already exists
tests/TrustCabinet.Web.Tests/Users/UserServiceTests.cs:235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Assert.Equal(UserOutcome.Duplicate
Email,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Create_rejects_an_email_that_differs_only_in_case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TC-D896624259C7 | Create rejects an email that differs only in case
tests/TrustCabinet.Web.Tests/Users/UserServiceTests.cs:249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Assert.Equal(UserOutcome.Duplicate
Email,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Create_trims_surrounding_whitespace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TC-CDD589034BCD | Create trims surrounding whitespace
tests/TrustCabinet.Web.Tests/Users/UserServiceTests.cs:263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Assert.Equal("chutoa@trustcabinet.
local", result.Account!.Email)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Assert.Equal("Trần Chủ Toạ",
result.Account.FullName)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Create_does_not_audit_when_the_account_was_not_stored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TC-3ABB1DF38B59 | Create does not audit when the account was not stored
tests/TrustCabinet.Web.Tests/Users/UserServiceTests.cs:278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Assert.Equal(UserOutcome.Duplicate
Email,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Create_answers_MSG09_on_the_role_when_the_role_is_deleted_before_the_save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TC-28008A04FD9A | Create answers MSG09 on the role when the role is deleted before the save
tests/TrustCabinet.Web.Tests/Users/UserServiceTests.cs:292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Assert.Equal("Vai trò không tồn
tại.", result.Errors!["roleId"])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Get_returns_the_current_information_for_the_edit_form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TC-7EE5F61F26D4 | Get returns the current information for the edit form
tests/TrustCabinet.Web.Tests/Users/UserServiceTests.cs:312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Assert.Equal("Nguyễn Thư Ký",
result.Account!.FullName)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Assert.Equal(BuiltInRoles.Secretar
y, result.Account.RoleId)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Get_reports_not_found_for_an_unknown_account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TC-952556F74901 | Get reports not found for an unknown account
tests/TrustCabinet.Web.Tests/Users/UserServiceTests.cs:324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Assert.Null(result.Account)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Update_changes_the_account_and_records_what_it_was_before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TC-D99C24279BB1 | Update changes the account and records what it was before
tests/TrustCabinet.Web.Tests/Users/UserServiceTests.cs:333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COUNTIF(E25:T25,"P")</f>
        <v>0</v>
      </c>
      <c r="B5" s="133"/>
      <c r="C5" s="132" t="n">
        <f>COUNTIF(E25:T25,"F")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COUNTIF(E24:T24,"N")</f>
        <v>0</v>
      </c>
      <c r="L5" s="136" t="n">
        <f>COUNTIF(E24:T24,"A")</f>
        <v>0</v>
      </c>
      <c r="M5" s="136" t="n">
        <f>COUNTIF(E24:T24,"B")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Assert.Equal("Tên Mới",
result.Account!.FullName)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Assert.Equal("moi@trustcabinet.loc
al", result.Account.Email)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Assert.Equal(BuiltInRoles.Secretar
y, result.Account.RoleId)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Assert.Single(_audit.Records)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Assert.Equal(AuditActions.UserUpda
ted, recorded.Action)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37" customHeight="1">
      <c r="A22" s="142"/>
      <c r="B22" s="145" t="str">
        <v>Assert.Contains("Tên Cũ", details)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Assert.Contains("Tên Mới",
details)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5" customHeight="1">
      <c r="A24" s="147" t="str">
        <v>Result</v>
      </c>
      <c r="B24" s="148" t="str">
        <v>Type(N : Normal, A : Abnormal, B : Boundary)</v>
      </c>
      <c r="C24" s="149"/>
      <c r="D24" s="150"/>
      <c r="E24" s="151"/>
      <c r="F24" s="151"/>
      <c r="G24" s="151"/>
      <c r="H24"/>
      <c r="I24"/>
      <c r="J24"/>
      <c r="K24"/>
      <c r="L24"/>
      <c r="M24"/>
      <c r="N24"/>
    </row>
    <row r="25">
      <c r="A25" s="152"/>
      <c r="B25" s="153" t="str">
        <v>Passed/Failed</v>
      </c>
      <c r="C25" s="16"/>
      <c r="D25" s="17"/>
      <c r="E25" s="154" t="str">
        <v>NotRun</v>
      </c>
      <c r="F25" s="154"/>
      <c r="G25" s="154"/>
      <c r="H25"/>
      <c r="I25"/>
      <c r="J25"/>
      <c r="K25"/>
      <c r="L25"/>
      <c r="M25"/>
      <c r="N25"/>
    </row>
    <row r="26">
      <c r="A26" s="152"/>
      <c r="B26" s="155" t="str">
        <v>Executed Date</v>
      </c>
      <c r="C26" s="16"/>
      <c r="D26" s="17"/>
      <c r="E26" s="156" t="str"/>
      <c r="F26" s="156"/>
      <c r="G26" s="156"/>
      <c r="H26"/>
      <c r="I26"/>
      <c r="J26"/>
      <c r="K26"/>
      <c r="L26"/>
      <c r="M26"/>
      <c r="N26"/>
    </row>
    <row r="27">
      <c r="A27" s="157"/>
      <c r="B27" s="155" t="str">
        <v>Defect ID</v>
      </c>
      <c r="C27" s="16"/>
      <c r="D27" s="17"/>
      <c r="E27" s="158" t="str"/>
      <c r="F27" s="158"/>
      <c r="G27" s="158"/>
      <c r="H27"/>
      <c r="I27"/>
      <c r="J27"/>
      <c r="K27"/>
      <c r="L27"/>
      <c r="M27"/>
      <c r="N27"/>
    </row>
  </sheetData>
  <mergeCells count="39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</mergeCells>
</worksheet>
</file>

<file path=xl/worksheets/sheet2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Update_lets_an_account_keep_its_own_email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TC-EE3B86278E02 | Update lets an account keep its own email
tests/TrustCabinet.Web.Tests/Users/UserServiceTests.cs:355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Update_rejects_an_email_another_account_already_uses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TC-B59C4B3591F9 | Update rejects an email another account already uses
tests/TrustCabinet.Web.Tests/Users/UserServiceTests.cs:368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Assert.Equal(UserOutcome.Duplicate
Email,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Update_rejects_invalid_information_without_touching_the_account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TC-9DB68DAB2540 | Update rejects invalid information without touching the account
tests/TrustCabinet.Web.Tests/Users/UserServiceTests.cs:381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Assert.Equal("Tên Cũ",
user.FullName)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_users.SaveCount)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Update_reports_not_found_for_an_unknown_account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TC-0D7FE6C0ED20 | Update reports not found for an unknown account
tests/TrustCabinet.Web.Tests/Users/UserServiceTests.cs:395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Update_ends_the_sessions_when_the_role_changes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TC-ABECE4FA833E | Update ends the sessions when the role changes
tests/TrustCabinet.Web.Tests/Users/UserServiceTests.cs:428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Assert.Empty(_refreshTokens.Active
Tokens)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Update_keeps_the_sessions_when_the_role_is_unchanged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TC-9C0A9119BBC9 | Update keeps the sessions when the role is unchanged
tests/TrustCabinet.Web.Tests/Users/UserServiceTests.cs:442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Assert.Single(_refreshTokens.Activ
eTokens)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Update_refuses_to_let_an_administrator_drop_their_own_admin_role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TC-9E15B51B5972 | Update refuses to let an administrator drop their own admin role
tests/TrustCabinet.Web.Tests/Users/UserServiceTests.cs:455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Assert.Equal(UserOutcome.StatusCha
ngeNotAllowed,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Assert.Equal(BuiltInRoles.Admin,
admin.RoleId)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Update_lets_an_administrator_edit_their_own_name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TC-304CD595ECC3 | Update lets an administrator edit their own name
tests/TrustCabinet.Web.Tests/Users/UserServiceTests.cs:469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Update_lets_one_administrator_demote_another_while_one_remains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TC-81F9549069CA | Update lets one administrator demote another while one remains
tests/TrustCabinet.Web.Tests/Users/UserServiceTests.cs:481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Assert.Equal(BuiltInRoles.Member,
other.RoleId)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Update_refuses_to_demote_the_last_administrator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TC-1F28F73B9073 | Update refuses to demote the last administrator
tests/TrustCabinet.Web.Tests/Users/UserServiceTests.cs:495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Assert.Equal(UserOutcome.StatusCha
ngeNotAllowed,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Assert.Equal(BuiltInRoles.Admin,
only.RoleId)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Update_lets_the_last_administrator_keep_administering_under_another_role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TC-2AADDF0940FC | Update lets the last administrator keep administering under another role
tests/TrustCabinet.Web.Tests/Users/UserServiceTests.cs:509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An_inactive_account_can_still_be_moved_to_another_role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TC-DBDBA4449305 | An inactive account can still be moved to another role
tests/TrustCabinet.Web.Tests/Users/UserServiceTests.cs:523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Assert.Equal(BuiltInRoles.Member,
retired.RoleId)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Changing_an_email_ends_the_sessions_too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TC-DB5BB7077719 | Changing an email ends the sessions too
tests/TrustCabinet.Web.Tests/Users/UserServiceTests.cs:543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Assert.Empty(_refreshTokens.Active
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Renaming_somebody_leaves_their_session_alone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TC-F628356756B7 | Renaming somebody leaves their session alone
tests/TrustCabinet.Web.Tests/Users/UserServiceTests.cs:558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Assert.Contains("rt-cua-ho",
_refreshTokens.ActiveTokens)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Both_writes_that_touch_the_invariant_run_under_the_shared_lock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TC-BCC7DD5B6939 | Both writes that touch the invariant run under the shared lock
tests/TrustCabinet.Web.Tests/Users/UserServiceTests.cs:573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Assert.Equal(2,
_invariant.WriteCount)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Sessions_are_ended_after_the_transaction_commits_not_inside_it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TC-564581A0E25D | Sessions are ended after the transaction commits not inside it
tests/TrustCabinet.Web.Tests/Users/UserServiceTests.cs:593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Assert.False(_invariant.IsInsideWr
ite, "Sessions were revoked while
the lock was held.")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Assert.Empty(_refreshTokens.Active
Tokens)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A_change_survives_the_session_store_being_down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TC-676B1FF4882A | A change survives the session store being down
tests/TrustCabinet.Web.Tests/Users/UserServiceTests.cs:612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Assert.Equal(BuiltInRoles.Chair,
user.RoleId)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Deactivate_sets_the_status_ends_the_sessions_and_audits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TC-21F63A5A4962 | Deactivate sets the status ends the sessions and audits
tests/TrustCabinet.Web.Tests/Users/UserServiceTests.cs:630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Assert.False(result.Account!.IsAct
ive)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Assert.Empty(_refreshTokens.Active
Tokens)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71" customHeight="1">
      <c r="A19" s="142"/>
      <c r="B19" s="145" t="str">
        <v>Assert.Equal(AuditActions.UserDeac
tivated, Assert.Single(_audit.Reco
rds).Action)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Deactivate_never_deletes_the_row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TC-A46D0872BF74 | Deactivate never deletes the row
tests/TrustCabinet.Web.Tests/Users/UserServiceTests.cs:646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Assert.Contains(_users.Users, u =&gt;
u.Id == user.Id)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Reactivate_sets_the_status_and_audits_without_touching_sessions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TC-90C6131DD84D | Reactivate sets the status and audits without touching sessions
tests/TrustCabinet.Web.Tests/Users/UserServiceTests.cs:658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Assert.True(result.Account!.IsActi
ve)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Assert.Equal(AuditActions.UserReac
tivated, Assert.Single(_audit.Reco
rds).Action)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Assert.Single(_refreshTokens.Activ
eTokens)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Status_change_is_refused_when_the_account_is_already_in_that_state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TC-5518D2102903 | Status change is refused when the account is already in that state
tests/TrustCabinet.Web.Tests/Users/UserServiceTests.cs:673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(bool isActive)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InlineData(true)
InlineData(false)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Assert.Equal(UserOutcome.StatusCha
ngeNotAllowed,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Assert.Equal(0, _users.SaveCount)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Status_change_is_refused_when_an_administrator_aims_at_their_own_account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TC-CA9DD524EC4A | Status change is refused when an administrator aims at their own account
tests/TrustCabinet.Web.Tests/Users/UserServiceTests.cs:689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Assert.Equal(UserOutcome.StatusCha
ngeNotAllowed,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Assert.True(admin.IsActive)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Two_administrators_cannot_deactivate_each_other_into_a_locked_out_system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TC-34E6A0EC666A | Two administrators cannot deactivate each other into a locked out system
tests/TrustCabinet.Web.Tests/Users/UserServiceTests.cs:702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Assert.True(first.Succeeded)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Assert.Equal(UserOutcome.StatusCha
ngeNotAllowed, second.Outcome)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Assert.True(b.IsActive)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88" customHeight="1">
      <c r="A19" s="142"/>
      <c r="B19" s="145" t="str">
        <v>Assert.Equal(1,
_users.Users.Count(u =&gt; u.RoleId
== BuiltInRoles.Admin &amp;&amp;
u.IsActive))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Deactivating_the_last_administrator_is_refused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TC-F8D28D79652B | Deactivating the last administrator is refused
tests/TrustCabinet.Web.Tests/Users/UserServiceTests.cs:723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Assert.Equal(UserOutcome.StatusCha
ngeNotAllowed,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Assert.True(only.IsActive)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Assert.Empty(_audit.Records)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A_custom_role_holding_admin_users_counts_toward_the_last_administrator_rule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TC-A178CBFDE585 | A custom role holding admin users counts toward the last administrator rule
tests/TrustCabinet.Web.Tests/Users/UserServiceTests.cs:735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Assert.Equal(UserOutcome.StatusCha
ngeNotAllowed, last.Outcome)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Assert.True(newAdmin.IsActive)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Moving_the_last_administrator_into_a_custom_role_without_admin_users_is_refused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TC-9496D7011AB7 | Moving the last administrator into a custom role without admin users is refused
tests/TrustCabinet.Web.Tests/Users/UserServiceTests.cs:758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Assert.Equal(UserOutcome.StatusCha
ngeNotAllowed,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Assert.Equal(BuiltInRoles.Admin,
only.RoleId)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Update_answers_with_the_new_role_name_and_records_it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TC-9537A35A8F12 | Update answers with the new role name and records it
tests/TrustCabinet.Web.Tests/Users/UserServiceTests.cs:772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Assert.Equal("Thư ký",
result.Account!.RoleName)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Assert.Single(_audit.Records)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88" customHeight="1">
      <c r="A18" s="142"/>
      <c r="B18" s="145" t="str">
        <v>Assert.Equal(
            "Thành viên", parsed.R
ootElement.GetProperty("Before").G
etProperty("Role").GetString())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88" customHeight="1">
      <c r="A19" s="142"/>
      <c r="B19" s="145" t="str">
        <v>Assert.Equal(
            "Thư ký", parsed.RootE
lement.GetProperty("After").GetPro
perty("Role").GetString())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105" customHeight="1">
      <c r="A20" s="142"/>
      <c r="B20" s="145" t="str">
        <v>Assert.Equal(
BuiltInRoles.Secretary,
            parsed.RootElement.Get
Property("After").GetProperty("Rol
eId").GetGuid())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2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Update_answers_MSG09_for_a_role_that_has_been_deleted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TC-74894BFA72FE | Update answers MSG09 for a role that has been deleted
tests/TrustCabinet.Web.Tests/Users/UserServiceTests.cs:794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COUNTIF(E20:T20,"P")</f>
        <v>0</v>
      </c>
      <c r="B5" s="133"/>
      <c r="C5" s="132" t="n">
        <f>COUNTIF(E20:T20,"F")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COUNTIF(E19:T19,"N")</f>
        <v>0</v>
      </c>
      <c r="L5" s="136" t="n">
        <f>COUNTIF(E19:T19,"A")</f>
        <v>0</v>
      </c>
      <c r="M5" s="136" t="n">
        <f>COUNTIF(E19:T19,"B")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Assert.Equal(UserOutcome.InvalidIn
formation,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Assert.Contains("roleId",
result.Errors!.Keys)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Assert.Equal(BuiltInRoles.Member,
user.RoleId)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5" customHeight="1">
      <c r="A19" s="147" t="str">
        <v>Result</v>
      </c>
      <c r="B19" s="148" t="str">
        <v>Type(N : Normal, A : Abnormal, B : Boundary)</v>
      </c>
      <c r="C19" s="149"/>
      <c r="D19" s="150"/>
      <c r="E19" s="151"/>
      <c r="F19" s="151"/>
      <c r="G19" s="151"/>
      <c r="H19"/>
      <c r="I19"/>
      <c r="J19"/>
      <c r="K19"/>
      <c r="L19"/>
      <c r="M19"/>
      <c r="N19"/>
    </row>
    <row r="20">
      <c r="A20" s="152"/>
      <c r="B20" s="153" t="str">
        <v>Passed/Failed</v>
      </c>
      <c r="C20" s="16"/>
      <c r="D20" s="17"/>
      <c r="E20" s="154" t="str">
        <v>NotRun</v>
      </c>
      <c r="F20" s="154"/>
      <c r="G20" s="154"/>
      <c r="H20"/>
      <c r="I20"/>
      <c r="J20"/>
      <c r="K20"/>
      <c r="L20"/>
      <c r="M20"/>
      <c r="N20"/>
    </row>
    <row r="21">
      <c r="A21" s="152"/>
      <c r="B21" s="155" t="str">
        <v>Executed Date</v>
      </c>
      <c r="C21" s="16"/>
      <c r="D21" s="17"/>
      <c r="E21" s="156" t="str"/>
      <c r="F21" s="156"/>
      <c r="G21" s="156"/>
      <c r="H21"/>
      <c r="I21"/>
      <c r="J21"/>
      <c r="K21"/>
      <c r="L21"/>
      <c r="M21"/>
      <c r="N21"/>
    </row>
    <row r="22">
      <c r="A22" s="157"/>
      <c r="B22" s="155" t="str">
        <v>Defect ID</v>
      </c>
      <c r="C22" s="16"/>
      <c r="D22" s="17"/>
      <c r="E22" s="158" t="str"/>
      <c r="F22" s="158"/>
      <c r="G22" s="158"/>
      <c r="H22"/>
      <c r="I22"/>
      <c r="J22"/>
      <c r="K22"/>
      <c r="L22"/>
      <c r="M22"/>
      <c r="N22"/>
    </row>
  </sheetData>
  <mergeCells count="34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</worksheet>
</file>

<file path=xl/worksheets/sheet2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Deactivating_a_non_administrator_is_allowed_even_when_one_admin_exists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TC-275BA31F229A | Deactivating a non administrator is allowed even when one admin exists
tests/TrustCabinet.Web.Tests/Users/UserServiceTests.cs:807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Status_change_reports_not_found_for_an_unknown_account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TC-8A9AC9908033 | Status change reports not found for an unknown account
tests/TrustCabinet.Web.Tests/Users/UserServiceTests.cs:819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2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Reset_request_emails_a_link_to_the_registered_address_and_records_it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TC-EDE045FA0A7E | Reset request emails a link to the registered address and records it
tests/TrustCabinet.Web.Tests/Users/UserServiceTests.cs:832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COUNTIF(E26:T26,"P")</f>
        <v>0</v>
      </c>
      <c r="B5" s="133"/>
      <c r="C5" s="132" t="n">
        <f>COUNTIF(E26:T26,"F")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COUNTIF(E25:T25,"N")</f>
        <v>0</v>
      </c>
      <c r="L5" s="136" t="n">
        <f>COUNTIF(E25:T25,"A")</f>
        <v>0</v>
      </c>
      <c r="M5" s="136" t="n">
        <f>COUNTIF(E25:T25,"B")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Assert.Single(_resetEmail.Sent)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Assert.Equal(target.Email,
sent.ToAddress)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54" customHeight="1">
      <c r="A19" s="142"/>
      <c r="B19" s="145" t="str">
        <v>Assert.Equal(Assert.Single(_resetT
okens.Created), sent.Token)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37" customHeight="1">
      <c r="A20" s="142"/>
      <c r="B20" s="145" t="str">
        <v>Assert.Single(_audit.Records)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71" customHeight="1">
      <c r="A21" s="142"/>
      <c r="B21" s="145" t="str">
        <v>Assert.Equal(AuditActions.UserPass
wordResetRequested,
recorded.Action)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54" customHeight="1">
      <c r="A22" s="142"/>
      <c r="B22" s="145" t="str">
        <v>Assert.Equal(target.Id,
recorded.ObjectId)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4" customHeight="1">
      <c r="A23" s="142"/>
      <c r="B23" s="145" t="str">
        <v>Assert.Equal(_actorId,
recorded.ActorId)</v>
      </c>
      <c r="C23" s="16"/>
      <c r="D23" s="17"/>
      <c r="E23" s="146" t="str">
        <v>O</v>
      </c>
      <c r="F23" s="144"/>
      <c r="G23" s="144"/>
      <c r="H23"/>
      <c r="I23"/>
      <c r="J23"/>
      <c r="K23"/>
      <c r="L23"/>
      <c r="M23"/>
      <c r="N23"/>
    </row>
    <row r="24" ht="54" customHeight="1">
      <c r="A24" s="142"/>
      <c r="B24" s="145" t="str">
        <v>Assert.DoesNotContain(sent.Token,
Serialize(recorded.Details))</v>
      </c>
      <c r="C24" s="16"/>
      <c r="D24" s="17"/>
      <c r="E24" s="146" t="str">
        <v>O</v>
      </c>
      <c r="F24" s="144"/>
      <c r="G24" s="144"/>
      <c r="H24"/>
      <c r="I24"/>
      <c r="J24"/>
      <c r="K24"/>
      <c r="L24"/>
      <c r="M24"/>
      <c r="N24"/>
    </row>
    <row r="25" ht="55" customHeight="1">
      <c r="A25" s="147" t="str">
        <v>Result</v>
      </c>
      <c r="B25" s="148" t="str">
        <v>Type(N : Normal, A : Abnormal, B : Boundary)</v>
      </c>
      <c r="C25" s="149"/>
      <c r="D25" s="150"/>
      <c r="E25" s="151"/>
      <c r="F25" s="151"/>
      <c r="G25" s="151"/>
      <c r="H25"/>
      <c r="I25"/>
      <c r="J25"/>
      <c r="K25"/>
      <c r="L25"/>
      <c r="M25"/>
      <c r="N25"/>
    </row>
    <row r="26">
      <c r="A26" s="152"/>
      <c r="B26" s="153" t="str">
        <v>Passed/Failed</v>
      </c>
      <c r="C26" s="16"/>
      <c r="D26" s="17"/>
      <c r="E26" s="154" t="str">
        <v>NotRun</v>
      </c>
      <c r="F26" s="154"/>
      <c r="G26" s="154"/>
      <c r="H26"/>
      <c r="I26"/>
      <c r="J26"/>
      <c r="K26"/>
      <c r="L26"/>
      <c r="M26"/>
      <c r="N26"/>
    </row>
    <row r="27">
      <c r="A27" s="152"/>
      <c r="B27" s="155" t="str">
        <v>Executed Date</v>
      </c>
      <c r="C27" s="16"/>
      <c r="D27" s="17"/>
      <c r="E27" s="156" t="str"/>
      <c r="F27" s="156"/>
      <c r="G27" s="156"/>
      <c r="H27"/>
      <c r="I27"/>
      <c r="J27"/>
      <c r="K27"/>
      <c r="L27"/>
      <c r="M27"/>
      <c r="N27"/>
    </row>
    <row r="28">
      <c r="A28" s="157"/>
      <c r="B28" s="155" t="str">
        <v>Defect ID</v>
      </c>
      <c r="C28" s="16"/>
      <c r="D28" s="17"/>
      <c r="E28" s="158" t="str"/>
      <c r="F28" s="158"/>
      <c r="G28" s="158"/>
      <c r="H28"/>
      <c r="I28"/>
      <c r="J28"/>
      <c r="K28"/>
      <c r="L28"/>
      <c r="M28"/>
      <c r="N28"/>
    </row>
  </sheetData>
  <mergeCells count="40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</mergeCells>
</worksheet>
</file>

<file path=xl/worksheets/sheet2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Reset_request_leaves_the_current_password_and_sessions_alone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TC-C485DC1708E2 | Reset request leaves the current password and sessions alone
tests/TrustCabinet.Web.Tests/Users/UserServiceTests.cs:852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Assert.Equal(before,
target.PasswordHash)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Assert.Empty(_refreshTokens.Revoke
dUsers)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Reset_request_answers_not_available_for_a_deactivated_account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TC-2D134D65D8B3 | Reset request answers not available for a deactivated account
tests/TrustCabinet.Web.Tests/Users/UserServiceTests.cs:865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esetNotAvailable,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Assert.Empty(_resetTokens.Created)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Assert.Empty(_resetEmail.Sent)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Reset_request_answers_not_available_for_an_account_without_a_password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TC-EC172BA33531 | Reset request answers not available for an account without a password
tests/TrustCabinet.Web.Tests/Users/UserServiceTests.cs:878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
        string? passwordHash)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47" customHeight="1">
      <c r="A13" s="142"/>
      <c r="B13" s="145" t="str">
        <v>InlineData(null)
InlineData("")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esetNotAvailable,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Assert.Empty(_resetTokens.Created)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37" customHeight="1">
      <c r="A18" s="142"/>
      <c r="B18" s="145" t="str">
        <v>Assert.Empty(_resetEmail.Sent)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2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Reset_request_answers_email_failed_and_records_nothing_when_the_mail_cannot_go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TC-78EBBC8AF644 | Reset request answers email failed and records nothing when the mail cannot go
tests/TrustCabinet.Web.Tests/Users/UserServiceTests.cs:897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esetEmailFailed,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2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A_failed_resend_keeps_the_link_already_in_the_inbox_working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TC-06B65FE04A81 | A failed resend keeps the link already in the inbox working
tests/TrustCabinet.Web.Tests/Users/UserServiceTests.cs:909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esetEmailFailed, resend.Outcome)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Assert.True(result.Succeeded)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A_link_whose_email_failed_never_works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TC-17DED59021F3 | A link whose email failed never works
tests/TrustCabinet.Web.Tests/Users/UserServiceTests.cs:926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A_deactivation_during_the_send_still_kills_the_link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TC-7FAA521B9875 | A deactivation during the send still kills the link
tests/TrustCabinet.Web.Tests/Users/UserServiceTests.cs:939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Assert.True(request.Succeeded)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Assert.Equal(UserOutcome.PasswordR
esetLinkInvalid, result.Outcome)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An_email_change_during_the_send_kills_the_link_sent_to_the_old_address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TC-2C97AB3521CC | An email change during the send kills the link sent to the old address
tests/TrustCabinet.Web.Tests/Users/UserServiceTests.cs:961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Assert.Equal("thanhvien@trustcabin
et.local", Assert.Single(_resetEma
il.Sent).ToAddress)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Assert.Equal(UserOutcome.PasswordR
esetLinkInvalid, result.Outcome)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A_change_of_case_during_the_send_keeps_the_link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TC-99226AD1D732 | A change of case during the send keeps the link
tests/TrustCabinet.Web.Tests/Users/UserServiceTests.cs:979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Reset_request_reports_not_found_for_an_unknown_account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TC-5580711C74E7 | Reset request reports not found for an unknown account
tests/TrustCabinet.Web.Tests/Users/UserServiceTests.cs:997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Assert.Equal(UserOutcome.NotFound,
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Reset_sets_the_new_password_ends_every_session_and_records_it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TC-F3B960FE2B47 | Reset sets the new password ends every session and records it
tests/TrustCabinet.Web.Tests/Users/UserServiceTests.cs:1005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COUNTIF(E24:T24,"P")</f>
        <v>0</v>
      </c>
      <c r="B5" s="133"/>
      <c r="C5" s="132" t="n">
        <f>COUNTIF(E24:T24,"F")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COUNTIF(E23:T23,"N")</f>
        <v>0</v>
      </c>
      <c r="L5" s="136" t="n">
        <f>COUNTIF(E23:T23,"A")</f>
        <v>0</v>
      </c>
      <c r="M5" s="136" t="n">
        <f>COUNTIF(E23:T23,"B")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Assert.True(new FakePasswordHasher
().Verify(target.PasswordHash!,
NewPassword))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71" customHeight="1">
      <c r="A18" s="142"/>
      <c r="B18" s="145" t="str">
        <v>Assert.Equal([target.Id,
target.Id],
_refreshTokens.RevokedUsers)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Assert.Single(_audit.Records)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Assert.Equal(AuditActions.UserPass
wordReset, recorded.Action)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4" customHeight="1">
      <c r="A21" s="142"/>
      <c r="B21" s="145" t="str">
        <v>Assert.Equal(target.Id,
recorded.ActorId)</v>
      </c>
      <c r="C21" s="16"/>
      <c r="D21" s="17"/>
      <c r="E21" s="146" t="str">
        <v>O</v>
      </c>
      <c r="F21" s="144"/>
      <c r="G21" s="144"/>
      <c r="H21"/>
      <c r="I21"/>
      <c r="J21"/>
      <c r="K21"/>
      <c r="L21"/>
      <c r="M21"/>
      <c r="N21"/>
    </row>
    <row r="22" ht="37" customHeight="1">
      <c r="A22" s="142"/>
      <c r="B22" s="145" t="str">
        <v>Assert.Null(recorded.Details)</v>
      </c>
      <c r="C22" s="16"/>
      <c r="D22" s="17"/>
      <c r="E22" s="146" t="str">
        <v>O</v>
      </c>
      <c r="F22" s="144"/>
      <c r="G22" s="144"/>
      <c r="H22"/>
      <c r="I22"/>
      <c r="J22"/>
      <c r="K22"/>
      <c r="L22"/>
      <c r="M22"/>
      <c r="N22"/>
    </row>
    <row r="23" ht="55" customHeight="1">
      <c r="A23" s="147" t="str">
        <v>Result</v>
      </c>
      <c r="B23" s="148" t="str">
        <v>Type(N : Normal, A : Abnormal, B : Boundary)</v>
      </c>
      <c r="C23" s="149"/>
      <c r="D23" s="150"/>
      <c r="E23" s="151"/>
      <c r="F23" s="151"/>
      <c r="G23" s="151"/>
      <c r="H23"/>
      <c r="I23"/>
      <c r="J23"/>
      <c r="K23"/>
      <c r="L23"/>
      <c r="M23"/>
      <c r="N23"/>
    </row>
    <row r="24">
      <c r="A24" s="152"/>
      <c r="B24" s="153" t="str">
        <v>Passed/Failed</v>
      </c>
      <c r="C24" s="16"/>
      <c r="D24" s="17"/>
      <c r="E24" s="154" t="str">
        <v>NotRun</v>
      </c>
      <c r="F24" s="154"/>
      <c r="G24" s="154"/>
      <c r="H24"/>
      <c r="I24"/>
      <c r="J24"/>
      <c r="K24"/>
      <c r="L24"/>
      <c r="M24"/>
      <c r="N24"/>
    </row>
    <row r="25">
      <c r="A25" s="152"/>
      <c r="B25" s="155" t="str">
        <v>Executed Date</v>
      </c>
      <c r="C25" s="16"/>
      <c r="D25" s="17"/>
      <c r="E25" s="156" t="str"/>
      <c r="F25" s="156"/>
      <c r="G25" s="156"/>
      <c r="H25"/>
      <c r="I25"/>
      <c r="J25"/>
      <c r="K25"/>
      <c r="L25"/>
      <c r="M25"/>
      <c r="N25"/>
    </row>
    <row r="26">
      <c r="A26" s="157"/>
      <c r="B26" s="155" t="str">
        <v>Defect ID</v>
      </c>
      <c r="C26" s="16"/>
      <c r="D26" s="17"/>
      <c r="E26" s="158" t="str"/>
      <c r="F26" s="158"/>
      <c r="G26" s="158"/>
      <c r="H26"/>
      <c r="I26"/>
      <c r="J26"/>
      <c r="K26"/>
      <c r="L26"/>
      <c r="M26"/>
      <c r="N26"/>
    </row>
  </sheetData>
  <mergeCells count="38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</mergeCells>
</worksheet>
</file>

<file path=xl/worksheets/sheet3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Reset_link_works_only_once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TC-9C507A58DEB7 | Reset link works only once
tests/TrustCabinet.Web.Tests/Users/UserServiceTests.cs:1027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second.Outcome)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Assert.True(new FakePasswordHasher
().Verify(target.PasswordHash!,
NewPassword))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A_newer_reset_link_supersedes_the_older_one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TC-7E970CC2F924 | A newer reset link supersedes the older one
tests/TrustCabinet.Web.Tests/Users/UserServiceTests.cs:1042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older.Outcome)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Assert.True(newer.Succeeded)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A_live_link_does_not_give_a_password_to_an_account_without_one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TC-8C0115FBC11F | A live link does not give a password to an account without one
tests/TrustCabinet.Web.Tests/Users/UserServiceTests.cs:1057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COUNTIF(E22:T22,"P")</f>
        <v>0</v>
      </c>
      <c r="B5" s="133"/>
      <c r="C5" s="132" t="n">
        <f>COUNTIF(E22:T22,"F")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COUNTIF(E21:T21,"N")</f>
        <v>0</v>
      </c>
      <c r="L5" s="136" t="n">
        <f>COUNTIF(E21:T21,"A")</f>
        <v>0</v>
      </c>
      <c r="M5" s="136" t="n">
        <f>COUNTIF(E21:T21,"B")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Assert.Null(target.PasswordHash)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Assert.Empty(_refreshTokens.Revoke
dUsers)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Assert.Empty(_audit.Records)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4" customHeight="1">
      <c r="A20" s="142"/>
      <c r="B20" s="145" t="str">
        <v>Assert.Null(await _resetTokens.Pee
kAsync(_resetTokens.Created[0]))</v>
      </c>
      <c r="C20" s="16"/>
      <c r="D20" s="17"/>
      <c r="E20" s="146" t="str">
        <v>O</v>
      </c>
      <c r="F20" s="144"/>
      <c r="G20" s="144"/>
      <c r="H20"/>
      <c r="I20"/>
      <c r="J20"/>
      <c r="K20"/>
      <c r="L20"/>
      <c r="M20"/>
      <c r="N20"/>
    </row>
    <row r="21" ht="55" customHeight="1">
      <c r="A21" s="147" t="str">
        <v>Result</v>
      </c>
      <c r="B21" s="148" t="str">
        <v>Type(N : Normal, A : Abnormal, B : Boundary)</v>
      </c>
      <c r="C21" s="149"/>
      <c r="D21" s="150"/>
      <c r="E21" s="151"/>
      <c r="F21" s="151"/>
      <c r="G21" s="151"/>
      <c r="H21"/>
      <c r="I21"/>
      <c r="J21"/>
      <c r="K21"/>
      <c r="L21"/>
      <c r="M21"/>
      <c r="N21"/>
    </row>
    <row r="22">
      <c r="A22" s="152"/>
      <c r="B22" s="153" t="str">
        <v>Passed/Failed</v>
      </c>
      <c r="C22" s="16"/>
      <c r="D22" s="17"/>
      <c r="E22" s="154" t="str">
        <v>NotRun</v>
      </c>
      <c r="F22" s="154"/>
      <c r="G22" s="154"/>
      <c r="H22"/>
      <c r="I22"/>
      <c r="J22"/>
      <c r="K22"/>
      <c r="L22"/>
      <c r="M22"/>
      <c r="N22"/>
    </row>
    <row r="23">
      <c r="A23" s="152"/>
      <c r="B23" s="155" t="str">
        <v>Executed Date</v>
      </c>
      <c r="C23" s="16"/>
      <c r="D23" s="17"/>
      <c r="E23" s="156" t="str"/>
      <c r="F23" s="156"/>
      <c r="G23" s="156"/>
      <c r="H23"/>
      <c r="I23"/>
      <c r="J23"/>
      <c r="K23"/>
      <c r="L23"/>
      <c r="M23"/>
      <c r="N23"/>
    </row>
    <row r="24">
      <c r="A24" s="157"/>
      <c r="B24" s="155" t="str">
        <v>Defect ID</v>
      </c>
      <c r="C24" s="16"/>
      <c r="D24" s="17"/>
      <c r="E24" s="158" t="str"/>
      <c r="F24" s="158"/>
      <c r="G24" s="158"/>
      <c r="H24"/>
      <c r="I24"/>
      <c r="J24"/>
      <c r="K24"/>
      <c r="L24"/>
      <c r="M24"/>
      <c r="N24"/>
    </row>
  </sheetData>
  <mergeCells count="36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</mergeCells>
</worksheet>
</file>

<file path=xl/worksheets/sheet3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Reset_refuses_an_expired_link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TC-C7A270BB14CA | Reset refuses an expired link
tests/TrustCabinet.Web.Tests/Users/UserServiceTests.cs:1078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Reset_refuses_an_unknown_link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TC-9CCD659CD847 | Reset refuses an unknown link
tests/TrustCabinet.Web.Tests/Users/UserServiceTests.cs:1091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(string? token)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81" customHeight="1">
      <c r="A13" s="142"/>
      <c r="B13" s="145" t="str">
        <v>InlineData(null)
InlineData("")
InlineData("khong-phai-token-nao-ca")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37" customHeight="1">
      <c r="A17" s="142"/>
      <c r="B17" s="145" t="str">
        <v>Assert.Empty(_audit.Records)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A_too_short_password_is_refused_without_spending_the_link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TC-E2FF97556A64 | A too short password is refused without spending the link
tests/TrustCabinet.Web.Tests/Users/UserServiceTests.cs:1103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COUNTIF(E21:T21,"P")</f>
        <v>0</v>
      </c>
      <c r="B5" s="133"/>
      <c r="C5" s="132" t="n">
        <f>COUNTIF(E21:T21,"F")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COUNTIF(E20:T20,"N")</f>
        <v>0</v>
      </c>
      <c r="L5" s="136" t="n">
        <f>COUNTIF(E20:T20,"A")</f>
        <v>0</v>
      </c>
      <c r="M5" s="136" t="n">
        <f>COUNTIF(E20:T20,"B")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Assert.Equal(before,
target.PasswordHash)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Assert.Equal(UserOutcome.InvalidIn
formation, refused.Outcome)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4" customHeight="1">
      <c r="A18" s="142"/>
      <c r="B18" s="145" t="str">
        <v>Assert.Contains("newPassword",
refused.Errors!.Keys)</v>
      </c>
      <c r="C18" s="16"/>
      <c r="D18" s="17"/>
      <c r="E18" s="146" t="str">
        <v>O</v>
      </c>
      <c r="F18" s="144"/>
      <c r="G18" s="144"/>
      <c r="H18"/>
      <c r="I18"/>
      <c r="J18"/>
      <c r="K18"/>
      <c r="L18"/>
      <c r="M18"/>
      <c r="N18"/>
    </row>
    <row r="19" ht="37" customHeight="1">
      <c r="A19" s="142"/>
      <c r="B19" s="145" t="str">
        <v>Assert.True(retried.Succeeded)</v>
      </c>
      <c r="C19" s="16"/>
      <c r="D19" s="17"/>
      <c r="E19" s="146" t="str">
        <v>O</v>
      </c>
      <c r="F19" s="144"/>
      <c r="G19" s="144"/>
      <c r="H19"/>
      <c r="I19"/>
      <c r="J19"/>
      <c r="K19"/>
      <c r="L19"/>
      <c r="M19"/>
      <c r="N19"/>
    </row>
    <row r="20" ht="55" customHeight="1">
      <c r="A20" s="147" t="str">
        <v>Result</v>
      </c>
      <c r="B20" s="148" t="str">
        <v>Type(N : Normal, A : Abnormal, B : Boundary)</v>
      </c>
      <c r="C20" s="149"/>
      <c r="D20" s="150"/>
      <c r="E20" s="151"/>
      <c r="F20" s="151"/>
      <c r="G20" s="151"/>
      <c r="H20"/>
      <c r="I20"/>
      <c r="J20"/>
      <c r="K20"/>
      <c r="L20"/>
      <c r="M20"/>
      <c r="N20"/>
    </row>
    <row r="21">
      <c r="A21" s="152"/>
      <c r="B21" s="153" t="str">
        <v>Passed/Failed</v>
      </c>
      <c r="C21" s="16"/>
      <c r="D21" s="17"/>
      <c r="E21" s="154" t="str">
        <v>NotRun</v>
      </c>
      <c r="F21" s="154"/>
      <c r="G21" s="154"/>
      <c r="H21"/>
      <c r="I21"/>
      <c r="J21"/>
      <c r="K21"/>
      <c r="L21"/>
      <c r="M21"/>
      <c r="N21"/>
    </row>
    <row r="22">
      <c r="A22" s="152"/>
      <c r="B22" s="155" t="str">
        <v>Executed Date</v>
      </c>
      <c r="C22" s="16"/>
      <c r="D22" s="17"/>
      <c r="E22" s="156" t="str"/>
      <c r="F22" s="156"/>
      <c r="G22" s="156"/>
      <c r="H22"/>
      <c r="I22"/>
      <c r="J22"/>
      <c r="K22"/>
      <c r="L22"/>
      <c r="M22"/>
      <c r="N22"/>
    </row>
    <row r="23">
      <c r="A23" s="157"/>
      <c r="B23" s="155" t="str">
        <v>Defect ID</v>
      </c>
      <c r="C23" s="16"/>
      <c r="D23" s="17"/>
      <c r="E23" s="158" t="str"/>
      <c r="F23" s="158"/>
      <c r="G23" s="158"/>
      <c r="H23"/>
      <c r="I23"/>
      <c r="J23"/>
      <c r="K23"/>
      <c r="L23"/>
      <c r="M23"/>
      <c r="N23"/>
    </row>
  </sheetData>
  <mergeCells count="35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</mergeCells>
</worksheet>
</file>

<file path=xl/worksheets/sheet3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Reset_refuses_the_link_of_an_account_deactivated_since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TC-8D1903B5AAE8 | Reset refuses the link of an account deactivated since
tests/TrustCabinet.Web.Tests/Users/UserServiceTests.cs:1121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Assert.Equal(before,
target.PasswordHash)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Reset_ends_a_session_opened_with_the_old_password_while_it_ran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TC-E7B4918899FD | Reset ends a session opened with the old password while it ran
tests/TrustCabinet.Web.Tests/Users/UserServiceTests.cs:1136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71" customHeight="1">
      <c r="A16" s="142"/>
      <c r="B16" s="145" t="str">
        <v>Assert.Null(await
_refreshTokens.PeekAsync("dang-
nhap-chen-giua"))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Reset_still_succeeds_when_only_the_second_revoke_fails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TC-FF9A7FDD254F | Reset still succeeds when only the second revoke fails
tests/TrustCabinet.Web.Tests/Users/UserServiceTests.cs:1158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71" customHeight="1">
      <c r="A17" s="142"/>
      <c r="B17" s="145" t="str">
        <v>Assert.Single(_audit.Records, r =&gt;
r.Action ==
AuditActions.UserPasswordReset)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Deactivating_an_account_kills_its_outstanding_reset_link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TC-7E900720BAFC | Deactivating an account kills its outstanding reset link
tests/TrustCabinet.Web.Tests/Users/UserServiceTests.cs:1181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Changing_the_email_kills_the_link_sent_to_the_old_address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TC-85A953885ED8 | Changing the email kills the link sent to the old address
tests/TrustCabinet.Web.Tests/Users/UserServiceTests.cs:1196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Sessions_still_end_when_revoking_the_reset_link_fails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TC-48ADC043DDE8 | Sessions still end when revoking the reset link fails
tests/TrustCabinet.Web.Tests/Users/UserServiceTests.cs:1210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Assert.Equal([target.Id],
_refreshTokens.RevokedUsers)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xl/worksheets/sheet3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The_reset_link_is_still_revoked_when_ending_the_sessions_fails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TC-76063B56A2D7 | The reset link is still revoked when ending the sessions fails
tests/TrustCabinet.Web.Tests/Users/UserServiceTests.cs:1225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54" customHeight="1">
      <c r="A16" s="142"/>
      <c r="B16" s="145" t="str">
        <v>Assert.Equal(UserOutcome.PasswordR
esetLinkInvalid, result.Outcome)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Renaming_an_account_leaves_its_reset_link_working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TC-F7589A47AF22 | Renaming an account leaves its reset link working
tests/TrustCabinet.Web.Tests/Users/UserServiceTests.cs:1241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COUNTIF(E18:T18,"P")</f>
        <v>0</v>
      </c>
      <c r="B5" s="133"/>
      <c r="C5" s="132" t="n">
        <f>COUNTIF(E18:T18,"F")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COUNTIF(E17:T17,"N")</f>
        <v>0</v>
      </c>
      <c r="L5" s="136" t="n">
        <f>COUNTIF(E17:T17,"A")</f>
        <v>0</v>
      </c>
      <c r="M5" s="136" t="n">
        <f>COUNTIF(E17:T17,"B")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37" customHeight="1">
      <c r="A16" s="142"/>
      <c r="B16" s="145" t="str">
        <v>Assert.True(result.Succeeded)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5" customHeight="1">
      <c r="A17" s="147" t="str">
        <v>Result</v>
      </c>
      <c r="B17" s="148" t="str">
        <v>Type(N : Normal, A : Abnormal, B : Boundary)</v>
      </c>
      <c r="C17" s="149"/>
      <c r="D17" s="150"/>
      <c r="E17" s="151"/>
      <c r="F17" s="151"/>
      <c r="G17" s="151"/>
      <c r="H17"/>
      <c r="I17"/>
      <c r="J17"/>
      <c r="K17"/>
      <c r="L17"/>
      <c r="M17"/>
      <c r="N17"/>
    </row>
    <row r="18">
      <c r="A18" s="152"/>
      <c r="B18" s="153" t="str">
        <v>Passed/Failed</v>
      </c>
      <c r="C18" s="16"/>
      <c r="D18" s="17"/>
      <c r="E18" s="154" t="str">
        <v>NotRun</v>
      </c>
      <c r="F18" s="154"/>
      <c r="G18" s="154"/>
      <c r="H18"/>
      <c r="I18"/>
      <c r="J18"/>
      <c r="K18"/>
      <c r="L18"/>
      <c r="M18"/>
      <c r="N18"/>
    </row>
    <row r="19">
      <c r="A19" s="152"/>
      <c r="B19" s="155" t="str">
        <v>Executed Date</v>
      </c>
      <c r="C19" s="16"/>
      <c r="D19" s="17"/>
      <c r="E19" s="156" t="str"/>
      <c r="F19" s="156"/>
      <c r="G19" s="156"/>
      <c r="H19"/>
      <c r="I19"/>
      <c r="J19"/>
      <c r="K19"/>
      <c r="L19"/>
      <c r="M19"/>
      <c r="N19"/>
    </row>
    <row r="20">
      <c r="A20" s="157"/>
      <c r="B20" s="155" t="str">
        <v>Defect ID</v>
      </c>
      <c r="C20" s="16"/>
      <c r="D20" s="17"/>
      <c r="E20" s="158" t="str"/>
      <c r="F20" s="158"/>
      <c r="G20" s="158"/>
      <c r="H20"/>
      <c r="I20"/>
      <c r="J20"/>
      <c r="K20"/>
      <c r="L20"/>
      <c r="M20"/>
      <c r="N20"/>
    </row>
  </sheetData>
  <mergeCells count="32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</worksheet>
</file>

<file path=xl/worksheets/sheet3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8.38"/>
    <col customWidth="1" min="3" max="3" width="12.5"/>
    <col customWidth="1" min="4" max="4" width="11.75"/>
    <col customWidth="1" min="5" max="5" width="5.38"/>
    <col customWidth="1" min="6" max="6" width="4.88"/>
    <col customWidth="1" min="7" max="7" width="5.0"/>
    <col customWidth="1" min="8" max="8" width="4.88"/>
    <col customWidth="1" min="9" max="9" width="5.13"/>
    <col customWidth="1" min="10" max="10" width="6.13"/>
    <col customWidth="1" min="11" max="11" width="5.5"/>
    <col customWidth="1" min="12" max="13" width="4.75"/>
    <col customWidth="1" min="14" max="14" width="4.5"/>
    <col customWidth="1" min="15" max="15" width="4.38"/>
    <col customWidth="1" min="16" max="17" width="4.88"/>
    <col customWidth="1" min="18" max="18" width="5.25"/>
    <col customWidth="1" min="19" max="19" width="4.25"/>
    <col customWidth="1" min="20" max="20" width="5.63"/>
  </cols>
  <sheetData>
    <row r="1" ht="48" customHeight="1">
      <c r="A1" s="121" t="str">
        <v>Code Module</v>
      </c>
      <c r="B1" s="122"/>
      <c r="C1" s="123" t="str">
        <v>Users</v>
      </c>
      <c r="D1" s="122"/>
      <c r="E1" s="124" t="str">
        <v>Method</v>
      </c>
      <c r="F1" s="125"/>
      <c r="G1" s="125"/>
      <c r="H1" s="125"/>
      <c r="I1" s="125"/>
      <c r="J1" s="122"/>
      <c r="K1" s="123" t="str">
        <v>Reset_keeps_the_old_password_when_ending_the_sessions_fails</v>
      </c>
      <c r="L1" s="125"/>
      <c r="M1" s="125"/>
      <c r="N1" s="125"/>
      <c r="O1" s="125"/>
      <c r="P1" s="125"/>
      <c r="Q1" s="125"/>
      <c r="R1" s="125"/>
      <c r="S1" s="125"/>
      <c r="T1" s="126"/>
      <c r="U1" s="127"/>
      <c r="V1" s="127"/>
      <c r="W1" s="127"/>
      <c r="X1" s="127"/>
      <c r="Y1" s="127"/>
      <c r="Z1" s="127"/>
    </row>
    <row r="2">
      <c r="A2" s="128" t="str">
        <v>Created By</v>
      </c>
      <c r="B2" s="17"/>
      <c r="C2" s="129" t="str">
        <v>TrustCabinet Team</v>
      </c>
      <c r="D2" s="17"/>
      <c r="E2" s="130" t="str">
        <v>Executed By</v>
      </c>
      <c r="F2" s="16"/>
      <c r="G2" s="16"/>
      <c r="H2" s="16"/>
      <c r="I2" s="16"/>
      <c r="J2" s="17"/>
      <c r="K2" s="129" t="str"/>
      <c r="L2" s="16"/>
      <c r="M2" s="16"/>
      <c r="N2" s="16"/>
      <c r="O2" s="16"/>
      <c r="P2" s="16"/>
      <c r="Q2" s="16"/>
      <c r="R2" s="16"/>
      <c r="S2" s="16"/>
      <c r="T2" s="131"/>
      <c r="U2" s="127"/>
      <c r="V2" s="127"/>
      <c r="W2" s="127"/>
      <c r="X2" s="127"/>
      <c r="Y2" s="127"/>
      <c r="Z2" s="127"/>
    </row>
    <row r="3" ht="60" customHeight="1">
      <c r="A3" s="128" t="str">
        <v>Test requirement</v>
      </c>
      <c r="B3" s="17"/>
      <c r="C3" s="129" t="str">
        <v>TC-96E6209F5332 | Reset keeps the old password when ending the sessions fails
tests/TrustCabinet.Web.Tests/Users/UserServiceTests.cs:1255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31"/>
      <c r="U3" s="127"/>
      <c r="V3" s="127"/>
      <c r="W3" s="127"/>
      <c r="X3" s="127"/>
      <c r="Y3" s="127"/>
      <c r="Z3" s="127"/>
    </row>
    <row r="4">
      <c r="A4" s="128" t="str">
        <v>Passed</v>
      </c>
      <c r="B4" s="17"/>
      <c r="C4" s="130" t="str">
        <v>Failed</v>
      </c>
      <c r="D4" s="17"/>
      <c r="E4" s="130" t="str">
        <v>Untested</v>
      </c>
      <c r="F4" s="16"/>
      <c r="G4" s="16"/>
      <c r="H4" s="16"/>
      <c r="I4" s="16"/>
      <c r="J4" s="17"/>
      <c r="K4" s="130" t="str">
        <v>N/A/B</v>
      </c>
      <c r="L4" s="16"/>
      <c r="M4" s="17"/>
      <c r="N4" s="130" t="str">
        <v>Total Test Cases</v>
      </c>
      <c r="O4" s="16"/>
      <c r="P4" s="16"/>
      <c r="Q4" s="16"/>
      <c r="R4" s="16"/>
      <c r="S4" s="16"/>
      <c r="T4" s="131"/>
      <c r="U4" s="127"/>
      <c r="V4" s="127"/>
      <c r="W4" s="127"/>
      <c r="X4" s="127"/>
      <c r="Y4" s="127"/>
      <c r="Z4" s="127"/>
    </row>
    <row r="5">
      <c r="A5" s="132" t="n">
        <f>COUNTIF(E19:T19,"P")</f>
        <v>0</v>
      </c>
      <c r="B5" s="133"/>
      <c r="C5" s="132" t="n">
        <f>COUNTIF(E19:T19,"F")</f>
        <v>0</v>
      </c>
      <c r="D5" s="133"/>
      <c r="E5" s="134" t="n">
        <f>N5-A5-C5</f>
        <v>1</v>
      </c>
      <c r="F5" s="135"/>
      <c r="G5" s="135"/>
      <c r="H5" s="135"/>
      <c r="I5" s="135"/>
      <c r="J5" s="133"/>
      <c r="K5" s="136" t="n">
        <f>COUNTIF(E18:T18,"N")</f>
        <v>0</v>
      </c>
      <c r="L5" s="136" t="n">
        <f>COUNTIF(E18:T18,"A")</f>
        <v>0</v>
      </c>
      <c r="M5" s="136" t="n">
        <f>COUNTIF(E18:T18,"B")</f>
        <v>0</v>
      </c>
      <c r="N5" s="134" t="n">
        <f>COUNTA(E7:T7)</f>
        <v>1</v>
      </c>
      <c r="O5" s="135"/>
      <c r="P5" s="135"/>
      <c r="Q5" s="135"/>
      <c r="R5" s="135"/>
      <c r="S5" s="135"/>
      <c r="T5" s="137"/>
      <c r="U5" s="127"/>
      <c r="V5" s="127"/>
      <c r="W5" s="127"/>
      <c r="X5" s="127"/>
      <c r="Y5" s="127"/>
      <c r="Z5" s="127"/>
    </row>
    <row r="6">
      <c r="A6" s="138"/>
      <c r="B6" s="138"/>
      <c r="C6" s="138"/>
      <c r="D6" s="138"/>
      <c r="E6" s="138"/>
      <c r="F6" s="138"/>
      <c r="G6" s="138"/>
      <c r="H6" s="13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 ht="47.25" customHeight="1">
      <c r="A7" s="139"/>
      <c r="B7" s="140"/>
      <c r="C7" s="140"/>
      <c r="D7" s="140"/>
      <c r="E7" s="141" t="str">
        <v>UTCID01</v>
      </c>
      <c r="F7" s="141"/>
      <c r="G7" s="141"/>
      <c r="H7"/>
      <c r="I7"/>
      <c r="J7"/>
      <c r="K7"/>
      <c r="L7"/>
      <c r="M7"/>
      <c r="N7"/>
    </row>
    <row r="8">
      <c r="A8" s="147" t="str">
        <v>Condition</v>
      </c>
      <c r="B8" s="143" t="str">
        <v>Precondition</v>
      </c>
      <c r="C8" s="16"/>
      <c r="D8" s="17"/>
      <c r="E8" s="144"/>
      <c r="F8" s="144"/>
      <c r="G8" s="144"/>
      <c r="H8"/>
      <c r="I8"/>
      <c r="J8"/>
      <c r="K8"/>
      <c r="L8"/>
      <c r="M8"/>
      <c r="N8"/>
    </row>
    <row r="9" ht="110" customHeight="1">
      <c r="A9" s="142"/>
      <c r="B9" s="145" t="str">
        <v>In-process logic; fakes/stubs as declared by the source fixture. Fixture: UserServiceTests. </v>
      </c>
      <c r="C9" s="16"/>
      <c r="D9" s="17"/>
      <c r="E9" s="146" t="str">
        <v>O</v>
      </c>
      <c r="F9" s="144"/>
      <c r="G9" s="144"/>
      <c r="H9"/>
      <c r="I9"/>
      <c r="J9"/>
      <c r="K9"/>
      <c r="L9"/>
      <c r="M9"/>
      <c r="N9"/>
    </row>
    <row r="10" ht="42" customHeight="1">
      <c r="A10" s="142"/>
      <c r="B10" s="145" t="str">
        <v>Fixture and helpers: see the referenced source.</v>
      </c>
      <c r="C10" s="16"/>
      <c r="D10" s="17"/>
      <c r="E10" s="146" t="str">
        <v>O</v>
      </c>
      <c r="F10" s="160"/>
      <c r="G10" s="144"/>
      <c r="H10"/>
      <c r="I10"/>
      <c r="J10"/>
      <c r="K10"/>
      <c r="L10"/>
      <c r="M10"/>
      <c r="N10"/>
    </row>
    <row r="11">
      <c r="A11" s="142"/>
      <c r="B11" s="143" t="str">
        <v>Input data</v>
      </c>
      <c r="C11" s="16"/>
      <c r="D11" s="17"/>
      <c r="E11" s="160"/>
      <c r="F11" s="160"/>
      <c r="G11" s="160"/>
      <c r="H11"/>
      <c r="I11"/>
      <c r="J11"/>
      <c r="K11"/>
      <c r="L11"/>
      <c r="M11"/>
      <c r="N11"/>
    </row>
    <row r="12" ht="45" customHeight="1">
      <c r="A12" s="142"/>
      <c r="B12" s="145" t="str">
        <v>()</v>
      </c>
      <c r="C12" s="16"/>
      <c r="D12" s="17"/>
      <c r="E12" s="146" t="str">
        <v>O</v>
      </c>
      <c r="F12" s="144"/>
      <c r="G12" s="144"/>
      <c r="H12"/>
      <c r="I12"/>
      <c r="J12"/>
      <c r="K12"/>
      <c r="L12"/>
      <c r="M12"/>
      <c r="N12"/>
    </row>
    <row r="13" ht="64" customHeight="1">
      <c r="A13" s="142"/>
      <c r="B13" s="145" t="str">
        <v>Fact: setup data is declared in the test body.</v>
      </c>
      <c r="C13" s="16"/>
      <c r="D13" s="17"/>
      <c r="E13" s="160" t="str">
        <v>O</v>
      </c>
      <c r="F13" s="146"/>
      <c r="G13" s="144"/>
      <c r="H13"/>
      <c r="I13"/>
      <c r="J13"/>
      <c r="K13"/>
      <c r="L13"/>
      <c r="M13"/>
      <c r="N13"/>
    </row>
    <row r="14" ht="65" customHeight="1">
      <c r="A14" s="142"/>
      <c r="B14" s="145" t="str">
        <v>Procedure: execute this xUnit definition and all its data variants.</v>
      </c>
      <c r="C14" s="16"/>
      <c r="D14" s="17"/>
      <c r="E14" s="144" t="str">
        <v>O</v>
      </c>
      <c r="F14" s="144"/>
      <c r="G14" s="146"/>
      <c r="H14"/>
      <c r="I14"/>
      <c r="J14"/>
      <c r="K14"/>
      <c r="L14"/>
      <c r="M14"/>
      <c r="N14"/>
    </row>
    <row r="15">
      <c r="A15" s="147" t="str">
        <v>Confirm</v>
      </c>
      <c r="B15" s="161" t="str">
        <v>Return / assertions</v>
      </c>
      <c r="C15" s="149"/>
      <c r="D15" s="150"/>
      <c r="E15" s="162"/>
      <c r="F15" s="162"/>
      <c r="G15" s="162"/>
      <c r="H15"/>
      <c r="I15"/>
      <c r="J15"/>
      <c r="K15"/>
      <c r="L15"/>
      <c r="M15"/>
      <c r="N15"/>
    </row>
    <row r="16" ht="105" customHeight="1">
      <c r="A16" s="142"/>
      <c r="B16" s="145" t="str">
        <v>Assert.ThrowsAsync&lt;InvalidOperatio
nException&gt;(
            () =&gt; service.ResetPas
swordAsync(_resetTokens.Created[0]
, NewPassword))</v>
      </c>
      <c r="C16" s="16"/>
      <c r="D16" s="17"/>
      <c r="E16" s="146" t="str">
        <v>O</v>
      </c>
      <c r="F16" s="144"/>
      <c r="G16" s="144"/>
      <c r="H16"/>
      <c r="I16"/>
      <c r="J16"/>
      <c r="K16"/>
      <c r="L16"/>
      <c r="M16"/>
      <c r="N16"/>
    </row>
    <row r="17" ht="54" customHeight="1">
      <c r="A17" s="142"/>
      <c r="B17" s="145" t="str">
        <v>Assert.Equal(before,
target.PasswordHash)</v>
      </c>
      <c r="C17" s="16"/>
      <c r="D17" s="17"/>
      <c r="E17" s="146" t="str">
        <v>O</v>
      </c>
      <c r="F17" s="144"/>
      <c r="G17" s="144"/>
      <c r="H17"/>
      <c r="I17"/>
      <c r="J17"/>
      <c r="K17"/>
      <c r="L17"/>
      <c r="M17"/>
      <c r="N17"/>
    </row>
    <row r="18" ht="55" customHeight="1">
      <c r="A18" s="147" t="str">
        <v>Result</v>
      </c>
      <c r="B18" s="148" t="str">
        <v>Type(N : Normal, A : Abnormal, B : Boundary)</v>
      </c>
      <c r="C18" s="149"/>
      <c r="D18" s="150"/>
      <c r="E18" s="151"/>
      <c r="F18" s="151"/>
      <c r="G18" s="151"/>
      <c r="H18"/>
      <c r="I18"/>
      <c r="J18"/>
      <c r="K18"/>
      <c r="L18"/>
      <c r="M18"/>
      <c r="N18"/>
    </row>
    <row r="19">
      <c r="A19" s="152"/>
      <c r="B19" s="153" t="str">
        <v>Passed/Failed</v>
      </c>
      <c r="C19" s="16"/>
      <c r="D19" s="17"/>
      <c r="E19" s="154" t="str">
        <v>NotRun</v>
      </c>
      <c r="F19" s="154"/>
      <c r="G19" s="154"/>
      <c r="H19"/>
      <c r="I19"/>
      <c r="J19"/>
      <c r="K19"/>
      <c r="L19"/>
      <c r="M19"/>
      <c r="N19"/>
    </row>
    <row r="20">
      <c r="A20" s="152"/>
      <c r="B20" s="155" t="str">
        <v>Executed Date</v>
      </c>
      <c r="C20" s="16"/>
      <c r="D20" s="17"/>
      <c r="E20" s="156" t="str"/>
      <c r="F20" s="156"/>
      <c r="G20" s="156"/>
      <c r="H20"/>
      <c r="I20"/>
      <c r="J20"/>
      <c r="K20"/>
      <c r="L20"/>
      <c r="M20"/>
      <c r="N20"/>
    </row>
    <row r="21">
      <c r="A21" s="157"/>
      <c r="B21" s="155" t="str">
        <v>Defect ID</v>
      </c>
      <c r="C21" s="16"/>
      <c r="D21" s="17"/>
      <c r="E21" s="158" t="str"/>
      <c r="F21" s="158"/>
      <c r="G21" s="158"/>
      <c r="H21"/>
      <c r="I21"/>
      <c r="J21"/>
      <c r="K21"/>
      <c r="L21"/>
      <c r="M21"/>
      <c r="N21"/>
    </row>
  </sheetData>
  <mergeCells count="33">
    <mergeCell ref="C3:T3"/>
    <mergeCell ref="N4:T4"/>
    <mergeCell ref="A1:B1"/>
    <mergeCell ref="C1:D1"/>
    <mergeCell ref="E1:J1"/>
    <mergeCell ref="K1:T1"/>
    <mergeCell ref="C2:D2"/>
    <mergeCell ref="E2:J2"/>
    <mergeCell ref="K2:T2"/>
    <mergeCell ref="C5:D5"/>
    <mergeCell ref="E5:J5"/>
    <mergeCell ref="N5:T5"/>
    <mergeCell ref="A2:B2"/>
    <mergeCell ref="A3:B3"/>
    <mergeCell ref="A4:B4"/>
    <mergeCell ref="C4:D4"/>
    <mergeCell ref="E4:J4"/>
    <mergeCell ref="K4:M4"/>
    <mergeCell ref="A5:B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</mergeCell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2007-10-09T09:39:48Z</dcterms:created>
  <dc:creator>TrustCabinet SEP490-G116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