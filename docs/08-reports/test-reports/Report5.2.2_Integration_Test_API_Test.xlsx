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Cover" sheetId="1" r:id="sheet1"/>
    <sheet name="Test Cases" sheetId="2" r:id="sheet2"/>
    <sheet name="Test Statistics" sheetId="3" r:id="sheet3"/>
    <sheet name="Access" sheetId="4" r:id="sheet4"/>
    <sheet name="Agenda" sheetId="5" r:id="sheet5"/>
    <sheet name="Attendance" sheetId="6" r:id="sheet6"/>
    <sheet name="Authentication" sheetId="7" r:id="sheet7"/>
    <sheet name="Calls" sheetId="8" r:id="sheet8"/>
    <sheet name="Core" sheetId="9" r:id="sheet9"/>
    <sheet name="Documents" sheetId="10" r:id="sheet10"/>
    <sheet name="Email" sheetId="11" r:id="sheet11"/>
    <sheet name="Meetings" sheetId="12" r:id="sheet12"/>
    <sheet name="Notifications" sheetId="13" r:id="sheet13"/>
    <sheet name="Participants" sheetId="14" r:id="sheet14"/>
    <sheet name="Recordings" sheetId="15" r:id="sheet15"/>
    <sheet name="Users" sheetId="16" r:id="sheet16"/>
  </sheets>
  <calcPr fullCalcOnLoad="1" forceFullCalc="1"/>
</workbook>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mm\-yy"/>
    <numFmt numFmtId="166" formatCode="dd&quot;/&quot;mm&quot;/&quot;yyyy"/>
  </numFmts>
  <fonts count="29">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color theme="1"/>
      <name val="Tahoma"/>
    </font>
    <font>
      <i/>
      <sz val="10.0"/>
      <color theme="1"/>
      <name val="Tahoma"/>
    </font>
    <font>
      <b/>
      <sz val="10.0"/>
      <color rgb="FFFFFFFF"/>
      <name val="Tahoma"/>
    </font>
    <font>
      <sz val="12.0"/>
      <color theme="1"/>
      <name val="Times New Roman"/>
    </font>
    <font>
      <sz val="11.0"/>
      <color theme="1"/>
      <name val="MS PGothic"/>
    </font>
    <font>
      <b/>
      <sz val="10.0"/>
      <color rgb="FF000000"/>
      <name val="Tahoma"/>
    </font>
    <font>
      <b/>
      <sz val="10.0"/>
      <color rgb="FFFF0000"/>
      <name val="Tahoma"/>
    </font>
    <font>
      <u/>
      <sz val="11.0"/>
      <color rgb="FF0000FF"/>
      <name val="MS PGothic"/>
    </font>
    <font>
      <u/>
      <sz val="10.0"/>
      <color rgb="FF0000FF"/>
      <name val="Tahoma"/>
    </font>
    <font>
      <u/>
      <sz val="10.0"/>
      <color rgb="FF0000FF"/>
      <name val="Tahoma"/>
    </font>
    <font>
      <i/>
      <sz val="10.0"/>
      <color rgb="FF000000"/>
      <name val="Tahoma"/>
    </font>
    <font>
      <sz val="10.0"/>
      <color rgb="FFFFFFFF"/>
      <name val="Tahoma"/>
    </font>
    <font>
      <b/>
      <sz val="10.0"/>
      <color rgb="FF0000FF"/>
      <name val="Tahoma"/>
    </font>
    <font>
      <sz val="10.0"/>
      <color rgb="FF000000"/>
      <name val="Tahoma"/>
    </font>
    <font>
      <sz val="11.0"/>
      <color rgb="FF000000"/>
      <name val="Calibri"/>
    </font>
    <font>
      <b/>
      <sz val="11.0"/>
      <color theme="1"/>
      <name val="Calibri"/>
    </font>
    <font>
      <b/>
      <sz val="11.0"/>
      <color rgb="FFFFFFFF"/>
      <name val="Calibri"/>
    </font>
    <font>
      <color theme="1"/>
      <name val="Calibri"/>
    </font>
    <font>
      <sz val="11.0"/>
      <color theme="1"/>
      <name val="Calibri"/>
    </font>
    <font>
      <sz val="10.0"/>
      <color rgb="FFFF0000"/>
      <name val="Tahoma"/>
    </font>
    <font>
      <color theme="1"/>
      <name val="MS PGothic"/>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2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top/>
    </border>
    <border>
      <right/>
      <top/>
      <bottom/>
    </border>
    <border>
      <left style="hair">
        <color rgb="FF000000"/>
      </left>
      <right/>
      <top style="thin">
        <color rgb="FF000000"/>
      </top>
      <bottom style="hair">
        <color rgb="FF000000"/>
      </bottom>
    </border>
    <border>
      <left/>
      <top/>
      <bottom/>
    </border>
    <border>
      <top/>
      <bottom/>
    </border>
    <border>
      <left/>
      <right/>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readingOrder="0"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vertical="bottom"/>
    </xf>
    <xf borderId="3" fillId="0" fontId="1" numFmtId="0" xfId="0" applyAlignment="1" applyBorder="1" applyFont="1">
      <alignment shrinkToFit="0" vertical="bottom" wrapText="0"/>
    </xf>
    <xf borderId="3" fillId="0" fontId="9" numFmtId="164" xfId="0" applyAlignment="1" applyBorder="1" applyFont="1" applyNumberFormat="1">
      <alignment horizontal="left" shrinkToFit="0" vertical="bottom" wrapText="0"/>
    </xf>
    <xf borderId="5" fillId="2" fontId="7" numFmtId="0" xfId="0" applyAlignment="1" applyBorder="1" applyFont="1">
      <alignment vertical="center"/>
    </xf>
    <xf borderId="1" fillId="0" fontId="9" numFmtId="0" xfId="0" applyAlignment="1" applyBorder="1" applyFont="1">
      <alignment horizontal="left" vertical="center"/>
    </xf>
    <xf borderId="3" fillId="0" fontId="9"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0" numFmtId="165" xfId="0" applyAlignment="1" applyBorder="1" applyFill="1" applyFont="1" applyNumberFormat="1">
      <alignment horizontal="center" vertical="center"/>
    </xf>
    <xf borderId="7" fillId="3" fontId="10" numFmtId="0" xfId="0" applyAlignment="1" applyBorder="1" applyFont="1">
      <alignment horizontal="center" vertical="center"/>
    </xf>
    <xf borderId="8" fillId="3" fontId="10" numFmtId="0" xfId="0" applyAlignment="1" applyBorder="1" applyFont="1">
      <alignment horizontal="center" vertical="center"/>
    </xf>
    <xf borderId="0" fillId="0" fontId="1" numFmtId="0" xfId="0" applyAlignment="1" applyFont="1">
      <alignment vertical="center"/>
    </xf>
    <xf borderId="9" fillId="0" fontId="11" numFmtId="165" xfId="0" applyAlignment="1" applyBorder="1" applyFont="1" applyNumberFormat="1">
      <alignment horizontal="right"/>
    </xf>
    <xf borderId="10" fillId="0" fontId="11" numFmtId="49" xfId="0" applyAlignment="1" applyBorder="1" applyFont="1" applyNumberFormat="1">
      <alignment horizontal="center"/>
    </xf>
    <xf borderId="10" fillId="0" fontId="12" numFmtId="0" xfId="0" applyBorder="1" applyFont="1"/>
    <xf borderId="10" fillId="0" fontId="11" numFmtId="0" xfId="0" applyAlignment="1" applyBorder="1" applyFont="1">
      <alignment horizontal="center"/>
    </xf>
    <xf borderId="10" fillId="0" fontId="11" numFmtId="15" xfId="0" applyAlignment="1" applyBorder="1" applyFont="1" applyNumberFormat="1">
      <alignment shrinkToFit="0" wrapText="1"/>
    </xf>
    <xf borderId="11" fillId="0" fontId="9" numFmtId="0" xfId="0" applyAlignment="1" applyBorder="1" applyFont="1">
      <alignment shrinkToFit="0" vertical="top" wrapText="1"/>
    </xf>
    <xf borderId="0" fillId="0" fontId="1" numFmtId="0" xfId="0" applyAlignment="1" applyFont="1">
      <alignment vertical="top"/>
    </xf>
    <xf borderId="9" fillId="0" fontId="11" numFmtId="0" xfId="0" applyAlignment="1" applyBorder="1" applyFont="1">
      <alignment horizontal="right"/>
    </xf>
    <xf borderId="10" fillId="0" fontId="11" numFmtId="0" xfId="0" applyAlignment="1" applyBorder="1" applyFont="1">
      <alignment readingOrder="0" shrinkToFit="0" wrapText="1"/>
    </xf>
    <xf borderId="11" fillId="0" fontId="1" numFmtId="0" xfId="0" applyAlignment="1" applyBorder="1" applyFont="1">
      <alignment vertical="top"/>
    </xf>
    <xf borderId="9" fillId="0" fontId="1" numFmtId="165" xfId="0" applyAlignment="1" applyBorder="1" applyFont="1" applyNumberFormat="1">
      <alignment vertical="top"/>
    </xf>
    <xf borderId="10" fillId="0" fontId="1" numFmtId="49" xfId="0" applyAlignment="1" applyBorder="1" applyFont="1" applyNumberFormat="1">
      <alignment vertical="top"/>
    </xf>
    <xf borderId="10" fillId="0" fontId="1" numFmtId="0" xfId="0" applyAlignment="1" applyBorder="1" applyFon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3" numFmtId="0" xfId="0" applyAlignment="1" applyBorder="1" applyFont="1">
      <alignment horizontal="left"/>
    </xf>
    <xf borderId="15" fillId="2" fontId="14" numFmtId="0" xfId="0" applyAlignment="1" applyBorder="1" applyFont="1">
      <alignment horizontal="left"/>
    </xf>
    <xf borderId="15" fillId="2" fontId="1" numFmtId="0" xfId="0" applyAlignment="1" applyBorder="1" applyFont="1">
      <alignment horizontal="left"/>
    </xf>
    <xf borderId="1" fillId="2" fontId="5" numFmtId="1" xfId="0" applyBorder="1" applyFont="1" applyNumberFormat="1"/>
    <xf borderId="16" fillId="2" fontId="1" numFmtId="0" xfId="0" applyBorder="1" applyFont="1"/>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10" numFmtId="1" xfId="0" applyAlignment="1" applyBorder="1" applyFill="1" applyFont="1" applyNumberFormat="1">
      <alignment horizontal="center" vertical="center"/>
    </xf>
    <xf borderId="7" fillId="4" fontId="10" numFmtId="0" xfId="0" applyAlignment="1" applyBorder="1" applyFont="1">
      <alignment horizontal="center" vertical="center"/>
    </xf>
    <xf borderId="17" fillId="4" fontId="10" numFmtId="0" xfId="0" applyAlignment="1" applyBorder="1" applyFont="1">
      <alignment horizontal="center" vertical="center"/>
    </xf>
    <xf borderId="8" fillId="4" fontId="10" numFmtId="0" xfId="0" applyAlignment="1" applyBorder="1" applyFont="1">
      <alignment horizontal="center" vertical="center"/>
    </xf>
    <xf borderId="9" fillId="2" fontId="1" numFmtId="1" xfId="0" applyAlignment="1" applyBorder="1" applyFont="1" applyNumberFormat="1">
      <alignment vertical="center"/>
    </xf>
    <xf borderId="10" fillId="2" fontId="1" numFmtId="49" xfId="0" applyAlignment="1" applyBorder="1" applyFont="1" applyNumberFormat="1">
      <alignment horizontal="left" vertical="center"/>
    </xf>
    <xf borderId="10" fillId="2" fontId="15" numFmtId="0" xfId="0" applyAlignment="1" applyBorder="1" applyFont="1">
      <alignment horizontal="left" readingOrder="0" vertical="center"/>
    </xf>
    <xf borderId="10" fillId="2" fontId="16" numFmtId="0" xfId="0" applyAlignment="1" applyBorder="1" applyFont="1">
      <alignment horizontal="left" vertical="center"/>
    </xf>
    <xf borderId="11" fillId="2" fontId="1" numFmtId="0" xfId="0" applyAlignment="1" applyBorder="1" applyFont="1">
      <alignment horizontal="left" vertical="center"/>
    </xf>
    <xf borderId="10" fillId="2" fontId="1" numFmtId="49" xfId="0" applyAlignment="1" applyBorder="1" applyFont="1" applyNumberFormat="1">
      <alignment horizontal="left" readingOrder="0" vertical="center"/>
    </xf>
    <xf borderId="10" fillId="2" fontId="1" numFmtId="0" xfId="0" applyAlignment="1" applyBorder="1" applyFont="1">
      <alignment horizontal="left" vertical="center"/>
    </xf>
    <xf borderId="12" fillId="2" fontId="1" numFmtId="1" xfId="0" applyAlignment="1" applyBorder="1" applyFont="1" applyNumberFormat="1">
      <alignment vertical="center"/>
    </xf>
    <xf borderId="13" fillId="2" fontId="1" numFmtId="49" xfId="0" applyAlignment="1" applyBorder="1" applyFont="1" applyNumberFormat="1">
      <alignment horizontal="left" vertical="center"/>
    </xf>
    <xf borderId="13" fillId="2" fontId="17" numFmtId="0" xfId="0" applyAlignment="1" applyBorder="1" applyFont="1">
      <alignment horizontal="left" readingOrder="0" vertical="center"/>
    </xf>
    <xf borderId="13" fillId="2" fontId="1" numFmtId="0" xfId="0" applyAlignment="1" applyBorder="1" applyFont="1">
      <alignment horizontal="left" vertical="center"/>
    </xf>
    <xf borderId="14" fillId="2" fontId="1" numFmtId="0" xfId="0" applyAlignment="1" applyBorder="1" applyFont="1">
      <alignment horizontal="left" vertical="center"/>
    </xf>
    <xf borderId="18" fillId="2" fontId="3" numFmtId="0" xfId="0" applyAlignment="1" applyBorder="1" applyFont="1">
      <alignment horizontal="center"/>
    </xf>
    <xf borderId="19" fillId="0" fontId="4" numFmtId="0" xfId="0" applyBorder="1" applyFont="1"/>
    <xf borderId="4" fillId="2" fontId="7" numFmtId="0" xfId="0" applyBorder="1" applyFont="1"/>
    <xf borderId="15" fillId="2" fontId="1" numFmtId="0" xfId="0" applyBorder="1" applyFont="1"/>
    <xf borderId="4" fillId="2" fontId="1" numFmtId="165" xfId="0" applyBorder="1" applyFont="1" applyNumberFormat="1"/>
    <xf borderId="5" fillId="2" fontId="5" numFmtId="0" xfId="0" applyAlignment="1" applyBorder="1" applyFont="1">
      <alignment horizontal="left" vertical="center"/>
    </xf>
    <xf borderId="5" fillId="2" fontId="5" numFmtId="0" xfId="0" applyAlignment="1" applyBorder="1" applyFont="1">
      <alignment vertical="center"/>
    </xf>
    <xf borderId="1" fillId="2" fontId="18" numFmtId="0" xfId="0" applyAlignment="1" applyBorder="1" applyFont="1">
      <alignment horizontal="left"/>
    </xf>
    <xf borderId="1" fillId="2" fontId="5" numFmtId="0" xfId="0" applyAlignment="1" applyBorder="1" applyFont="1">
      <alignment horizontal="left"/>
    </xf>
    <xf borderId="2" fillId="0" fontId="9" numFmtId="164" xfId="0" applyAlignment="1" applyBorder="1" applyFont="1" applyNumberFormat="1">
      <alignment horizontal="left" shrinkToFit="0" vertical="bottom" wrapText="0"/>
    </xf>
    <xf borderId="1" fillId="2" fontId="6" numFmtId="0" xfId="0" applyAlignment="1" applyBorder="1" applyFont="1">
      <alignment vertical="top"/>
    </xf>
    <xf borderId="4" fillId="2" fontId="5" numFmtId="0" xfId="0" applyBorder="1" applyFont="1"/>
    <xf borderId="4" fillId="2" fontId="6" numFmtId="0" xfId="0" applyBorder="1" applyFont="1"/>
    <xf borderId="18" fillId="2" fontId="1" numFmtId="0" xfId="0" applyBorder="1" applyFont="1"/>
    <xf borderId="6" fillId="3" fontId="10" numFmtId="0" xfId="0" applyAlignment="1" applyBorder="1" applyFont="1">
      <alignment horizontal="center"/>
    </xf>
    <xf borderId="7" fillId="3" fontId="10" numFmtId="0" xfId="0" applyAlignment="1" applyBorder="1" applyFont="1">
      <alignment horizontal="center"/>
    </xf>
    <xf borderId="7" fillId="3" fontId="10" numFmtId="0" xfId="0" applyAlignment="1" applyBorder="1" applyFont="1">
      <alignment horizontal="center" shrinkToFit="0" wrapText="1"/>
    </xf>
    <xf borderId="17" fillId="3" fontId="10" numFmtId="0" xfId="0" applyAlignment="1" applyBorder="1" applyFont="1">
      <alignment horizontal="center"/>
    </xf>
    <xf borderId="8" fillId="3" fontId="10" numFmtId="0" xfId="0" applyAlignment="1" applyBorder="1" applyFont="1">
      <alignment horizontal="center" shrinkToFit="0" wrapText="1"/>
    </xf>
    <xf borderId="9" fillId="2" fontId="1" numFmtId="0" xfId="0" applyAlignment="1" applyBorder="1" applyFont="1">
      <alignment horizontal="center"/>
    </xf>
    <xf borderId="10" fillId="2" fontId="1" numFmtId="0" xfId="0" applyAlignment="1" applyBorder="1" applyFont="1">
      <alignment horizontal="center"/>
    </xf>
    <xf borderId="11" fillId="2" fontId="1" numFmtId="0" xfId="0" applyAlignment="1" applyBorder="1" applyFont="1">
      <alignment horizontal="center"/>
    </xf>
    <xf borderId="12" fillId="2" fontId="1" numFmtId="0" xfId="0" applyAlignment="1" applyBorder="1" applyFont="1">
      <alignment horizontal="center"/>
    </xf>
    <xf borderId="20" fillId="2" fontId="1" numFmtId="0" xfId="0" applyBorder="1" applyFont="1"/>
    <xf borderId="21" fillId="3" fontId="19" numFmtId="0" xfId="0" applyAlignment="1" applyBorder="1" applyFont="1">
      <alignment horizontal="center"/>
    </xf>
    <xf borderId="13" fillId="3" fontId="10" numFmtId="0" xfId="0" applyBorder="1" applyFont="1"/>
    <xf borderId="13" fillId="3" fontId="19" numFmtId="0" xfId="0" applyAlignment="1" applyBorder="1" applyFont="1">
      <alignment horizontal="center"/>
    </xf>
    <xf borderId="22" fillId="3" fontId="19"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20" numFmtId="2" xfId="0" applyAlignment="1" applyBorder="1" applyFont="1" applyNumberFormat="1">
      <alignment horizontal="right" shrinkToFit="0" wrapText="1"/>
    </xf>
    <xf borderId="4" fillId="2" fontId="21" numFmtId="0" xfId="0" applyAlignment="1" applyBorder="1" applyFont="1">
      <alignment horizontal="center" shrinkToFit="0" wrapText="1"/>
    </xf>
    <xf borderId="0" fillId="0" fontId="22" numFmtId="0" xfId="0" applyAlignment="1" applyFont="1">
      <alignment shrinkToFit="0" vertical="bottom" wrapText="1"/>
    </xf>
    <xf borderId="0" fillId="2" fontId="1" numFmtId="0" xfId="0" applyAlignment="1" applyFont="1">
      <alignment shrinkToFit="0" wrapText="1"/>
    </xf>
    <xf borderId="5" fillId="0" fontId="23" numFmtId="0" xfId="0" applyAlignment="1" applyBorder="1" applyFont="1">
      <alignment readingOrder="0" shrinkToFit="0" vertical="bottom" wrapText="1"/>
    </xf>
    <xf borderId="1" fillId="0" fontId="23" numFmtId="0" xfId="0" applyAlignment="1" applyBorder="1" applyFont="1">
      <alignment horizontal="left" readingOrder="0" shrinkToFit="0" wrapText="1"/>
    </xf>
    <xf borderId="23" fillId="0" fontId="4" numFmtId="0" xfId="0" applyBorder="1" applyFont="1"/>
    <xf borderId="4" fillId="2" fontId="21" numFmtId="0" xfId="0" applyAlignment="1" applyBorder="1" applyFont="1">
      <alignment shrinkToFit="0" wrapText="1"/>
    </xf>
    <xf borderId="0" fillId="2" fontId="21" numFmtId="0" xfId="0" applyAlignment="1" applyFont="1">
      <alignment shrinkToFit="0" wrapText="1"/>
    </xf>
    <xf borderId="5" fillId="0" fontId="23" numFmtId="0" xfId="0" applyAlignment="1" applyBorder="1" applyFont="1">
      <alignment horizontal="center" readingOrder="0" shrinkToFit="0" wrapText="1"/>
    </xf>
    <xf borderId="5" fillId="0" fontId="23" numFmtId="0" xfId="0" applyAlignment="1" applyBorder="1" applyFont="1">
      <alignment horizontal="left" readingOrder="0" shrinkToFit="0" wrapText="1"/>
    </xf>
    <xf borderId="5" fillId="5" fontId="24" numFmtId="0" xfId="0" applyAlignment="1" applyBorder="1" applyFill="1" applyFont="1">
      <alignment horizontal="center" readingOrder="0" shrinkToFit="0" wrapText="1"/>
    </xf>
    <xf borderId="4" fillId="2" fontId="14" numFmtId="0" xfId="0" applyAlignment="1" applyBorder="1" applyFont="1">
      <alignment horizontal="center" shrinkToFit="0" vertical="center" wrapText="1"/>
    </xf>
    <xf borderId="1" fillId="6" fontId="23" numFmtId="0" xfId="0" applyAlignment="1" applyBorder="1" applyFill="1" applyFont="1">
      <alignment horizontal="left" readingOrder="0" shrinkToFit="0" wrapText="1"/>
    </xf>
    <xf borderId="16" fillId="2" fontId="14" numFmtId="0" xfId="0" applyAlignment="1" applyBorder="1" applyFont="1">
      <alignment horizontal="left" shrinkToFit="0" vertical="center" wrapText="1"/>
    </xf>
    <xf borderId="5" fillId="0" fontId="25" numFmtId="0" xfId="0" applyAlignment="1" applyBorder="1" applyFont="1">
      <alignment horizontal="left" readingOrder="0" shrinkToFit="0" vertical="top" wrapText="1"/>
    </xf>
    <xf borderId="5" fillId="0" fontId="26" numFmtId="0" xfId="0" applyAlignment="1" applyBorder="1" applyFont="1">
      <alignment shrinkToFit="0" vertical="top" wrapText="1"/>
    </xf>
    <xf borderId="5" fillId="0" fontId="26" numFmtId="164" xfId="0" applyAlignment="1" applyBorder="1" applyFont="1" applyNumberFormat="1">
      <alignment shrinkToFit="0" vertical="top" wrapText="1"/>
    </xf>
    <xf borderId="5" fillId="0" fontId="26" numFmtId="164" xfId="0" applyAlignment="1" applyBorder="1" applyFont="1" applyNumberFormat="1">
      <alignment readingOrder="0" shrinkToFit="0" vertical="top" wrapText="1"/>
    </xf>
    <xf borderId="5" fillId="0" fontId="25" numFmtId="166" xfId="0" applyAlignment="1" applyBorder="1" applyFont="1" applyNumberFormat="1">
      <alignment horizontal="left" shrinkToFit="0" vertical="top" wrapText="1"/>
    </xf>
    <xf borderId="4" fillId="2" fontId="14" numFmtId="0" xfId="0" applyAlignment="1" applyBorder="1" applyFont="1">
      <alignment horizontal="left" shrinkToFit="0" vertical="center" wrapText="1"/>
    </xf>
    <xf borderId="5" fillId="0" fontId="25" numFmtId="0" xfId="0" applyAlignment="1" applyBorder="1" applyFont="1">
      <alignment horizontal="left" shrinkToFit="0" vertical="top" wrapText="1"/>
    </xf>
    <xf borderId="4" fillId="2" fontId="27" numFmtId="0" xfId="0" applyAlignment="1" applyBorder="1" applyFont="1">
      <alignment shrinkToFit="0" vertical="top" wrapText="1"/>
    </xf>
    <xf borderId="4" fillId="2" fontId="21" numFmtId="0" xfId="0" applyAlignment="1" applyBorder="1" applyFont="1">
      <alignment shrinkToFit="0" vertical="top" wrapText="1"/>
    </xf>
    <xf borderId="16" fillId="2" fontId="27" numFmtId="0" xfId="0" applyAlignment="1" applyBorder="1" applyFont="1">
      <alignment shrinkToFit="0" vertical="top" wrapText="1"/>
    </xf>
    <xf borderId="4" fillId="2" fontId="27" numFmtId="0" xfId="0" applyAlignment="1" applyBorder="1" applyFont="1">
      <alignment shrinkToFit="0" wrapText="1"/>
    </xf>
    <xf borderId="16" fillId="2" fontId="27" numFmtId="0" xfId="0" applyAlignment="1" applyBorder="1" applyFont="1">
      <alignment shrinkToFit="0" wrapText="1"/>
    </xf>
    <xf borderId="16" fillId="2" fontId="1" numFmtId="0" xfId="0" applyAlignment="1" applyBorder="1" applyFont="1">
      <alignment shrinkToFit="0" wrapText="1"/>
    </xf>
    <xf borderId="0" fillId="0" fontId="28" numFmtId="0" xfId="0" applyAlignment="1" applyFont="1">
      <alignment shrinkToFit="0" wrapText="1"/>
    </xf>
    <xf borderId="5" fillId="0" fontId="25" numFmtId="0" xfId="0" applyAlignment="1" applyBorder="1" applyFont="1">
      <alignment horizontal="left" shrinkToFit="0" vertical="top" wrapText="1"/>
    </xf>
    <xf borderId="24" fillId="6" fontId="23" numFmtId="0" xfId="0" applyAlignment="1" applyBorder="1" applyFont="1">
      <alignment horizontal="left" readingOrder="0" shrinkToFit="0" wrapText="1"/>
    </xf>
    <xf borderId="25" fillId="0" fontId="4" numFmtId="0" xfId="0" applyBorder="1" applyFont="1"/>
    <xf borderId="26" fillId="0" fontId="4" numFmtId="0" xfId="0" applyBorder="1" applyFont="1"/>
    <xf borderId="0" fillId="0" fontId="22" numFmtId="0" xfId="0" applyAlignment="1" applyFont="1">
      <alignment shrinkToFit="0" vertical="bottom" wrapText="1"/>
    </xf>
    <xf borderId="5" fillId="0" fontId="25" numFmtId="0" xfId="0" applyAlignment="1" applyBorder="1" applyFont="1">
      <alignment horizontal="left" shrinkToFit="0" vertical="top" wrapText="1"/>
    </xf>
    <xf borderId="0" fillId="0" fontId="22" numFmtId="0" xfId="0" applyAlignment="1" applyFont="1">
      <alignment shrinkToFit="0" vertical="bottom" wrapText="0"/>
    </xf>
    <xf borderId="5" fillId="0" fontId="23" numFmtId="0" xfId="0" applyAlignment="1" applyBorder="1" applyFont="1">
      <alignment readingOrder="0" shrinkToFit="0" vertical="bottom" wrapText="0"/>
    </xf>
    <xf borderId="1" fillId="0" fontId="23" numFmtId="0" xfId="0" applyAlignment="1" applyBorder="1" applyFont="1">
      <alignment horizontal="left" readingOrder="0"/>
    </xf>
    <xf borderId="5" fillId="0" fontId="23" numFmtId="0" xfId="0" applyAlignment="1" applyBorder="1" applyFont="1">
      <alignment horizontal="center" readingOrder="0"/>
    </xf>
    <xf borderId="5" fillId="0" fontId="23" numFmtId="0" xfId="0" applyAlignment="1" applyBorder="1" applyFont="1">
      <alignment horizontal="left" readingOrder="0"/>
    </xf>
    <xf borderId="5" fillId="5" fontId="24" numFmtId="0" xfId="0" applyAlignment="1" applyBorder="1" applyFont="1">
      <alignment horizontal="center" readingOrder="0"/>
    </xf>
    <xf borderId="1" fillId="6" fontId="23" numFmtId="0" xfId="0" applyAlignment="1" applyBorder="1" applyFont="1">
      <alignment horizontal="left" readingOrder="0"/>
    </xf>
    <xf borderId="5" fillId="0" fontId="25" numFmtId="0" xfId="0" applyAlignment="1" applyBorder="1" applyFont="1">
      <alignment horizontal="left" readingOrder="0" vertical="top"/>
    </xf>
    <xf borderId="5" fillId="0" fontId="25" numFmtId="0" xfId="0" applyAlignment="1" applyBorder="1" applyFont="1">
      <alignment horizontal="left" vertical="top"/>
    </xf>
    <xf borderId="5" fillId="0" fontId="25" numFmtId="0" xfId="0" applyAlignment="1" applyBorder="1" applyFont="1">
      <alignment horizontal="left" vertical="top"/>
    </xf>
    <xf borderId="5" fillId="0" fontId="22" numFmtId="0" xfId="0" applyAlignment="1" applyBorder="1" applyFont="1">
      <alignment shrinkToFit="0" vertical="bottom" wrapText="1"/>
    </xf>
    <xf borderId="5" fillId="6" fontId="23" numFmtId="0" xfId="0" applyAlignment="1" applyBorder="1" applyFont="1">
      <alignment horizontal="left" readingOrder="0" shrinkToFit="0" wrapText="1"/>
    </xf>
    <xf borderId="5" fillId="6" fontId="22" numFmtId="0" xfId="0" applyAlignment="1" applyBorder="1" applyFont="1">
      <alignment shrinkToFit="0" vertical="bottom" wrapText="1"/>
    </xf>
    <xf borderId="5" fillId="6" fontId="22" numFmtId="164" xfId="0" applyAlignment="1" applyBorder="1" applyFont="1" applyNumberFormat="1">
      <alignment shrinkToFit="0" vertical="bottom" wrapText="1"/>
    </xf>
    <xf borderId="5" fillId="6" fontId="22" numFmtId="0" xfId="0" applyAlignment="1" applyBorder="1" applyFont="1">
      <alignment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styles" Type="http://schemas.openxmlformats.org/officeDocument/2006/relationships/styles" Target="styles.xml"/><Relationship Id="theme" Type="http://schemas.openxmlformats.org/officeDocument/2006/relationships/theme" Target="theme/theme1.xml"/><Relationship Id="sheet1" Type="http://schemas.openxmlformats.org/officeDocument/2006/relationships/worksheet" Target="worksheets/sheet1.xml"/><Relationship Id="sheet2" Type="http://schemas.openxmlformats.org/officeDocument/2006/relationships/worksheet" Target="worksheets/sheet2.xml"/><Relationship Id="sheet3" Type="http://schemas.openxmlformats.org/officeDocument/2006/relationships/worksheet" Target="worksheets/sheet3.xml"/><Relationship Id="sheet4" Type="http://schemas.openxmlformats.org/officeDocument/2006/relationships/worksheet" Target="worksheets/sheet4.xml"/><Relationship Id="sheet5" Type="http://schemas.openxmlformats.org/officeDocument/2006/relationships/worksheet" Target="worksheets/sheet5.xml"/><Relationship Id="sheet6" Type="http://schemas.openxmlformats.org/officeDocument/2006/relationships/worksheet" Target="worksheets/sheet6.xml"/><Relationship Id="sheet7" Type="http://schemas.openxmlformats.org/officeDocument/2006/relationships/worksheet" Target="worksheets/sheet7.xml"/><Relationship Id="sheet8" Type="http://schemas.openxmlformats.org/officeDocument/2006/relationships/worksheet" Target="worksheets/sheet8.xml"/><Relationship Id="sheet9" Type="http://schemas.openxmlformats.org/officeDocument/2006/relationships/worksheet" Target="worksheets/sheet9.xml"/><Relationship Id="sheet10" Type="http://schemas.openxmlformats.org/officeDocument/2006/relationships/worksheet" Target="worksheets/sheet10.xml"/><Relationship Id="sheet11" Type="http://schemas.openxmlformats.org/officeDocument/2006/relationships/worksheet" Target="worksheets/sheet11.xml"/><Relationship Id="sheet12" Type="http://schemas.openxmlformats.org/officeDocument/2006/relationships/worksheet" Target="worksheets/sheet12.xml"/><Relationship Id="sheet13" Type="http://schemas.openxmlformats.org/officeDocument/2006/relationships/worksheet" Target="worksheets/sheet13.xml"/><Relationship Id="sheet14" Type="http://schemas.openxmlformats.org/officeDocument/2006/relationships/worksheet" Target="worksheets/sheet14.xml"/><Relationship Id="sheet15" Type="http://schemas.openxmlformats.org/officeDocument/2006/relationships/worksheet" Target="worksheets/sheet15.xml"/><Relationship Id="sheet16" Type="http://schemas.openxmlformats.org/officeDocument/2006/relationships/worksheet" Target="worksheets/sheet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41922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topLeftCell="A1"/>
  </sheetViews>
  <sheetFormatPr customHeight="1" defaultColWidth="12.63" defaultRowHeight="15.0"/>
  <cols>
    <col customWidth="1" min="1" max="1" width="18.63"/>
    <col customWidth="1" min="2" max="2" width="10.0"/>
    <col customWidth="1" min="3" max="3" width="14.38"/>
    <col customWidth="1" min="4" max="4" width="11.5"/>
    <col customWidth="1" min="5" max="5" width="75.88"/>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tr">
        <v>API TEST</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tr">
        <v>Project Name</v>
      </c>
      <c r="B4" s="12" t="str">
        <v>TrustCabinet</v>
      </c>
      <c r="C4" s="5"/>
      <c r="D4" s="6"/>
      <c r="E4" s="11" t="str">
        <v>Creator</v>
      </c>
      <c r="F4" s="13" t="str">
        <v>TrustCabinet Team</v>
      </c>
      <c r="G4" s="2"/>
      <c r="H4" s="2"/>
      <c r="I4" s="2"/>
      <c r="J4" s="2"/>
      <c r="K4" s="2"/>
      <c r="L4" s="2"/>
      <c r="M4" s="2"/>
      <c r="N4" s="2"/>
      <c r="O4" s="2"/>
      <c r="P4" s="2"/>
      <c r="Q4" s="2"/>
      <c r="R4" s="2"/>
      <c r="S4" s="2"/>
      <c r="T4" s="2"/>
      <c r="U4" s="2"/>
      <c r="V4" s="2"/>
      <c r="W4" s="2"/>
      <c r="X4" s="2"/>
      <c r="Y4" s="2"/>
      <c r="Z4" s="2"/>
    </row>
    <row r="5" ht="14.25" customHeight="1">
      <c r="A5" s="11" t="str">
        <v>Project Code</v>
      </c>
      <c r="B5" s="12" t="str">
        <v>SEP490-G116</v>
      </c>
      <c r="C5" s="5"/>
      <c r="D5" s="6"/>
      <c r="E5" s="11" t="str">
        <v>Issue Date</v>
      </c>
      <c r="F5" s="14" t="str">
        <v>2026-10-30</v>
      </c>
      <c r="G5" s="2"/>
      <c r="H5" s="2"/>
      <c r="I5" s="2"/>
      <c r="J5" s="2"/>
      <c r="K5" s="2"/>
      <c r="L5" s="2"/>
      <c r="M5" s="2"/>
      <c r="N5" s="2"/>
      <c r="O5" s="2"/>
      <c r="P5" s="2"/>
      <c r="Q5" s="2"/>
      <c r="R5" s="2"/>
      <c r="S5" s="2"/>
      <c r="T5" s="2"/>
      <c r="U5" s="2"/>
      <c r="V5" s="2"/>
      <c r="W5" s="2"/>
      <c r="X5" s="2"/>
      <c r="Y5" s="2"/>
      <c r="Z5" s="2"/>
    </row>
    <row r="6" ht="15.75" customHeight="1">
      <c r="A6" s="15" t="str">
        <v>Document Code</v>
      </c>
      <c r="B6" s="16" t="str">
        <f>B5&amp;"_"&amp;B2&amp;"_v"&amp;F6</f>
        <v>SEP490-G116_API TEST_v1.1</v>
      </c>
      <c r="C6" s="5"/>
      <c r="D6" s="6"/>
      <c r="E6" s="11" t="str">
        <v>Version</v>
      </c>
      <c r="F6" s="17" t="str">
        <v>1.1</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tr">
        <v>Record of change</v>
      </c>
      <c r="B9" s="2"/>
      <c r="C9" s="2"/>
      <c r="D9" s="2"/>
      <c r="E9" s="2"/>
      <c r="F9" s="2"/>
      <c r="G9" s="2"/>
      <c r="H9" s="2"/>
      <c r="I9" s="2"/>
      <c r="J9" s="2"/>
      <c r="K9" s="2"/>
      <c r="L9" s="2"/>
      <c r="M9" s="2"/>
      <c r="N9" s="2"/>
      <c r="O9" s="2"/>
      <c r="P9" s="2"/>
      <c r="Q9" s="2"/>
      <c r="R9" s="2"/>
      <c r="S9" s="2"/>
      <c r="T9" s="2"/>
      <c r="U9" s="2"/>
      <c r="V9" s="2"/>
      <c r="W9" s="2"/>
      <c r="X9" s="2"/>
      <c r="Y9" s="2"/>
      <c r="Z9" s="2"/>
    </row>
    <row r="10" ht="12.75" customHeight="1">
      <c r="A10" s="21" t="str">
        <v>Effective Date</v>
      </c>
      <c r="B10" s="22" t="str">
        <v>Version</v>
      </c>
      <c r="C10" s="22" t="str">
        <v>Change Item</v>
      </c>
      <c r="D10" s="22" t="str">
        <v>*A,D,M</v>
      </c>
      <c r="E10" s="22" t="str">
        <v>Change description</v>
      </c>
      <c r="F10" s="23" t="str">
        <v>Reference</v>
      </c>
      <c r="G10" s="24"/>
      <c r="H10" s="24"/>
      <c r="I10" s="24"/>
      <c r="J10" s="24"/>
      <c r="K10" s="24"/>
      <c r="L10" s="24"/>
      <c r="M10" s="24"/>
      <c r="N10" s="24"/>
      <c r="O10" s="24"/>
      <c r="P10" s="24"/>
      <c r="Q10" s="24"/>
      <c r="R10" s="24"/>
      <c r="S10" s="24"/>
      <c r="T10" s="24"/>
      <c r="U10" s="24"/>
      <c r="V10" s="24"/>
      <c r="W10" s="24"/>
      <c r="X10" s="24"/>
      <c r="Y10" s="24"/>
      <c r="Z10" s="24"/>
    </row>
    <row r="11" ht="26.25" customHeight="1">
      <c r="A11" s="25" t="str">
        <v>2026-10-23</v>
      </c>
      <c r="B11" s="26" t="str">
        <v>1.0</v>
      </c>
      <c r="C11" s="27" t="str">
        <v>Report 5</v>
      </c>
      <c r="D11" s="28" t="str">
        <v>A</v>
      </c>
      <c r="E11" s="29" t="str">
        <v>Generate test documents from source</v>
      </c>
      <c r="F11" s="30"/>
      <c r="G11" s="31"/>
      <c r="H11" s="31"/>
      <c r="I11" s="31"/>
      <c r="J11" s="31"/>
      <c r="K11" s="31"/>
      <c r="L11" s="31"/>
      <c r="M11" s="31"/>
      <c r="N11" s="31"/>
      <c r="O11" s="31"/>
      <c r="P11" s="31"/>
      <c r="Q11" s="31"/>
      <c r="R11" s="31"/>
      <c r="S11" s="31"/>
      <c r="T11" s="31"/>
      <c r="U11" s="31"/>
      <c r="V11" s="31"/>
      <c r="W11" s="31"/>
      <c r="X11" s="31"/>
      <c r="Y11" s="31"/>
      <c r="Z11" s="31"/>
    </row>
    <row r="12" ht="21.75" customHeight="1">
      <c r="A12" s="32" t="str">
        <v>2026-10-30</v>
      </c>
      <c r="B12" s="26" t="str">
        <v>1.1</v>
      </c>
      <c r="C12" s="27" t="str">
        <v>Test cases</v>
      </c>
      <c r="D12" s="28" t="str">
        <v>M</v>
      </c>
      <c r="E12" s="33" t="str">
        <v>Regenerate: 1129 xUnit methods</v>
      </c>
      <c r="F12" s="34" t="str"/>
      <c r="G12" s="31"/>
      <c r="H12" s="31"/>
      <c r="I12" s="31"/>
      <c r="J12" s="31"/>
      <c r="K12" s="31"/>
      <c r="L12" s="31"/>
      <c r="M12" s="31"/>
      <c r="N12" s="31"/>
      <c r="O12" s="31"/>
      <c r="P12" s="31"/>
      <c r="Q12" s="31"/>
      <c r="R12" s="31"/>
      <c r="S12" s="31"/>
      <c r="T12" s="31"/>
      <c r="U12" s="31"/>
      <c r="V12" s="31"/>
      <c r="W12" s="31"/>
      <c r="X12" s="31"/>
      <c r="Y12" s="31"/>
      <c r="Z12" s="31"/>
    </row>
    <row r="13" ht="19.5" customHeight="1">
      <c r="A13" s="25"/>
      <c r="B13" s="26"/>
      <c r="C13" s="27"/>
      <c r="D13" s="28"/>
      <c r="E13" s="33"/>
      <c r="F13" s="34"/>
      <c r="G13" s="31"/>
      <c r="H13" s="31"/>
      <c r="I13" s="31"/>
      <c r="J13" s="31"/>
      <c r="K13" s="31"/>
      <c r="L13" s="31"/>
      <c r="M13" s="31"/>
      <c r="N13" s="31"/>
      <c r="O13" s="31"/>
      <c r="P13" s="31"/>
      <c r="Q13" s="31"/>
      <c r="R13" s="31"/>
      <c r="S13" s="31"/>
      <c r="T13" s="31"/>
      <c r="U13" s="31"/>
      <c r="V13" s="31"/>
      <c r="W13" s="31"/>
      <c r="X13" s="31"/>
      <c r="Y13" s="31"/>
      <c r="Z13" s="31"/>
    </row>
    <row r="14" ht="21.75" customHeight="1">
      <c r="A14" s="25"/>
      <c r="B14" s="26"/>
      <c r="C14" s="27"/>
      <c r="D14" s="28"/>
      <c r="E14" s="33"/>
      <c r="F14" s="34"/>
      <c r="G14" s="31"/>
      <c r="H14" s="31"/>
      <c r="I14" s="31"/>
      <c r="J14" s="31"/>
      <c r="K14" s="31"/>
      <c r="L14" s="31"/>
      <c r="M14" s="31"/>
      <c r="N14" s="31"/>
      <c r="O14" s="31"/>
      <c r="P14" s="31"/>
      <c r="Q14" s="31"/>
      <c r="R14" s="31"/>
      <c r="S14" s="31"/>
      <c r="T14" s="31"/>
      <c r="U14" s="31"/>
      <c r="V14" s="31"/>
      <c r="W14" s="31"/>
      <c r="X14" s="31"/>
      <c r="Y14" s="31"/>
      <c r="Z14" s="31"/>
    </row>
    <row r="15" ht="19.5" customHeight="1">
      <c r="A15" s="25"/>
      <c r="B15" s="26"/>
      <c r="C15" s="27"/>
      <c r="D15" s="28"/>
      <c r="E15" s="33"/>
      <c r="F15" s="34"/>
      <c r="G15" s="31"/>
      <c r="H15" s="31"/>
      <c r="I15" s="31"/>
      <c r="J15" s="31"/>
      <c r="K15" s="31"/>
      <c r="L15" s="31"/>
      <c r="M15" s="31"/>
      <c r="N15" s="31"/>
      <c r="O15" s="31"/>
      <c r="P15" s="31"/>
      <c r="Q15" s="31"/>
      <c r="R15" s="31"/>
      <c r="S15" s="31"/>
      <c r="T15" s="31"/>
      <c r="U15" s="31"/>
      <c r="V15" s="31"/>
      <c r="W15" s="31"/>
      <c r="X15" s="31"/>
      <c r="Y15" s="31"/>
      <c r="Z15" s="31"/>
    </row>
    <row r="16" ht="21.75" customHeight="1">
      <c r="A16" s="35"/>
      <c r="B16" s="36"/>
      <c r="C16" s="37"/>
      <c r="D16" s="37"/>
      <c r="E16" s="33"/>
      <c r="F16" s="34"/>
      <c r="G16" s="31"/>
      <c r="H16" s="31"/>
      <c r="I16" s="31"/>
      <c r="J16" s="31"/>
      <c r="K16" s="31"/>
      <c r="L16" s="31"/>
      <c r="M16" s="31"/>
      <c r="N16" s="31"/>
      <c r="O16" s="31"/>
      <c r="P16" s="31"/>
      <c r="Q16" s="31"/>
      <c r="R16" s="31"/>
      <c r="S16" s="31"/>
      <c r="T16" s="31"/>
      <c r="U16" s="31"/>
      <c r="V16" s="31"/>
      <c r="W16" s="31"/>
      <c r="X16" s="31"/>
      <c r="Y16" s="31"/>
      <c r="Z16" s="31"/>
    </row>
    <row r="17" ht="19.5" customHeight="1">
      <c r="A17" s="38"/>
      <c r="B17" s="39"/>
      <c r="C17" s="40"/>
      <c r="D17" s="40"/>
      <c r="E17" s="33"/>
      <c r="F17" s="41"/>
      <c r="G17" s="31"/>
      <c r="H17" s="31"/>
      <c r="I17" s="31"/>
      <c r="J17" s="31"/>
      <c r="K17" s="31"/>
      <c r="L17" s="31"/>
      <c r="M17" s="31"/>
      <c r="N17" s="31"/>
      <c r="O17" s="31"/>
      <c r="P17" s="31"/>
      <c r="Q17" s="31"/>
      <c r="R17" s="31"/>
      <c r="S17" s="31"/>
      <c r="T17" s="31"/>
      <c r="U17" s="31"/>
      <c r="V17" s="31"/>
      <c r="W17" s="31"/>
      <c r="X17" s="31"/>
      <c r="Y17" s="31"/>
      <c r="Z17" s="31"/>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topLeftCell="A1"/>
  </sheetViews>
  <sheetFormatPr customHeight="1" defaultColWidth="12.63" defaultRowHeight="15.0"/>
  <cols>
    <col customWidth="1" min="1" max="1" width="1.38"/>
    <col customWidth="1" min="2" max="2" width="11.75"/>
    <col customWidth="1" min="3" max="3" width="26.5"/>
    <col customWidth="1" min="4" max="4" width="17.13"/>
    <col customWidth="1" min="5" max="5" width="28.13"/>
    <col customWidth="1" min="6" max="6" width="30.63"/>
    <col customWidth="1" min="7" max="26" width="9.0"/>
  </cols>
  <sheetData>
    <row r="1" ht="12.75" customHeight="1">
      <c r="A1" s="10"/>
      <c r="B1" s="42"/>
      <c r="C1" s="43"/>
      <c r="D1" s="44" t="str">
        <v>TEST CASE LIST</v>
      </c>
      <c r="E1" s="45"/>
      <c r="F1" s="43"/>
      <c r="G1" s="10"/>
      <c r="H1" s="10"/>
      <c r="I1" s="10"/>
      <c r="J1" s="10"/>
      <c r="K1" s="10"/>
      <c r="L1" s="10"/>
      <c r="M1" s="10"/>
      <c r="N1" s="10"/>
      <c r="O1" s="10"/>
      <c r="P1" s="10"/>
      <c r="Q1" s="10"/>
      <c r="R1" s="10"/>
      <c r="S1" s="10"/>
      <c r="T1" s="10"/>
      <c r="U1" s="10"/>
      <c r="V1" s="10"/>
      <c r="W1" s="10"/>
      <c r="X1" s="10"/>
      <c r="Y1" s="10"/>
      <c r="Z1" s="10"/>
    </row>
    <row r="2" ht="13.5" customHeight="1">
      <c r="A2" s="10"/>
      <c r="B2" s="42"/>
      <c r="C2" s="43"/>
      <c r="D2" s="46"/>
      <c r="E2" s="46"/>
      <c r="F2" s="47"/>
      <c r="G2" s="10"/>
      <c r="H2" s="10"/>
      <c r="I2" s="10"/>
      <c r="J2" s="10"/>
      <c r="K2" s="10"/>
      <c r="L2" s="10"/>
      <c r="M2" s="10"/>
      <c r="N2" s="10"/>
      <c r="O2" s="10"/>
      <c r="P2" s="10"/>
      <c r="Q2" s="10"/>
      <c r="R2" s="10"/>
      <c r="S2" s="10"/>
      <c r="T2" s="10"/>
      <c r="U2" s="10"/>
      <c r="V2" s="10"/>
      <c r="W2" s="10"/>
      <c r="X2" s="10"/>
      <c r="Y2" s="10"/>
      <c r="Z2" s="10"/>
    </row>
    <row r="3" ht="12.75" customHeight="1">
      <c r="A3" s="10"/>
      <c r="B3" s="48" t="str">
        <v>Project Name</v>
      </c>
      <c r="C3" s="5"/>
      <c r="D3" s="12" t="str">
        <v>TrustCabinet</v>
      </c>
      <c r="E3" s="5"/>
      <c r="F3" s="6"/>
      <c r="G3" s="49"/>
      <c r="H3" s="10"/>
      <c r="I3" s="10"/>
      <c r="J3" s="10"/>
      <c r="K3" s="10"/>
      <c r="L3" s="10"/>
      <c r="M3" s="10"/>
      <c r="N3" s="10"/>
      <c r="O3" s="10"/>
      <c r="P3" s="10"/>
      <c r="Q3" s="10"/>
      <c r="R3" s="10"/>
      <c r="S3" s="10"/>
      <c r="T3" s="10"/>
      <c r="U3" s="10"/>
      <c r="V3" s="10"/>
      <c r="W3" s="10"/>
      <c r="X3" s="10"/>
      <c r="Y3" s="10"/>
      <c r="Z3" s="10"/>
    </row>
    <row r="4" ht="12.75" customHeight="1">
      <c r="A4" s="10"/>
      <c r="B4" s="48" t="str">
        <v>Project Code</v>
      </c>
      <c r="C4" s="5"/>
      <c r="D4" s="12" t="str">
        <v>SEP490-G116</v>
      </c>
      <c r="E4" s="5"/>
      <c r="F4" s="6"/>
      <c r="G4" s="49"/>
      <c r="H4" s="10"/>
      <c r="I4" s="10"/>
      <c r="J4" s="10"/>
      <c r="K4" s="10"/>
      <c r="L4" s="10"/>
      <c r="M4" s="10"/>
      <c r="N4" s="10"/>
      <c r="O4" s="10"/>
      <c r="P4" s="10"/>
      <c r="Q4" s="10"/>
      <c r="R4" s="10"/>
      <c r="S4" s="10"/>
      <c r="T4" s="10"/>
      <c r="U4" s="10"/>
      <c r="V4" s="10"/>
      <c r="W4" s="10"/>
      <c r="X4" s="10"/>
      <c r="Y4" s="10"/>
      <c r="Z4" s="10"/>
    </row>
    <row r="5" ht="65" customHeight="1">
      <c r="A5" s="50"/>
      <c r="B5" s="51" t="str">
        <v>Test Environment Setup Description</v>
      </c>
      <c r="C5" s="6"/>
      <c r="D5" s="52" t="str">
        <v>.NET 10 / xUnit; PostgreSQL / Redis; Chrome / Edge for manual UI workflows.</v>
      </c>
      <c r="E5" s="5"/>
      <c r="F5" s="6"/>
      <c r="G5" s="50"/>
      <c r="H5" s="50"/>
      <c r="I5" s="50"/>
      <c r="J5" s="50"/>
      <c r="K5" s="50"/>
      <c r="L5" s="50"/>
      <c r="M5" s="50"/>
      <c r="N5" s="50"/>
      <c r="O5" s="50"/>
      <c r="P5" s="50"/>
      <c r="Q5" s="50"/>
      <c r="R5" s="50"/>
      <c r="S5" s="50"/>
      <c r="T5" s="50"/>
      <c r="U5" s="50"/>
      <c r="V5" s="50"/>
      <c r="W5" s="50"/>
      <c r="X5" s="50"/>
      <c r="Y5" s="50"/>
      <c r="Z5" s="50"/>
    </row>
    <row r="6" ht="12.75" customHeight="1">
      <c r="A6" s="10"/>
      <c r="B6" s="53"/>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4"/>
      <c r="B7" s="55"/>
      <c r="C7" s="56"/>
      <c r="D7" s="56"/>
      <c r="E7" s="56"/>
      <c r="F7" s="56"/>
      <c r="G7" s="54"/>
      <c r="H7" s="54"/>
      <c r="I7" s="54"/>
      <c r="J7" s="54"/>
      <c r="K7" s="54"/>
      <c r="L7" s="54"/>
      <c r="M7" s="54"/>
      <c r="N7" s="54"/>
      <c r="O7" s="54"/>
      <c r="P7" s="54"/>
      <c r="Q7" s="54"/>
      <c r="R7" s="54"/>
      <c r="S7" s="54"/>
      <c r="T7" s="54"/>
      <c r="U7" s="54"/>
      <c r="V7" s="54"/>
      <c r="W7" s="54"/>
      <c r="X7" s="54"/>
      <c r="Y7" s="54"/>
      <c r="Z7" s="54"/>
    </row>
    <row r="8" ht="21.0" customHeight="1">
      <c r="A8" s="57"/>
      <c r="B8" s="58" t="str">
        <v>No</v>
      </c>
      <c r="C8" s="59" t="str">
        <v>Function Name</v>
      </c>
      <c r="D8" s="59" t="str">
        <v>Sheet Name</v>
      </c>
      <c r="E8" s="60" t="str">
        <v>Description</v>
      </c>
      <c r="F8" s="61" t="str">
        <v>Pre-Condition</v>
      </c>
      <c r="G8" s="57"/>
      <c r="H8" s="57"/>
      <c r="I8" s="57"/>
      <c r="J8" s="57"/>
      <c r="K8" s="57"/>
      <c r="L8" s="57"/>
      <c r="M8" s="57"/>
      <c r="N8" s="57"/>
      <c r="O8" s="57"/>
      <c r="P8" s="57"/>
      <c r="Q8" s="57"/>
      <c r="R8" s="57"/>
      <c r="S8" s="57"/>
      <c r="T8" s="57"/>
      <c r="U8" s="57"/>
      <c r="V8" s="57"/>
      <c r="W8" s="57"/>
      <c r="X8" s="57"/>
      <c r="Y8" s="57"/>
      <c r="Z8" s="57"/>
    </row>
    <row r="9" ht="40" customHeight="1">
      <c r="A9" s="10"/>
      <c r="B9" s="62" t="n">
        <v>1</v>
      </c>
      <c r="C9" s="63" t="str">
        <v>Access</v>
      </c>
      <c r="D9" s="64" t="str">
        <v>Access</v>
      </c>
      <c r="E9" s="65" t="str">
        <v>54 definitions / scenarios</v>
      </c>
      <c r="F9" s="66" t="str">
        <v>See the Pre-conditions of each case.</v>
      </c>
      <c r="G9" s="10"/>
      <c r="H9" s="10"/>
      <c r="I9" s="10"/>
      <c r="J9" s="10"/>
      <c r="K9" s="10"/>
      <c r="L9" s="10"/>
      <c r="M9" s="10"/>
      <c r="N9" s="10"/>
      <c r="O9" s="10"/>
      <c r="P9" s="10"/>
      <c r="Q9" s="10"/>
      <c r="R9" s="10"/>
      <c r="S9" s="10"/>
      <c r="T9" s="10"/>
      <c r="U9" s="10"/>
      <c r="V9" s="10"/>
      <c r="W9" s="10"/>
      <c r="X9" s="10"/>
      <c r="Y9" s="10"/>
      <c r="Z9" s="10"/>
    </row>
    <row r="10" ht="40" customHeight="1">
      <c r="A10" s="10"/>
      <c r="B10" s="62" t="n">
        <v>2</v>
      </c>
      <c r="C10" s="63" t="str">
        <v>Agenda</v>
      </c>
      <c r="D10" s="64" t="str">
        <v>Agenda</v>
      </c>
      <c r="E10" s="65" t="str">
        <v>57 definitions / scenarios</v>
      </c>
      <c r="F10" s="66" t="str">
        <v>See the Pre-conditions of each case.</v>
      </c>
      <c r="G10" s="10"/>
      <c r="H10" s="10"/>
      <c r="I10" s="10"/>
      <c r="J10" s="10"/>
      <c r="K10" s="10"/>
      <c r="L10" s="10"/>
      <c r="M10" s="10"/>
      <c r="N10" s="10"/>
      <c r="O10" s="10"/>
      <c r="P10" s="10"/>
      <c r="Q10" s="10"/>
      <c r="R10" s="10"/>
      <c r="S10" s="10"/>
      <c r="T10" s="10"/>
      <c r="U10" s="10"/>
      <c r="V10" s="10"/>
      <c r="W10" s="10"/>
      <c r="X10" s="10"/>
      <c r="Y10" s="10"/>
      <c r="Z10" s="10"/>
    </row>
    <row r="11" ht="40" customHeight="1">
      <c r="A11" s="10"/>
      <c r="B11" s="62" t="n">
        <v>3</v>
      </c>
      <c r="C11" s="63" t="str">
        <v>Attendance</v>
      </c>
      <c r="D11" s="64" t="str">
        <v>Attendance</v>
      </c>
      <c r="E11" s="65" t="str">
        <v>12 definitions / scenarios</v>
      </c>
      <c r="F11" s="66" t="str">
        <v>See the Pre-conditions of each case.</v>
      </c>
      <c r="G11" s="10"/>
      <c r="H11" s="10"/>
      <c r="I11" s="10"/>
      <c r="J11" s="10"/>
      <c r="K11" s="10"/>
      <c r="L11" s="10"/>
      <c r="M11" s="10"/>
      <c r="N11" s="10"/>
      <c r="O11" s="10"/>
      <c r="P11" s="10"/>
      <c r="Q11" s="10"/>
      <c r="R11" s="10"/>
      <c r="S11" s="10"/>
      <c r="T11" s="10"/>
      <c r="U11" s="10"/>
      <c r="V11" s="10"/>
      <c r="W11" s="10"/>
      <c r="X11" s="10"/>
      <c r="Y11" s="10"/>
      <c r="Z11" s="10"/>
    </row>
    <row r="12" ht="40" customHeight="1">
      <c r="A12" s="10"/>
      <c r="B12" s="62" t="n">
        <v>4</v>
      </c>
      <c r="C12" s="63" t="str">
        <v>Authentication</v>
      </c>
      <c r="D12" s="64" t="str">
        <v>Authentication</v>
      </c>
      <c r="E12" s="65" t="str">
        <v>29 definitions / scenarios</v>
      </c>
      <c r="F12" s="66" t="str">
        <v>See the Pre-conditions of each case.</v>
      </c>
      <c r="G12" s="10"/>
      <c r="H12" s="10"/>
      <c r="I12" s="10"/>
      <c r="J12" s="10"/>
      <c r="K12" s="10"/>
      <c r="L12" s="10"/>
      <c r="M12" s="10"/>
      <c r="N12" s="10"/>
      <c r="O12" s="10"/>
      <c r="P12" s="10"/>
      <c r="Q12" s="10"/>
      <c r="R12" s="10"/>
      <c r="S12" s="10"/>
      <c r="T12" s="10"/>
      <c r="U12" s="10"/>
      <c r="V12" s="10"/>
      <c r="W12" s="10"/>
      <c r="X12" s="10"/>
      <c r="Y12" s="10"/>
      <c r="Z12" s="10"/>
    </row>
    <row r="13" ht="40" customHeight="1">
      <c r="A13" s="10"/>
      <c r="B13" s="62" t="n">
        <v>5</v>
      </c>
      <c r="C13" s="63" t="str">
        <v>Calls</v>
      </c>
      <c r="D13" s="64" t="str">
        <v>Calls</v>
      </c>
      <c r="E13" s="65" t="str">
        <v>10 definitions / scenarios</v>
      </c>
      <c r="F13" s="66" t="str">
        <v>See the Pre-conditions of each case.</v>
      </c>
      <c r="G13" s="10"/>
      <c r="H13" s="10"/>
      <c r="I13" s="10"/>
      <c r="J13" s="10"/>
      <c r="K13" s="10"/>
      <c r="L13" s="10"/>
      <c r="M13" s="10"/>
      <c r="N13" s="10"/>
      <c r="O13" s="10"/>
      <c r="P13" s="10"/>
      <c r="Q13" s="10"/>
      <c r="R13" s="10"/>
      <c r="S13" s="10"/>
      <c r="T13" s="10"/>
      <c r="U13" s="10"/>
      <c r="V13" s="10"/>
      <c r="W13" s="10"/>
      <c r="X13" s="10"/>
      <c r="Y13" s="10"/>
      <c r="Z13" s="10"/>
    </row>
    <row r="14" ht="40" customHeight="1">
      <c r="A14" s="10"/>
      <c r="B14" s="62" t="n">
        <v>6</v>
      </c>
      <c r="C14" s="63" t="str">
        <v>Core</v>
      </c>
      <c r="D14" s="64" t="str">
        <v>Core</v>
      </c>
      <c r="E14" s="65" t="str">
        <v>5 definitions / scenarios</v>
      </c>
      <c r="F14" s="66" t="str">
        <v>See the Pre-conditions of each case.</v>
      </c>
      <c r="G14" s="10"/>
      <c r="H14" s="10"/>
      <c r="I14" s="10"/>
      <c r="J14" s="10"/>
      <c r="K14" s="10"/>
      <c r="L14" s="10"/>
      <c r="M14" s="10"/>
      <c r="N14" s="10"/>
      <c r="O14" s="10"/>
      <c r="P14" s="10"/>
      <c r="Q14" s="10"/>
      <c r="R14" s="10"/>
      <c r="S14" s="10"/>
      <c r="T14" s="10"/>
      <c r="U14" s="10"/>
      <c r="V14" s="10"/>
      <c r="W14" s="10"/>
      <c r="X14" s="10"/>
      <c r="Y14" s="10"/>
      <c r="Z14" s="10"/>
    </row>
    <row r="15" ht="40" customHeight="1">
      <c r="A15" s="10"/>
      <c r="B15" s="62" t="n">
        <v>7</v>
      </c>
      <c r="C15" s="63" t="str">
        <v>Documents</v>
      </c>
      <c r="D15" s="64" t="str">
        <v>Documents</v>
      </c>
      <c r="E15" s="65" t="str">
        <v>91 definitions / scenarios</v>
      </c>
      <c r="F15" s="66" t="str">
        <v>See the Pre-conditions of each case.</v>
      </c>
      <c r="G15" s="10"/>
      <c r="H15" s="10"/>
      <c r="I15" s="10"/>
      <c r="J15" s="10"/>
      <c r="K15" s="10"/>
      <c r="L15" s="10"/>
      <c r="M15" s="10"/>
      <c r="N15" s="10"/>
      <c r="O15" s="10"/>
      <c r="P15" s="10"/>
      <c r="Q15" s="10"/>
      <c r="R15" s="10"/>
      <c r="S15" s="10"/>
      <c r="T15" s="10"/>
      <c r="U15" s="10"/>
      <c r="V15" s="10"/>
      <c r="W15" s="10"/>
      <c r="X15" s="10"/>
      <c r="Y15" s="10"/>
      <c r="Z15" s="10"/>
    </row>
    <row r="16" ht="40" customHeight="1">
      <c r="A16" s="10"/>
      <c r="B16" s="62" t="n">
        <v>8</v>
      </c>
      <c r="C16" s="63" t="str">
        <v>Email</v>
      </c>
      <c r="D16" s="64" t="str">
        <v>Email</v>
      </c>
      <c r="E16" s="65" t="str">
        <v>4 definitions / scenarios</v>
      </c>
      <c r="F16" s="66" t="str">
        <v>See the Pre-conditions of each case.</v>
      </c>
      <c r="G16" s="10"/>
      <c r="H16" s="10"/>
      <c r="I16" s="10"/>
      <c r="J16" s="10"/>
      <c r="K16" s="10"/>
      <c r="L16" s="10"/>
      <c r="M16" s="10"/>
      <c r="N16" s="10"/>
      <c r="O16" s="10"/>
      <c r="P16" s="10"/>
      <c r="Q16" s="10"/>
      <c r="R16" s="10"/>
      <c r="S16" s="10"/>
      <c r="T16" s="10"/>
      <c r="U16" s="10"/>
      <c r="V16" s="10"/>
      <c r="W16" s="10"/>
      <c r="X16" s="10"/>
      <c r="Y16" s="10"/>
      <c r="Z16" s="10"/>
    </row>
    <row r="17" ht="40" customHeight="1">
      <c r="A17" s="10"/>
      <c r="B17" s="62" t="n">
        <v>9</v>
      </c>
      <c r="C17" s="63" t="str">
        <v>Meetings</v>
      </c>
      <c r="D17" s="64" t="str">
        <v>Meetings</v>
      </c>
      <c r="E17" s="65" t="str">
        <v>94 definitions / scenarios</v>
      </c>
      <c r="F17" s="66" t="str">
        <v>See the Pre-conditions of each case.</v>
      </c>
      <c r="G17" s="10"/>
      <c r="H17" s="10"/>
      <c r="I17" s="10"/>
      <c r="J17" s="10"/>
      <c r="K17" s="10"/>
      <c r="L17" s="10"/>
      <c r="M17" s="10"/>
      <c r="N17" s="10"/>
      <c r="O17" s="10"/>
      <c r="P17" s="10"/>
      <c r="Q17" s="10"/>
      <c r="R17" s="10"/>
      <c r="S17" s="10"/>
      <c r="T17" s="10"/>
      <c r="U17" s="10"/>
      <c r="V17" s="10"/>
      <c r="W17" s="10"/>
      <c r="X17" s="10"/>
      <c r="Y17" s="10"/>
      <c r="Z17" s="10"/>
    </row>
    <row r="18" ht="40" customHeight="1">
      <c r="A18" s="10"/>
      <c r="B18" s="62" t="n">
        <v>10</v>
      </c>
      <c r="C18" s="63" t="str">
        <v>Notifications</v>
      </c>
      <c r="D18" s="64" t="str">
        <v>Notifications</v>
      </c>
      <c r="E18" s="65" t="str">
        <v>5 definitions / scenarios</v>
      </c>
      <c r="F18" s="66" t="str">
        <v>See the Pre-conditions of each case.</v>
      </c>
      <c r="G18" s="10"/>
      <c r="H18" s="10"/>
      <c r="I18" s="10"/>
      <c r="J18" s="10"/>
      <c r="K18" s="10"/>
      <c r="L18" s="10"/>
      <c r="M18" s="10"/>
      <c r="N18" s="10"/>
      <c r="O18" s="10"/>
      <c r="P18" s="10"/>
      <c r="Q18" s="10"/>
      <c r="R18" s="10"/>
      <c r="S18" s="10"/>
      <c r="T18" s="10"/>
      <c r="U18" s="10"/>
      <c r="V18" s="10"/>
      <c r="W18" s="10"/>
      <c r="X18" s="10"/>
      <c r="Y18" s="10"/>
      <c r="Z18" s="10"/>
    </row>
    <row r="19" ht="40" customHeight="1">
      <c r="A19" s="10"/>
      <c r="B19" s="62" t="n">
        <v>11</v>
      </c>
      <c r="C19" s="63" t="str">
        <v>Participants</v>
      </c>
      <c r="D19" s="64" t="str">
        <v>Participants</v>
      </c>
      <c r="E19" s="65" t="str">
        <v>31 definitions / scenarios</v>
      </c>
      <c r="F19" s="66" t="str">
        <v>See the Pre-conditions of each case.</v>
      </c>
      <c r="G19" s="10"/>
      <c r="H19" s="10"/>
      <c r="I19" s="10"/>
      <c r="J19" s="10"/>
      <c r="K19" s="10"/>
      <c r="L19" s="10"/>
      <c r="M19" s="10"/>
      <c r="N19" s="10"/>
      <c r="O19" s="10"/>
      <c r="P19" s="10"/>
      <c r="Q19" s="10"/>
      <c r="R19" s="10"/>
      <c r="S19" s="10"/>
      <c r="T19" s="10"/>
      <c r="U19" s="10"/>
      <c r="V19" s="10"/>
      <c r="W19" s="10"/>
      <c r="X19" s="10"/>
      <c r="Y19" s="10"/>
      <c r="Z19" s="10"/>
    </row>
    <row r="20" ht="40" customHeight="1">
      <c r="A20" s="10"/>
      <c r="B20" s="62" t="n">
        <v>12</v>
      </c>
      <c r="C20" s="63" t="str">
        <v>Recordings</v>
      </c>
      <c r="D20" s="64" t="str">
        <v>Recordings</v>
      </c>
      <c r="E20" s="65" t="str">
        <v>55 definitions / scenarios</v>
      </c>
      <c r="F20" s="66" t="str">
        <v>See the Pre-conditions of each case.</v>
      </c>
      <c r="G20" s="10"/>
      <c r="H20" s="10"/>
      <c r="I20" s="10"/>
      <c r="J20" s="10"/>
      <c r="K20" s="10"/>
      <c r="L20" s="10"/>
      <c r="M20" s="10"/>
      <c r="N20" s="10"/>
      <c r="O20" s="10"/>
      <c r="P20" s="10"/>
      <c r="Q20" s="10"/>
      <c r="R20" s="10"/>
      <c r="S20" s="10"/>
      <c r="T20" s="10"/>
      <c r="U20" s="10"/>
      <c r="V20" s="10"/>
      <c r="W20" s="10"/>
      <c r="X20" s="10"/>
      <c r="Y20" s="10"/>
      <c r="Z20" s="10"/>
    </row>
    <row r="21" ht="40" customHeight="1">
      <c r="A21" s="10"/>
      <c r="B21" s="62" t="n">
        <v>13</v>
      </c>
      <c r="C21" s="63" t="str">
        <v>Users</v>
      </c>
      <c r="D21" s="64" t="str">
        <v>Users</v>
      </c>
      <c r="E21" s="65" t="str">
        <v>32 definitions / scenarios</v>
      </c>
      <c r="F21" s="66" t="str">
        <v>See the Pre-conditions of each case.</v>
      </c>
      <c r="G21" s="10"/>
      <c r="H21" s="10"/>
      <c r="I21" s="10"/>
      <c r="J21" s="10"/>
      <c r="K21" s="10"/>
      <c r="L21" s="10"/>
      <c r="M21" s="10"/>
      <c r="N21" s="10"/>
      <c r="O21" s="10"/>
      <c r="P21" s="10"/>
      <c r="Q21" s="10"/>
      <c r="R21" s="10"/>
      <c r="S21" s="10"/>
      <c r="T21" s="10"/>
      <c r="U21" s="10"/>
      <c r="V21" s="10"/>
      <c r="W21" s="10"/>
      <c r="X21" s="10"/>
      <c r="Y21" s="10"/>
      <c r="Z21" s="10"/>
    </row>
  </sheetData>
  <mergeCells count="6">
    <mergeCell ref="B3:C3"/>
    <mergeCell ref="D3:F3"/>
    <mergeCell ref="B4:C4"/>
    <mergeCell ref="D4:F4"/>
    <mergeCell ref="B5:C5"/>
    <mergeCell ref="D5:F5"/>
  </mergeCells>
  <hyperlinks>
    <hyperlink ref="D9" location="'Access'!A1" display="Access"/>
    <hyperlink ref="D10" location="'Agenda'!A1" display="Agenda"/>
    <hyperlink ref="D11" location="'Attendance'!A1" display="Attendance"/>
    <hyperlink ref="D12" location="'Authentication'!A1" display="Authentication"/>
    <hyperlink ref="D13" location="'Calls'!A1" display="Calls"/>
    <hyperlink ref="D14" location="'Core'!A1" display="Core"/>
    <hyperlink ref="D15" location="'Documents'!A1" display="Documents"/>
    <hyperlink ref="D16" location="'Email'!A1" display="Email"/>
    <hyperlink ref="D17" location="'Meetings'!A1" display="Meetings"/>
    <hyperlink ref="D18" location="'Notifications'!A1" display="Notifications"/>
    <hyperlink ref="D19" location="'Participants'!A1" display="Participants"/>
    <hyperlink ref="D20" location="'Recordings'!A1" display="Recordings"/>
    <hyperlink ref="D21" location="'Users'!A1" display="Users"/>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topLeftCell="A1"/>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74" t="str">
        <v>TEST STATISTICS</v>
      </c>
      <c r="C1" s="75"/>
      <c r="D1" s="75"/>
      <c r="E1" s="75"/>
      <c r="F1" s="75"/>
      <c r="G1" s="75"/>
      <c r="H1" s="75"/>
      <c r="I1" s="10"/>
      <c r="J1" s="10"/>
      <c r="K1" s="10"/>
      <c r="L1" s="10"/>
      <c r="M1" s="10"/>
      <c r="N1" s="10"/>
      <c r="O1" s="10"/>
      <c r="P1" s="10"/>
      <c r="Q1" s="10"/>
      <c r="R1" s="10"/>
      <c r="S1" s="10"/>
      <c r="T1" s="10"/>
      <c r="U1" s="10"/>
      <c r="V1" s="10"/>
      <c r="W1" s="10"/>
      <c r="X1" s="10"/>
      <c r="Y1" s="10"/>
      <c r="Z1" s="10"/>
    </row>
    <row r="2" ht="14.25" customHeight="1">
      <c r="A2" s="76"/>
      <c r="B2" s="76"/>
      <c r="C2" s="77"/>
      <c r="D2" s="77"/>
      <c r="E2" s="77"/>
      <c r="F2" s="77"/>
      <c r="G2" s="10"/>
      <c r="H2" s="78"/>
      <c r="I2" s="10"/>
      <c r="J2" s="10"/>
      <c r="K2" s="10"/>
      <c r="L2" s="10"/>
      <c r="M2" s="10"/>
      <c r="N2" s="10"/>
      <c r="O2" s="10"/>
      <c r="P2" s="10"/>
      <c r="Q2" s="10"/>
      <c r="R2" s="10"/>
      <c r="S2" s="10"/>
      <c r="T2" s="10"/>
      <c r="U2" s="10"/>
      <c r="V2" s="10"/>
      <c r="W2" s="10"/>
      <c r="X2" s="10"/>
      <c r="Y2" s="10"/>
      <c r="Z2" s="10"/>
    </row>
    <row r="3" ht="12.0" customHeight="1">
      <c r="A3" s="10"/>
      <c r="B3" s="79" t="str">
        <v>Project Name</v>
      </c>
      <c r="C3" s="12" t="str">
        <v>TrustCabinet</v>
      </c>
      <c r="D3" s="5"/>
      <c r="E3" s="5"/>
      <c r="F3" s="5"/>
      <c r="G3" s="5"/>
      <c r="H3" s="6"/>
      <c r="I3" s="10"/>
      <c r="J3" s="10"/>
      <c r="K3" s="10"/>
      <c r="L3" s="10"/>
      <c r="M3" s="10"/>
      <c r="N3" s="10"/>
      <c r="O3" s="10"/>
      <c r="P3" s="10"/>
      <c r="Q3" s="10"/>
      <c r="R3" s="10"/>
      <c r="S3" s="10"/>
      <c r="T3" s="10"/>
      <c r="U3" s="10"/>
      <c r="V3" s="10"/>
      <c r="W3" s="10"/>
      <c r="X3" s="10"/>
      <c r="Y3" s="10"/>
      <c r="Z3" s="10"/>
    </row>
    <row r="4" ht="12.0" customHeight="1">
      <c r="A4" s="10"/>
      <c r="B4" s="79" t="str">
        <v>Project Code</v>
      </c>
      <c r="C4" s="12" t="str">
        <v>SEP490-G116</v>
      </c>
      <c r="D4" s="5"/>
      <c r="E4" s="5"/>
      <c r="F4" s="5"/>
      <c r="G4" s="5"/>
      <c r="H4" s="6"/>
      <c r="I4" s="10"/>
      <c r="J4" s="10"/>
      <c r="K4" s="10"/>
      <c r="L4" s="10"/>
      <c r="M4" s="10"/>
      <c r="N4" s="10"/>
      <c r="O4" s="10"/>
      <c r="P4" s="10"/>
      <c r="Q4" s="10"/>
      <c r="R4" s="10"/>
      <c r="S4" s="10"/>
      <c r="T4" s="10"/>
      <c r="U4" s="10"/>
      <c r="V4" s="10"/>
      <c r="W4" s="10"/>
      <c r="X4" s="10"/>
      <c r="Y4" s="10"/>
      <c r="Z4" s="10"/>
    </row>
    <row r="5" ht="12.0" customHeight="1">
      <c r="A5" s="10"/>
      <c r="B5" s="80" t="str">
        <v>Document Code</v>
      </c>
      <c r="C5" s="81" t="str">
        <v>SEP490-G116_Test_Report_v1</v>
      </c>
      <c r="D5" s="6"/>
      <c r="E5" s="82" t="str">
        <v>Issue Date</v>
      </c>
      <c r="F5" s="6"/>
      <c r="G5" s="83" t="str">
        <v>2026-10-30</v>
      </c>
      <c r="H5" s="6"/>
      <c r="I5" s="10"/>
      <c r="J5" s="10"/>
      <c r="K5" s="10"/>
      <c r="L5" s="10"/>
      <c r="M5" s="10"/>
      <c r="N5" s="10"/>
      <c r="O5" s="10"/>
      <c r="P5" s="10"/>
      <c r="Q5" s="10"/>
      <c r="R5" s="10"/>
      <c r="S5" s="10"/>
      <c r="T5" s="10"/>
      <c r="U5" s="10"/>
      <c r="V5" s="10"/>
      <c r="W5" s="10"/>
      <c r="X5" s="10"/>
      <c r="Y5" s="10"/>
      <c r="Z5" s="10"/>
    </row>
    <row r="6" ht="21.75" customHeight="1">
      <c r="A6" s="76"/>
      <c r="B6" s="80" t="str">
        <v>Notes</v>
      </c>
      <c r="C6" s="84" t="str"/>
      <c r="D6" s="5"/>
      <c r="E6" s="5"/>
      <c r="F6" s="5"/>
      <c r="G6" s="5"/>
      <c r="H6" s="6"/>
      <c r="I6" s="10"/>
      <c r="J6" s="10"/>
      <c r="K6" s="10"/>
      <c r="L6" s="10"/>
      <c r="M6" s="10"/>
      <c r="N6" s="10"/>
      <c r="O6" s="10"/>
      <c r="P6" s="10"/>
      <c r="Q6" s="10"/>
      <c r="R6" s="10"/>
      <c r="S6" s="10"/>
      <c r="T6" s="10"/>
      <c r="U6" s="10"/>
      <c r="V6" s="10"/>
      <c r="W6" s="10"/>
      <c r="X6" s="10"/>
      <c r="Y6" s="10"/>
      <c r="Z6" s="10"/>
    </row>
    <row r="7" ht="14.25" customHeight="1">
      <c r="A7" s="76"/>
      <c r="B7" s="85"/>
      <c r="C7" s="86"/>
      <c r="D7" s="10"/>
      <c r="E7" s="10"/>
      <c r="F7" s="10"/>
      <c r="G7" s="10"/>
      <c r="H7" s="78"/>
      <c r="I7" s="10"/>
      <c r="J7" s="10"/>
      <c r="K7" s="10"/>
      <c r="L7" s="10"/>
      <c r="M7" s="10"/>
      <c r="N7" s="10"/>
      <c r="O7" s="10"/>
      <c r="P7" s="10"/>
      <c r="Q7" s="10"/>
      <c r="R7" s="10"/>
      <c r="S7" s="10"/>
      <c r="T7" s="10"/>
      <c r="U7" s="10"/>
      <c r="V7" s="10"/>
      <c r="W7" s="10"/>
      <c r="X7" s="10"/>
      <c r="Y7" s="10"/>
      <c r="Z7" s="10"/>
    </row>
    <row r="8" ht="12.75" customHeight="1">
      <c r="A8" s="10"/>
      <c r="B8" s="85"/>
      <c r="C8" s="86"/>
      <c r="D8" s="10"/>
      <c r="E8" s="10"/>
      <c r="F8" s="10"/>
      <c r="G8" s="10"/>
      <c r="H8" s="78"/>
      <c r="I8" s="10"/>
      <c r="J8" s="10"/>
      <c r="K8" s="10"/>
      <c r="L8" s="10"/>
      <c r="M8" s="10"/>
      <c r="N8" s="10"/>
      <c r="O8" s="10"/>
      <c r="P8" s="10"/>
      <c r="Q8" s="10"/>
      <c r="R8" s="10"/>
      <c r="S8" s="10"/>
      <c r="T8" s="10"/>
      <c r="U8" s="10"/>
      <c r="V8" s="10"/>
      <c r="W8" s="10"/>
      <c r="X8" s="10"/>
      <c r="Y8" s="10"/>
      <c r="Z8" s="10"/>
    </row>
    <row r="9" ht="12.75" customHeight="1">
      <c r="A9" s="10"/>
      <c r="B9" s="77"/>
      <c r="C9" s="77"/>
      <c r="D9" s="77"/>
      <c r="E9" s="77"/>
      <c r="F9" s="77"/>
      <c r="G9" s="77"/>
      <c r="H9" s="77"/>
      <c r="I9" s="10"/>
      <c r="J9" s="10"/>
      <c r="K9" s="10"/>
      <c r="L9" s="10"/>
      <c r="M9" s="10"/>
      <c r="N9" s="10"/>
      <c r="O9" s="10"/>
      <c r="P9" s="10"/>
      <c r="Q9" s="10"/>
      <c r="R9" s="10"/>
      <c r="S9" s="10"/>
      <c r="T9" s="10"/>
      <c r="U9" s="10"/>
      <c r="V9" s="10"/>
      <c r="W9" s="10"/>
      <c r="X9" s="10"/>
      <c r="Y9" s="10"/>
      <c r="Z9" s="10"/>
    </row>
    <row r="10" ht="12.75" customHeight="1">
      <c r="A10" s="87"/>
      <c r="B10" s="88" t="str">
        <v>No</v>
      </c>
      <c r="C10" s="89" t="str">
        <v>Module code</v>
      </c>
      <c r="D10" s="90" t="str">
        <v>Passed</v>
      </c>
      <c r="E10" s="89" t="str">
        <v>Failed</v>
      </c>
      <c r="F10" s="89" t="str">
        <v>Pending</v>
      </c>
      <c r="G10" s="91" t="str">
        <v>N/A</v>
      </c>
      <c r="H10" s="92" t="str">
        <v>Number of  test cases</v>
      </c>
      <c r="I10" s="49"/>
      <c r="J10" s="10"/>
      <c r="K10" s="10"/>
      <c r="L10" s="10"/>
      <c r="M10" s="10"/>
      <c r="N10" s="10"/>
      <c r="O10" s="10"/>
      <c r="P10" s="10"/>
      <c r="Q10" s="10"/>
      <c r="R10" s="10"/>
      <c r="S10" s="10"/>
      <c r="T10" s="10"/>
      <c r="U10" s="10"/>
      <c r="V10" s="10"/>
      <c r="W10" s="10"/>
      <c r="X10" s="10"/>
      <c r="Y10" s="10"/>
      <c r="Z10" s="10"/>
    </row>
    <row r="11" ht="45" customHeight="1">
      <c r="A11" s="87"/>
      <c r="B11" s="93" t="n">
        <v>1</v>
      </c>
      <c r="C11" s="64" t="str">
        <v>Access</v>
      </c>
      <c r="D11" s="94" t="n">
        <f>'Access'!B6</f>
        <v>0</v>
      </c>
      <c r="E11" s="94" t="n">
        <f>'Access'!C6</f>
        <v>0</v>
      </c>
      <c r="F11" s="94" t="n">
        <f>'Access'!D6</f>
        <v>54</v>
      </c>
      <c r="G11" s="94" t="n">
        <f>'Access'!E6</f>
        <v>0</v>
      </c>
      <c r="H11" s="95" t="n">
        <f>'Access'!B4</f>
        <v>54</v>
      </c>
      <c r="I11" s="49"/>
      <c r="J11" s="10"/>
      <c r="K11" s="10"/>
      <c r="L11" s="10"/>
      <c r="M11" s="10"/>
      <c r="N11" s="10"/>
      <c r="O11" s="10"/>
      <c r="P11" s="10"/>
      <c r="Q11" s="10"/>
      <c r="R11" s="10"/>
      <c r="S11" s="10"/>
      <c r="T11" s="10"/>
      <c r="U11" s="10"/>
      <c r="V11" s="10"/>
      <c r="W11" s="10"/>
      <c r="X11" s="10"/>
      <c r="Y11" s="10"/>
      <c r="Z11" s="10"/>
    </row>
    <row r="12" ht="45" customHeight="1">
      <c r="A12" s="87"/>
      <c r="B12" s="93" t="n">
        <v>2</v>
      </c>
      <c r="C12" s="64" t="str">
        <v>Agenda</v>
      </c>
      <c r="D12" s="94" t="n">
        <f>'Agenda'!B6</f>
        <v>0</v>
      </c>
      <c r="E12" s="94" t="n">
        <f>'Agenda'!C6</f>
        <v>0</v>
      </c>
      <c r="F12" s="94" t="n">
        <f>'Agenda'!D6</f>
        <v>57</v>
      </c>
      <c r="G12" s="94" t="n">
        <f>'Agenda'!E6</f>
        <v>0</v>
      </c>
      <c r="H12" s="95" t="n">
        <f>'Agenda'!B4</f>
        <v>57</v>
      </c>
      <c r="I12" s="49"/>
      <c r="J12" s="10"/>
      <c r="K12" s="10"/>
      <c r="L12" s="10"/>
      <c r="M12" s="10"/>
      <c r="N12" s="10"/>
      <c r="O12" s="10"/>
      <c r="P12" s="10"/>
      <c r="Q12" s="10"/>
      <c r="R12" s="10"/>
      <c r="S12" s="10"/>
      <c r="T12" s="10"/>
      <c r="U12" s="10"/>
      <c r="V12" s="10"/>
      <c r="W12" s="10"/>
      <c r="X12" s="10"/>
      <c r="Y12" s="10"/>
      <c r="Z12" s="10"/>
    </row>
    <row r="13" ht="45" customHeight="1">
      <c r="A13" s="87"/>
      <c r="B13" s="93" t="n">
        <v>3</v>
      </c>
      <c r="C13" s="64" t="str">
        <v>Attendance</v>
      </c>
      <c r="D13" s="94" t="n">
        <f>'Attendance'!B6</f>
        <v>0</v>
      </c>
      <c r="E13" s="94" t="n">
        <f>'Attendance'!C6</f>
        <v>0</v>
      </c>
      <c r="F13" s="94" t="n">
        <f>'Attendance'!D6</f>
        <v>12</v>
      </c>
      <c r="G13" s="94" t="n">
        <f>'Attendance'!E6</f>
        <v>0</v>
      </c>
      <c r="H13" s="95" t="n">
        <f>'Attendance'!B4</f>
        <v>12</v>
      </c>
      <c r="I13" s="49"/>
      <c r="J13" s="10"/>
      <c r="K13" s="10"/>
      <c r="L13" s="10"/>
      <c r="M13" s="10"/>
      <c r="N13" s="10"/>
      <c r="O13" s="10"/>
      <c r="P13" s="10"/>
      <c r="Q13" s="10"/>
      <c r="R13" s="10"/>
      <c r="S13" s="10"/>
      <c r="T13" s="10"/>
      <c r="U13" s="10"/>
      <c r="V13" s="10"/>
      <c r="W13" s="10"/>
      <c r="X13" s="10"/>
      <c r="Y13" s="10"/>
      <c r="Z13" s="10"/>
    </row>
    <row r="14" ht="45" customHeight="1">
      <c r="A14" s="87"/>
      <c r="B14" s="93" t="n">
        <v>4</v>
      </c>
      <c r="C14" s="64" t="str">
        <v>Authentication</v>
      </c>
      <c r="D14" s="94" t="n">
        <f>'Authentication'!B6</f>
        <v>0</v>
      </c>
      <c r="E14" s="94" t="n">
        <f>'Authentication'!C6</f>
        <v>0</v>
      </c>
      <c r="F14" s="94" t="n">
        <f>'Authentication'!D6</f>
        <v>29</v>
      </c>
      <c r="G14" s="94" t="n">
        <f>'Authentication'!E6</f>
        <v>0</v>
      </c>
      <c r="H14" s="95" t="n">
        <f>'Authentication'!B4</f>
        <v>29</v>
      </c>
      <c r="I14" s="49"/>
      <c r="J14" s="10"/>
      <c r="K14" s="10"/>
      <c r="L14" s="10"/>
      <c r="M14" s="10"/>
      <c r="N14" s="10"/>
      <c r="O14" s="10"/>
      <c r="P14" s="10"/>
      <c r="Q14" s="10"/>
      <c r="R14" s="10"/>
      <c r="S14" s="10"/>
      <c r="T14" s="10"/>
      <c r="U14" s="10"/>
      <c r="V14" s="10"/>
      <c r="W14" s="10"/>
      <c r="X14" s="10"/>
      <c r="Y14" s="10"/>
      <c r="Z14" s="10"/>
    </row>
    <row r="15" ht="45" customHeight="1">
      <c r="A15" s="87"/>
      <c r="B15" s="93" t="n">
        <v>5</v>
      </c>
      <c r="C15" s="64" t="str">
        <v>Calls</v>
      </c>
      <c r="D15" s="94" t="n">
        <f>'Calls'!B6</f>
        <v>0</v>
      </c>
      <c r="E15" s="94" t="n">
        <f>'Calls'!C6</f>
        <v>0</v>
      </c>
      <c r="F15" s="94" t="n">
        <f>'Calls'!D6</f>
        <v>10</v>
      </c>
      <c r="G15" s="94" t="n">
        <f>'Calls'!E6</f>
        <v>0</v>
      </c>
      <c r="H15" s="95" t="n">
        <f>'Calls'!B4</f>
        <v>10</v>
      </c>
      <c r="I15" s="49"/>
      <c r="J15" s="10"/>
      <c r="K15" s="10"/>
      <c r="L15" s="10"/>
      <c r="M15" s="10"/>
      <c r="N15" s="10"/>
      <c r="O15" s="10"/>
      <c r="P15" s="10"/>
      <c r="Q15" s="10"/>
      <c r="R15" s="10"/>
      <c r="S15" s="10"/>
      <c r="T15" s="10"/>
      <c r="U15" s="10"/>
      <c r="V15" s="10"/>
      <c r="W15" s="10"/>
      <c r="X15" s="10"/>
      <c r="Y15" s="10"/>
      <c r="Z15" s="10"/>
    </row>
    <row r="16" ht="45" customHeight="1">
      <c r="A16" s="87"/>
      <c r="B16" s="93" t="n">
        <v>6</v>
      </c>
      <c r="C16" s="64" t="str">
        <v>Core</v>
      </c>
      <c r="D16" s="94" t="n">
        <f>'Core'!B6</f>
        <v>0</v>
      </c>
      <c r="E16" s="94" t="n">
        <f>'Core'!C6</f>
        <v>0</v>
      </c>
      <c r="F16" s="94" t="n">
        <f>'Core'!D6</f>
        <v>5</v>
      </c>
      <c r="G16" s="94" t="n">
        <f>'Core'!E6</f>
        <v>0</v>
      </c>
      <c r="H16" s="95" t="n">
        <f>'Core'!B4</f>
        <v>5</v>
      </c>
      <c r="I16" s="49"/>
      <c r="J16" s="10"/>
      <c r="K16" s="10"/>
      <c r="L16" s="10"/>
      <c r="M16" s="10"/>
      <c r="N16" s="10"/>
      <c r="O16" s="10"/>
      <c r="P16" s="10"/>
      <c r="Q16" s="10"/>
      <c r="R16" s="10"/>
      <c r="S16" s="10"/>
      <c r="T16" s="10"/>
      <c r="U16" s="10"/>
      <c r="V16" s="10"/>
      <c r="W16" s="10"/>
      <c r="X16" s="10"/>
      <c r="Y16" s="10"/>
      <c r="Z16" s="10"/>
    </row>
    <row r="17" ht="45" customHeight="1">
      <c r="A17" s="87"/>
      <c r="B17" s="93" t="n">
        <v>7</v>
      </c>
      <c r="C17" s="64" t="str">
        <v>Documents</v>
      </c>
      <c r="D17" s="94" t="n">
        <f>'Documents'!B6</f>
        <v>0</v>
      </c>
      <c r="E17" s="94" t="n">
        <f>'Documents'!C6</f>
        <v>0</v>
      </c>
      <c r="F17" s="94" t="n">
        <f>'Documents'!D6</f>
        <v>91</v>
      </c>
      <c r="G17" s="94" t="n">
        <f>'Documents'!E6</f>
        <v>0</v>
      </c>
      <c r="H17" s="95" t="n">
        <f>'Documents'!B4</f>
        <v>91</v>
      </c>
      <c r="I17" s="49"/>
      <c r="J17" s="10"/>
      <c r="K17" s="10"/>
      <c r="L17" s="10"/>
      <c r="M17" s="10"/>
      <c r="N17" s="10"/>
      <c r="O17" s="10"/>
      <c r="P17" s="10"/>
      <c r="Q17" s="10"/>
      <c r="R17" s="10"/>
      <c r="S17" s="10"/>
      <c r="T17" s="10"/>
      <c r="U17" s="10"/>
      <c r="V17" s="10"/>
      <c r="W17" s="10"/>
      <c r="X17" s="10"/>
      <c r="Y17" s="10"/>
      <c r="Z17" s="10"/>
    </row>
    <row r="18" ht="45" customHeight="1">
      <c r="A18" s="87"/>
      <c r="B18" s="93" t="n">
        <v>8</v>
      </c>
      <c r="C18" s="64" t="str">
        <v>Email</v>
      </c>
      <c r="D18" s="94" t="n">
        <f>'Email'!B6</f>
        <v>0</v>
      </c>
      <c r="E18" s="94" t="n">
        <f>'Email'!C6</f>
        <v>0</v>
      </c>
      <c r="F18" s="94" t="n">
        <f>'Email'!D6</f>
        <v>4</v>
      </c>
      <c r="G18" s="94" t="n">
        <f>'Email'!E6</f>
        <v>0</v>
      </c>
      <c r="H18" s="95" t="n">
        <f>'Email'!B4</f>
        <v>4</v>
      </c>
      <c r="I18" s="49"/>
      <c r="J18" s="10"/>
      <c r="K18" s="10"/>
      <c r="L18" s="10"/>
      <c r="M18" s="10"/>
      <c r="N18" s="10"/>
      <c r="O18" s="10"/>
      <c r="P18" s="10"/>
      <c r="Q18" s="10"/>
      <c r="R18" s="10"/>
      <c r="S18" s="10"/>
      <c r="T18" s="10"/>
      <c r="U18" s="10"/>
      <c r="V18" s="10"/>
      <c r="W18" s="10"/>
      <c r="X18" s="10"/>
      <c r="Y18" s="10"/>
      <c r="Z18" s="10"/>
    </row>
    <row r="19" ht="45" customHeight="1">
      <c r="A19" s="87"/>
      <c r="B19" s="93" t="n">
        <v>9</v>
      </c>
      <c r="C19" s="64" t="str">
        <v>Meetings</v>
      </c>
      <c r="D19" s="94" t="n">
        <f>'Meetings'!B6</f>
        <v>0</v>
      </c>
      <c r="E19" s="94" t="n">
        <f>'Meetings'!C6</f>
        <v>0</v>
      </c>
      <c r="F19" s="94" t="n">
        <f>'Meetings'!D6</f>
        <v>94</v>
      </c>
      <c r="G19" s="94" t="n">
        <f>'Meetings'!E6</f>
        <v>0</v>
      </c>
      <c r="H19" s="95" t="n">
        <f>'Meetings'!B4</f>
        <v>94</v>
      </c>
      <c r="I19" s="49"/>
      <c r="J19" s="10"/>
      <c r="K19" s="10"/>
      <c r="L19" s="10"/>
      <c r="M19" s="10"/>
      <c r="N19" s="10"/>
      <c r="O19" s="10"/>
      <c r="P19" s="10"/>
      <c r="Q19" s="10"/>
      <c r="R19" s="10"/>
      <c r="S19" s="10"/>
      <c r="T19" s="10"/>
      <c r="U19" s="10"/>
      <c r="V19" s="10"/>
      <c r="W19" s="10"/>
      <c r="X19" s="10"/>
      <c r="Y19" s="10"/>
      <c r="Z19" s="10"/>
    </row>
    <row r="20" ht="45" customHeight="1">
      <c r="A20" s="87"/>
      <c r="B20" s="93" t="n">
        <v>10</v>
      </c>
      <c r="C20" s="64" t="str">
        <v>Notifications</v>
      </c>
      <c r="D20" s="94" t="n">
        <f>'Notifications'!B6</f>
        <v>0</v>
      </c>
      <c r="E20" s="94" t="n">
        <f>'Notifications'!C6</f>
        <v>0</v>
      </c>
      <c r="F20" s="94" t="n">
        <f>'Notifications'!D6</f>
        <v>5</v>
      </c>
      <c r="G20" s="94" t="n">
        <f>'Notifications'!E6</f>
        <v>0</v>
      </c>
      <c r="H20" s="95" t="n">
        <f>'Notifications'!B4</f>
        <v>5</v>
      </c>
      <c r="I20" s="49"/>
      <c r="J20" s="10"/>
      <c r="K20" s="10"/>
      <c r="L20" s="10"/>
      <c r="M20" s="10"/>
      <c r="N20" s="10"/>
      <c r="O20" s="10"/>
      <c r="P20" s="10"/>
      <c r="Q20" s="10"/>
      <c r="R20" s="10"/>
      <c r="S20" s="10"/>
      <c r="T20" s="10"/>
      <c r="U20" s="10"/>
      <c r="V20" s="10"/>
      <c r="W20" s="10"/>
      <c r="X20" s="10"/>
      <c r="Y20" s="10"/>
      <c r="Z20" s="10"/>
    </row>
    <row r="21" ht="45" customHeight="1">
      <c r="A21" s="87"/>
      <c r="B21" s="93" t="n">
        <v>11</v>
      </c>
      <c r="C21" s="64" t="str">
        <v>Participants</v>
      </c>
      <c r="D21" s="94" t="n">
        <f>'Participants'!B6</f>
        <v>0</v>
      </c>
      <c r="E21" s="94" t="n">
        <f>'Participants'!C6</f>
        <v>0</v>
      </c>
      <c r="F21" s="94" t="n">
        <f>'Participants'!D6</f>
        <v>31</v>
      </c>
      <c r="G21" s="94" t="n">
        <f>'Participants'!E6</f>
        <v>0</v>
      </c>
      <c r="H21" s="95" t="n">
        <f>'Participants'!B4</f>
        <v>31</v>
      </c>
      <c r="I21" s="49"/>
      <c r="J21" s="10"/>
      <c r="K21" s="10"/>
      <c r="L21" s="10"/>
      <c r="M21" s="10"/>
      <c r="N21" s="10"/>
      <c r="O21" s="10"/>
      <c r="P21" s="10"/>
      <c r="Q21" s="10"/>
      <c r="R21" s="10"/>
      <c r="S21" s="10"/>
      <c r="T21" s="10"/>
      <c r="U21" s="10"/>
      <c r="V21" s="10"/>
      <c r="W21" s="10"/>
      <c r="X21" s="10"/>
      <c r="Y21" s="10"/>
      <c r="Z21" s="10"/>
    </row>
    <row r="22" ht="45" customHeight="1">
      <c r="A22" s="87"/>
      <c r="B22" s="93" t="n">
        <v>12</v>
      </c>
      <c r="C22" s="64" t="str">
        <v>Recordings</v>
      </c>
      <c r="D22" s="94" t="n">
        <f>'Recordings'!B6</f>
        <v>0</v>
      </c>
      <c r="E22" s="94" t="n">
        <f>'Recordings'!C6</f>
        <v>0</v>
      </c>
      <c r="F22" s="94" t="n">
        <f>'Recordings'!D6</f>
        <v>55</v>
      </c>
      <c r="G22" s="94" t="n">
        <f>'Recordings'!E6</f>
        <v>0</v>
      </c>
      <c r="H22" s="95" t="n">
        <f>'Recordings'!B4</f>
        <v>55</v>
      </c>
      <c r="I22" s="49"/>
      <c r="J22" s="10"/>
      <c r="K22" s="10"/>
      <c r="L22" s="10"/>
      <c r="M22" s="10"/>
      <c r="N22" s="10"/>
      <c r="O22" s="10"/>
      <c r="P22" s="10"/>
      <c r="Q22" s="10"/>
      <c r="R22" s="10"/>
      <c r="S22" s="10"/>
      <c r="T22" s="10"/>
      <c r="U22" s="10"/>
      <c r="V22" s="10"/>
      <c r="W22" s="10"/>
      <c r="X22" s="10"/>
      <c r="Y22" s="10"/>
      <c r="Z22" s="10"/>
    </row>
    <row r="23" ht="45" customHeight="1">
      <c r="A23" s="87"/>
      <c r="B23" s="93" t="n">
        <v>13</v>
      </c>
      <c r="C23" s="64" t="str">
        <v>Users</v>
      </c>
      <c r="D23" s="94" t="n">
        <f>'Users'!B6</f>
        <v>0</v>
      </c>
      <c r="E23" s="94" t="n">
        <f>'Users'!C6</f>
        <v>0</v>
      </c>
      <c r="F23" s="94" t="n">
        <f>'Users'!D6</f>
        <v>32</v>
      </c>
      <c r="G23" s="94" t="n">
        <f>'Users'!E6</f>
        <v>0</v>
      </c>
      <c r="H23" s="95" t="n">
        <f>'Users'!B4</f>
        <v>32</v>
      </c>
      <c r="I23" s="49"/>
      <c r="J23" s="10"/>
      <c r="K23" s="10"/>
      <c r="L23" s="10"/>
      <c r="M23" s="10"/>
      <c r="N23" s="10"/>
      <c r="O23" s="10"/>
      <c r="P23" s="10"/>
      <c r="Q23" s="10"/>
      <c r="R23" s="10"/>
      <c r="S23" s="10"/>
      <c r="T23" s="10"/>
      <c r="U23" s="10"/>
      <c r="V23" s="10"/>
      <c r="W23" s="10"/>
      <c r="X23" s="10"/>
      <c r="Y23" s="10"/>
      <c r="Z23" s="10"/>
    </row>
    <row r="24" ht="25" customHeight="1">
      <c r="A24" s="10"/>
      <c r="B24" s="98"/>
      <c r="C24" s="99" t="str">
        <v>Sub total</v>
      </c>
      <c r="D24" s="100" t="n">
        <f>SUM(D11:D23)</f>
        <v>0</v>
      </c>
      <c r="E24" s="100" t="n">
        <f>SUM(E11:E23)</f>
        <v>0</v>
      </c>
      <c r="F24" s="100" t="n">
        <f>SUM(F11:F23)</f>
        <v>479</v>
      </c>
      <c r="G24" s="100" t="n">
        <f>SUM(G11:G23)</f>
        <v>0</v>
      </c>
      <c r="H24" s="101" t="n">
        <f>SUM(H11:H23)</f>
        <v>479</v>
      </c>
      <c r="I24" s="10"/>
      <c r="Q24" s="10"/>
      <c r="R24" s="10"/>
      <c r="S24" s="10"/>
      <c r="T24" s="10"/>
      <c r="U24" s="10"/>
      <c r="V24" s="10"/>
      <c r="W24" s="10"/>
      <c r="X24" s="10"/>
      <c r="Y24" s="10"/>
    </row>
    <row r="25">
      <c r="A25"/>
      <c r="B25"/>
      <c r="C25"/>
      <c r="D25"/>
      <c r="E25"/>
      <c r="F25"/>
      <c r="G25"/>
      <c r="H25"/>
    </row>
    <row r="26" ht="25" customHeight="1">
      <c r="A26" s="10"/>
      <c r="B26" s="10"/>
      <c r="C26" s="10"/>
      <c r="D26" s="8" t="str">
        <v>Test coverage</v>
      </c>
      <c r="E26" s="10"/>
      <c r="F26" s="105" t="n">
        <f>IFERROR((D24+E24)*100/(H24-G24),0)</f>
        <v>0.0</v>
      </c>
      <c r="G26" s="10" t="str">
        <v>%</v>
      </c>
      <c r="H26" s="10"/>
      <c r="I26" s="10"/>
      <c r="Q26" s="106"/>
      <c r="R26" s="10"/>
      <c r="S26" s="10"/>
      <c r="T26" s="10"/>
      <c r="U26" s="10"/>
      <c r="V26" s="10"/>
      <c r="W26" s="10"/>
      <c r="X26" s="10"/>
      <c r="Y26" s="10"/>
      <c r="Z26" s="10"/>
    </row>
    <row r="27" ht="25" customHeight="1">
      <c r="A27" s="10"/>
      <c r="B27" s="10"/>
      <c r="C27" s="10"/>
      <c r="D27" s="8" t="str">
        <v>Test successful coverage</v>
      </c>
      <c r="E27" s="10"/>
      <c r="F27" s="105" t="n">
        <f>IFERROR(D24*100/(H24-G24),0)</f>
        <v>0.0</v>
      </c>
      <c r="G27" s="10" t="str">
        <v>%</v>
      </c>
      <c r="H27" s="10"/>
      <c r="I27" s="10"/>
      <c r="Q27" s="106"/>
      <c r="R27" s="10"/>
      <c r="S27" s="10"/>
      <c r="T27" s="10"/>
      <c r="U27" s="10"/>
      <c r="V27" s="10"/>
      <c r="W27" s="10"/>
      <c r="X27" s="10"/>
      <c r="Y27" s="10"/>
      <c r="Z27" s="10"/>
    </row>
  </sheetData>
  <mergeCells count="7">
    <mergeCell ref="B1:H1"/>
    <mergeCell ref="C3:H3"/>
    <mergeCell ref="C4:H4"/>
    <mergeCell ref="C5:D5"/>
    <mergeCell ref="E5:F5"/>
    <mergeCell ref="G5:H5"/>
    <mergeCell ref="C6:H6"/>
  </mergeCells>
  <hyperlinks>
    <hyperlink ref="C11" location="'Access'!A1" display="Access"/>
    <hyperlink ref="C12" location="'Agenda'!A1" display="Agenda"/>
    <hyperlink ref="C13" location="'Attendance'!A1" display="Attendance"/>
    <hyperlink ref="C14" location="'Authentication'!A1" display="Authentication"/>
    <hyperlink ref="C15" location="'Calls'!A1" display="Calls"/>
    <hyperlink ref="C16" location="'Core'!A1" display="Core"/>
    <hyperlink ref="C17" location="'Documents'!A1" display="Documents"/>
    <hyperlink ref="C18" location="'Email'!A1" display="Email"/>
    <hyperlink ref="C19" location="'Meetings'!A1" display="Meetings"/>
    <hyperlink ref="C20" location="'Notifications'!A1" display="Notifications"/>
    <hyperlink ref="C21" location="'Participants'!A1" display="Participants"/>
    <hyperlink ref="C22" location="'Recordings'!A1" display="Recordings"/>
    <hyperlink ref="C23" location="'Users'!A1" display="Users"/>
  </hyperlinks>
  <printOptions/>
  <pageMargins bottom="0.9840277777777777" footer="0.0" header="0.0" left="0.7479166666666667" right="0.7479166666666667" top="0.9840277777777778"/>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Access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access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54</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COUNTIF(F12:F74,"Passed")</f>
        <v>0</v>
      </c>
      <c r="C6" s="114" t="n">
        <f>COUNTIF(F12:F74,"Failed")</f>
        <v>0</v>
      </c>
      <c r="D6" s="114" t="n">
        <f>B4-B6-C6-E6</f>
        <v>54</v>
      </c>
      <c r="E6" s="114" t="n">
        <f>COUNTIF(F12:F74,"Skipped")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COUNTIF(I12:I74,"Passed")</f>
        <v>0</v>
      </c>
      <c r="C7" s="114" t="n">
        <f>COUNTIF(I12:I74,"Failed")</f>
        <v>0</v>
      </c>
      <c r="D7" s="114" t="n">
        <f>B4-B7-C7-E7</f>
        <v>54</v>
      </c>
      <c r="E7" s="114" t="n">
        <f>COUNTIF(I12:I74,"Skipped")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COUNTIF(L12:L74,"Passed")</f>
        <v>0</v>
      </c>
      <c r="C8" s="114" t="n">
        <f>COUNTIF(L12:L74,"Failed")</f>
        <v>0</v>
      </c>
      <c r="D8" s="114" t="n">
        <f>B4-B8-C8-E8</f>
        <v>54</v>
      </c>
      <c r="E8" s="114" t="n">
        <f>COUNTIF(L12:L74,"Skipped")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Capability gate (every AdminUsers route)</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96.5" customHeight="1">
      <c r="A12" s="120" t="str">
        <v>ACC_API_IT01</v>
      </c>
      <c r="B12" s="120" t="str">
        <v>Verify every AdminUsers route returns 401 to an anonymous caller.</v>
      </c>
      <c r="C12" s="120" t="str">
        <v>1. Without authentication, send each request: GET /api/users, POST /api/users, PUT /api/users/&lt;id&gt;, PUT /api/users/&lt;id&gt;/status, POST /api/users/&lt;id&gt;/password-reset, GET /api/roles, POST /api/roles, PUT /api/roles/&lt;id&gt;, DELETE /api/roles/&lt;id&gt;, GET /api/roles/capabilities, PUT /api/roles/capabilities.
2. Request headers: None (no authentication).</v>
      </c>
      <c r="D12" s="120" t="str">
        <v>1. Every request returns HTTP 401 Unauthorized.
2. No data is returned and nothing is changed.</v>
      </c>
      <c r="E12" s="120" t="str">
        <v>1. Backend is running.
2. Request is sent without authentication.</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95.0" customHeight="1">
      <c r="A13" s="120" t="str">
        <v>ACC_API_IT02</v>
      </c>
      <c r="B13" s="120" t="str">
        <v>Verify every AdminUsers route returns 403 to a signed-in user without AdminUsers.</v>
      </c>
      <c r="C13" s="120" t="str">
        <v>1. Send each AdminUsers request (users, roles and role matrix routes) with header Authorization: Bearer &lt;access token of thuky@trustcabinet.local&gt;.</v>
      </c>
      <c r="D13" s="120" t="str">
        <v>1. Every request returns HTTP 403 Forbidden.
2. Nothing is written to the audit log.</v>
      </c>
      <c r="E13" s="120" t="str">
        <v>1. Backend is running.
2. Signed in as thuky@trustcabinet.local (Secretary, MeetingCreator, no AdminUsers).</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167.5" customHeight="1">
      <c r="A14" s="120" t="str">
        <v>ACC_API_IT03</v>
      </c>
      <c r="B14" s="120" t="str">
        <v>Verify a token claiming a capability the role no longer has is refused.</v>
      </c>
      <c r="C14" s="120" t="str">
        <v>1. Sign in as quantri@trustcabinet.local and keep the access token.
2. On the role matrix, untick AdminUsers for the Admin role and tick MeetingCreator instead (another administrator role keeps AdminUsers).
3. Send GET request to /api/users with the access token from step 1.</v>
      </c>
      <c r="D14" s="120" t="str">
        <v>1. HTTP 403 Forbidden response.
2. The server reads the role from the database, not from the token.</v>
      </c>
      <c r="E14" s="120" t="str">
        <v>1. Backend is running.
2. Another active account with AdminUsers exists, so the change is allowed.</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138.5" customHeight="1">
      <c r="A15" s="120" t="str">
        <v>ACC_API_IT04</v>
      </c>
      <c r="B15" s="120" t="str">
        <v>Verify the token of a deactivated account is refused.</v>
      </c>
      <c r="C15" s="120" t="str">
        <v>1. Sign in as a second administrator and keep the access token.
2. As quantri@trustcabinet.local, deactivate that administrator.
3. Send GET request to /api/users with the kept access token.</v>
      </c>
      <c r="D15" s="120" t="str">
        <v>1. HTTP 403 Forbidden response.
2. No account data is returned.</v>
      </c>
      <c r="E15" s="120" t="str">
        <v>1. Backend is running.
2. A second active administrator account exists.</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153.0" customHeight="1">
      <c r="A16" s="120" t="str">
        <v>ACC_API_IT05</v>
      </c>
      <c r="B16" s="120" t="str">
        <v>Verify a token whose account no longer exists is refused.</v>
      </c>
      <c r="C16" s="120" t="str">
        <v>1. Send GET request to /api/users.
2. Request headers: Authorization: Bearer &lt;access token signed by the server for an account id that does not exist in the database&gt;.
3. Query parameters: None.
4. Request body: None (GET request).</v>
      </c>
      <c r="D16" s="120" t="str">
        <v>1. HTTP 403 Forbidden response.</v>
      </c>
      <c r="E16" s="120" t="str">
        <v>1. Backend is running.
2. A test access token is issued for an account that is not in the users table.</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153.0" customHeight="1">
      <c r="A17" s="120" t="str">
        <v>ACC_API_IT06</v>
      </c>
      <c r="B17" s="120" t="str">
        <v>Verify an unknown user id returns 404 with an empty body.</v>
      </c>
      <c r="C17" s="120" t="str">
        <v>1. Send GET request to /api/users/&lt;id of thanhvien@trustcabinet.local&gt; with header Authorization: Bearer &lt;access token of quantri@trustcabinet.local&gt;.
2. Send GET request to /api/users/&lt;random UUID that no account has&gt; with the same header.</v>
      </c>
      <c r="D17" s="120" t="str">
        <v>1. The first request returns HTTP 200 OK.
2. The second request returns HTTP 404 Not Found with an empty body.</v>
      </c>
      <c r="E17" s="120" t="str">
        <v>1. Backend is running.
2. Signed in as quantri@trustcabinet.local (AdminUsers).</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95.0" customHeight="1">
      <c r="A18" s="120" t="str">
        <v>ACC_API_IT07</v>
      </c>
      <c r="B18" s="120" t="str">
        <v>Verify every capability (MeetingCreator, MeetingApprover, MinutesEditor, AdminUsers) has an authorization policy.</v>
      </c>
      <c r="C18" s="120" t="str">
        <v>1. Start the backend.
2. For each capability, call one endpoint gated by it with a user holding that capability.</v>
      </c>
      <c r="D18" s="120" t="str">
        <v>1. The backend starts without errors.
2. No request fails with HTTP 500 because a policy is missing.</v>
      </c>
      <c r="E18" s="120" t="str">
        <v>1. Backend is running.
2. Accounts holding each capability exist (thuky: MeetingCreator, chutoa: MeetingApprover, quantri: AdminUsers).</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24" customHeight="1">
      <c r="A19" s="120" t="str">
        <v>GET /api/auth/me</v>
      </c>
      <c r="B19" s="120"/>
      <c r="C19" s="120"/>
      <c r="D19" s="120"/>
      <c r="E19" s="120"/>
      <c r="F19" s="121"/>
      <c r="G19" s="122"/>
      <c r="H19" s="121"/>
      <c r="I19" s="121"/>
      <c r="J19" s="122"/>
      <c r="K19" s="121"/>
      <c r="L19" s="121"/>
      <c r="M19" s="123"/>
      <c r="N19" s="121"/>
      <c r="O19" s="124"/>
      <c r="P19" s="125"/>
      <c r="Q19" s="112"/>
      <c r="R19" s="112"/>
      <c r="S19" s="112"/>
      <c r="T19" s="112"/>
      <c r="U19" s="112"/>
      <c r="V19" s="112"/>
      <c r="W19" s="112"/>
      <c r="X19" s="112"/>
      <c r="Y19" s="112"/>
    </row>
    <row r="20" ht="138.5" customHeight="1">
      <c r="A20" s="120" t="str">
        <v>ACC_API_IT08</v>
      </c>
      <c r="B20" s="120" t="str">
        <v>Verify GET /api/auth/me returns the capability set the interface renders from.</v>
      </c>
      <c r="C20" s="120" t="str">
        <v>1. Send GET request to /api/auth/me.
2. Request headers: Authorization: Bearer &lt;access token of thuky@trustcabinet.local&gt; (Secretary, MeetingCreator).
3. Query parameters: None.
4. Request body: None (GET request).</v>
      </c>
      <c r="D20" s="120" t="str">
        <v>1. HTTP 200 OK response.
2. email "thuky@trustcabinet.local", roleName "Thư ký".
3. capabilities is ["MeetingCreator", "MinutesEditor"] and does not contain AdminUsers.</v>
      </c>
      <c r="E20" s="120" t="str">
        <v>1. Backend is running.
2. The Secretary role has MeetingCreator and MinutesEditor in the role matrix.</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138.5" customHeight="1">
      <c r="A21" s="120" t="str">
        <v>ACC_API_IT09</v>
      </c>
      <c r="B21" s="120" t="str">
        <v>Verify GET /api/auth/me answers from the database, not from the token.</v>
      </c>
      <c r="C21" s="120" t="str">
        <v>1. Sign in as thuky@trustcabinet.local and keep the access token.
2. As quantri@trustcabinet.local, change thuky's role to Member.
3. Send GET request to /api/auth/me with the kept access token.</v>
      </c>
      <c r="D21" s="120" t="str">
        <v>1. HTTP 200 OK response.
2. roleName is "Thành viên".
3. capabilities is an empty list.</v>
      </c>
      <c r="E21" s="120" t="str">
        <v>1. Backend is running.
2. Signed in as quantri@trustcabinet.local in another browser.</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138.5" customHeight="1">
      <c r="A22" s="120" t="str">
        <v>ACC_API_IT10</v>
      </c>
      <c r="B22" s="120" t="str">
        <v>Verify GET /api/auth/me is refused once the account is deactivated.</v>
      </c>
      <c r="C22" s="120" t="str">
        <v>1. Sign in as a second administrator and keep the access token.
2. As quantri@trustcabinet.local, deactivate that administrator.
3. Send GET request to /api/auth/me with the kept access token.</v>
      </c>
      <c r="D22" s="120" t="str">
        <v>1. HTTP 401 Unauthorized response.</v>
      </c>
      <c r="E22" s="120" t="str">
        <v>1. Backend is running.
2. A second active administrator account exists.</v>
      </c>
      <c r="F22" s="121" t="str">
        <v>Pending</v>
      </c>
      <c r="G22" s="122" t="str"/>
      <c r="H22" s="121" t="str"/>
      <c r="I22" s="121" t="str"/>
      <c r="J22" s="122" t="str"/>
      <c r="K22" s="121" t="str"/>
      <c r="L22" s="121" t="str"/>
      <c r="M22" s="123" t="str"/>
      <c r="N22" s="121" t="str"/>
      <c r="O22" s="124" t="str"/>
      <c r="P22" s="125"/>
      <c r="Q22" s="112"/>
      <c r="R22" s="112"/>
      <c r="S22" s="112"/>
      <c r="T22" s="112"/>
      <c r="U22" s="112"/>
      <c r="V22" s="112"/>
      <c r="W22" s="112"/>
      <c r="X22" s="112"/>
      <c r="Y22" s="112"/>
    </row>
    <row r="23" ht="138.5" customHeight="1">
      <c r="A23" s="120" t="str">
        <v>ACC_API_IT11</v>
      </c>
      <c r="B23" s="120" t="str">
        <v>Verify GET /api/auth/me is refused for a token whose subject is no account.</v>
      </c>
      <c r="C23" s="120" t="str">
        <v>1. Send GET request to /api/auth/me.
2. Request headers: Authorization: Bearer &lt;access token signed by the server with no usable account id&gt;.
3. Query parameters: None.
4. Request body: None (GET request).</v>
      </c>
      <c r="D23" s="120" t="str">
        <v>1. HTTP 401 Unauthorized response.</v>
      </c>
      <c r="E23" s="120" t="str">
        <v>1. Backend is running.
2. A test access token without a valid account id is prepared.</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109.5" customHeight="1">
      <c r="A24" s="120" t="str">
        <v>ACC_API_IT12</v>
      </c>
      <c r="B24" s="120" t="str">
        <v>Verify GET /api/auth/me is refused without a token.</v>
      </c>
      <c r="C24" s="120" t="str">
        <v>1. Send GET request to /api/auth/me.
2. Request headers: None (no authentication).
3. Query parameters: None.
4. Request body: None (GET request).</v>
      </c>
      <c r="D24" s="120" t="str">
        <v>1. HTTP 401 Unauthorized response.</v>
      </c>
      <c r="E24" s="120" t="str">
        <v>1. Backend is running.
2. Request is sent without authentication.</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row r="25" ht="24" customHeight="1">
      <c r="A25" s="120" t="str">
        <v>Roles routes (/api/roles)</v>
      </c>
      <c r="B25" s="120"/>
      <c r="C25" s="120"/>
      <c r="D25" s="120"/>
      <c r="E25" s="120"/>
      <c r="F25" s="121"/>
      <c r="G25" s="122"/>
      <c r="H25" s="121"/>
      <c r="I25" s="121"/>
      <c r="J25" s="122"/>
      <c r="K25" s="121"/>
      <c r="L25" s="121"/>
      <c r="M25" s="123"/>
      <c r="N25" s="121"/>
      <c r="O25" s="124"/>
      <c r="P25" s="125"/>
      <c r="Q25" s="112"/>
      <c r="R25" s="112"/>
      <c r="S25" s="112"/>
      <c r="T25" s="112"/>
      <c r="U25" s="112"/>
      <c r="V25" s="112"/>
      <c r="W25" s="112"/>
      <c r="X25" s="112"/>
      <c r="Y25" s="112"/>
    </row>
    <row r="26" ht="66.0" customHeight="1">
      <c r="A26" s="120" t="str">
        <v>ACC_API_IT13</v>
      </c>
      <c r="B26" s="120" t="str">
        <v>Verify every /api/roles route returns 401 to an anonymous caller.</v>
      </c>
      <c r="C26" s="120" t="str">
        <v>1. Without authentication, send GET /api/roles, POST /api/roles, PUT /api/roles/&lt;id&gt; and DELETE /api/roles/&lt;id&gt;.</v>
      </c>
      <c r="D26" s="120" t="str">
        <v>1. Every request returns HTTP 401 Unauthorized.</v>
      </c>
      <c r="E26" s="120" t="str">
        <v>1. Backend is running.
2. Request is sent without authentication.</v>
      </c>
      <c r="F26" s="121" t="str">
        <v>Pending</v>
      </c>
      <c r="G26" s="122" t="str"/>
      <c r="H26" s="121" t="str"/>
      <c r="I26" s="121" t="str"/>
      <c r="J26" s="122" t="str"/>
      <c r="K26" s="121" t="str"/>
      <c r="L26" s="121" t="str"/>
      <c r="M26" s="123" t="str"/>
      <c r="N26" s="121" t="str"/>
      <c r="O26" s="124" t="str"/>
      <c r="P26" s="125"/>
      <c r="Q26" s="112"/>
      <c r="R26" s="112"/>
      <c r="S26" s="112"/>
      <c r="T26" s="112"/>
      <c r="U26" s="112"/>
      <c r="V26" s="112"/>
      <c r="W26" s="112"/>
      <c r="X26" s="112"/>
      <c r="Y26" s="112"/>
    </row>
    <row r="27" ht="95.0" customHeight="1">
      <c r="A27" s="120" t="str">
        <v>ACC_API_IT14</v>
      </c>
      <c r="B27" s="120" t="str">
        <v>Verify every /api/roles route returns 403 without AdminUsers.</v>
      </c>
      <c r="C27" s="120" t="str">
        <v>1. Send GET /api/roles, POST /api/roles, PUT /api/roles/&lt;id&gt; and DELETE /api/roles/&lt;id&gt; with header Authorization: Bearer &lt;access token of thuky@trustcabinet.local&gt;.</v>
      </c>
      <c r="D27" s="120" t="str">
        <v>1. Every request returns HTTP 403 Forbidden.
2. Nothing is written to the audit log.</v>
      </c>
      <c r="E27" s="120" t="str">
        <v>1. Backend is running.
2. Signed in as thuky@trustcabinet.local (no AdminUsers).</v>
      </c>
      <c r="F27" s="121" t="str">
        <v>Pending</v>
      </c>
      <c r="G27" s="122" t="str"/>
      <c r="H27" s="121" t="str"/>
      <c r="I27" s="121" t="str"/>
      <c r="J27" s="122" t="str"/>
      <c r="K27" s="121" t="str"/>
      <c r="L27" s="121" t="str"/>
      <c r="M27" s="123" t="str"/>
      <c r="N27" s="121" t="str"/>
      <c r="O27" s="124" t="str"/>
      <c r="P27" s="125"/>
      <c r="Q27" s="112"/>
      <c r="R27" s="112"/>
      <c r="S27" s="112"/>
      <c r="T27" s="112"/>
      <c r="U27" s="112"/>
      <c r="V27" s="112"/>
      <c r="W27" s="112"/>
      <c r="X27" s="112"/>
      <c r="Y27" s="112"/>
    </row>
    <row r="28" ht="24" customHeight="1">
      <c r="A28" s="120" t="str">
        <v>POST /api/roles</v>
      </c>
      <c r="B28" s="120"/>
      <c r="C28" s="120"/>
      <c r="D28" s="120"/>
      <c r="E28" s="120"/>
      <c r="F28" s="121"/>
      <c r="G28" s="122"/>
      <c r="H28" s="121"/>
      <c r="I28" s="121"/>
      <c r="J28" s="122"/>
      <c r="K28" s="121"/>
      <c r="L28" s="121"/>
      <c r="M28" s="123"/>
      <c r="N28" s="121"/>
      <c r="O28" s="124"/>
      <c r="P28" s="125"/>
      <c r="Q28" s="112"/>
      <c r="R28" s="112"/>
      <c r="S28" s="112"/>
      <c r="T28" s="112"/>
      <c r="U28" s="112"/>
      <c r="V28" s="112"/>
      <c r="W28" s="112"/>
      <c r="X28" s="112"/>
      <c r="Y28" s="112"/>
    </row>
    <row r="29" ht="153.0" customHeight="1">
      <c r="A29" s="120" t="str">
        <v>ACC_API_IT15</v>
      </c>
      <c r="B29" s="120" t="str">
        <v>Verify a token claiming AdminUsers is refused once its account is deactivated.</v>
      </c>
      <c r="C29" s="120" t="str">
        <v>1. Send POST request to /api/roles.
2. Request headers: Content-Type: application/json; Authorization: Bearer &lt;access token of an administrator who has since been deactivated&gt;.
3. Query parameters: None.
4. Request JSON body: { "name": "Thư ký phó" }.</v>
      </c>
      <c r="D29" s="120" t="str">
        <v>1. HTTP 403 Forbidden response.
2. No role is created; the role list still has only the four built-in roles.</v>
      </c>
      <c r="E29" s="120" t="str">
        <v>1. Backend is running.
2. The administrator signed in, kept the access token and was then deactivated.</v>
      </c>
      <c r="F29" s="121" t="str">
        <v>Pending</v>
      </c>
      <c r="G29" s="122" t="str"/>
      <c r="H29" s="121" t="str"/>
      <c r="I29" s="121" t="str"/>
      <c r="J29" s="122" t="str"/>
      <c r="K29" s="121" t="str"/>
      <c r="L29" s="121" t="str"/>
      <c r="M29" s="123" t="str"/>
      <c r="N29" s="121" t="str"/>
      <c r="O29" s="124" t="str"/>
      <c r="P29" s="125"/>
      <c r="Q29" s="112"/>
      <c r="R29" s="112"/>
      <c r="S29" s="112"/>
      <c r="T29" s="112"/>
      <c r="U29" s="112"/>
      <c r="V29" s="112"/>
      <c r="W29" s="112"/>
      <c r="X29" s="112"/>
      <c r="Y29" s="112"/>
    </row>
    <row r="30" ht="24" customHeight="1">
      <c r="A30" s="120" t="str">
        <v>GET /api/roles</v>
      </c>
      <c r="B30" s="120"/>
      <c r="C30" s="120"/>
      <c r="D30" s="120"/>
      <c r="E30" s="120"/>
      <c r="F30" s="121"/>
      <c r="G30" s="122"/>
      <c r="H30" s="121"/>
      <c r="I30" s="121"/>
      <c r="J30" s="122"/>
      <c r="K30" s="121"/>
      <c r="L30" s="121"/>
      <c r="M30" s="123"/>
      <c r="N30" s="121"/>
      <c r="O30" s="124"/>
      <c r="P30" s="125"/>
      <c r="Q30" s="112"/>
      <c r="R30" s="112"/>
      <c r="S30" s="112"/>
      <c r="T30" s="112"/>
      <c r="U30" s="112"/>
      <c r="V30" s="112"/>
      <c r="W30" s="112"/>
      <c r="X30" s="112"/>
      <c r="Y30" s="112"/>
    </row>
    <row r="31" ht="138.5" customHeight="1">
      <c r="A31" s="120" t="str">
        <v>ACC_API_IT16</v>
      </c>
      <c r="B31" s="120" t="str">
        <v>Verify GET /api/roles returns every role with its user count in display order.</v>
      </c>
      <c r="C31" s="120" t="str">
        <v>1. Send GET request to /api/roles.
2. Request headers: Authorization: Bearer &lt;access token of quantri@trustcabinet.local&gt; (Admin, AdminUsers).
3. Query parameters: None.
4. Request body: None (GET request).</v>
      </c>
      <c r="D31" s="120" t="str">
        <v>1. HTTP 200 OK response.
2. The four built-in roles come first (Chủ toạ, Thư ký, Thành viên, Quản trị viên), then custom roles.
3. Chủ toạ has isBuiltIn true, a description and userCount 3.
4. The custom role "Thư ký phó" has isBuiltIn false and userCount 0.</v>
      </c>
      <c r="E31" s="120" t="str">
        <v>1. Backend is running.
2. Signed in as quantri@trustcabinet.local (AdminUsers).
3. Three accounts hold the Chair role.
4. A custom role "Thư ký phó" with no account exists.</v>
      </c>
      <c r="F31" s="121" t="str">
        <v>Pending</v>
      </c>
      <c r="G31" s="122" t="str"/>
      <c r="H31" s="121" t="str"/>
      <c r="I31" s="121" t="str"/>
      <c r="J31" s="122" t="str"/>
      <c r="K31" s="121" t="str"/>
      <c r="L31" s="121" t="str"/>
      <c r="M31" s="123" t="str"/>
      <c r="N31" s="121" t="str"/>
      <c r="O31" s="124" t="str"/>
      <c r="P31" s="125"/>
      <c r="Q31" s="112"/>
      <c r="R31" s="112"/>
      <c r="S31" s="112"/>
      <c r="T31" s="112"/>
      <c r="U31" s="112"/>
      <c r="V31" s="112"/>
      <c r="W31" s="112"/>
      <c r="X31" s="112"/>
      <c r="Y31" s="112"/>
    </row>
    <row r="32" ht="24" customHeight="1">
      <c r="A32" s="120" t="str">
        <v>POST /api/roles</v>
      </c>
      <c r="B32" s="120"/>
      <c r="C32" s="120"/>
      <c r="D32" s="120"/>
      <c r="E32" s="120"/>
      <c r="F32" s="121"/>
      <c r="G32" s="122"/>
      <c r="H32" s="121"/>
      <c r="I32" s="121"/>
      <c r="J32" s="122"/>
      <c r="K32" s="121"/>
      <c r="L32" s="121"/>
      <c r="M32" s="123"/>
      <c r="N32" s="121"/>
      <c r="O32" s="124"/>
      <c r="P32" s="125"/>
      <c r="Q32" s="112"/>
      <c r="R32" s="112"/>
      <c r="S32" s="112"/>
      <c r="T32" s="112"/>
      <c r="U32" s="112"/>
      <c r="V32" s="112"/>
      <c r="W32" s="112"/>
      <c r="X32" s="112"/>
      <c r="Y32" s="112"/>
    </row>
    <row r="33" ht="196.5" customHeight="1">
      <c r="A33" s="120" t="str">
        <v>ACC_API_IT17</v>
      </c>
      <c r="B33" s="120" t="str">
        <v>Verify POST /api/roles creates a role and returns MSG19 with 201 and a Location header.</v>
      </c>
      <c r="C33" s="120" t="str">
        <v>1. Send POST request to /api/roles.
2. Request headers: Content-Type: application/json; Authorization: Bearer &lt;access token of quantri@trustcabinet.local&gt; (Admin, AdminUsers).
3. Query parameters: None.
4. Request JSON body: { "name": "Thư ký phó", "description": "Hỗ trợ thư ký soạn biên bản.", "capabilities": ["MinutesEditor"] }.</v>
      </c>
      <c r="D33" s="120" t="str">
        <v>1. HTTP 201 Created response.
2. Response JSON body: code "MSG19", message "Tạo vai trò thành công.".
3. role.name "Thư ký phó", isBuiltIn false, userCount 0.
4. Location header is /api/roles/&lt;new id&gt;; the role matrix shows MinutesEditor ticked for it.</v>
      </c>
      <c r="E33" s="120" t="str">
        <v>1. Backend is running.
2. Signed in as quantri@trustcabinet.local (AdminUsers).
3. No role is named "Thư ký phó".</v>
      </c>
      <c r="F33" s="121" t="str">
        <v>Pending</v>
      </c>
      <c r="G33" s="122" t="str"/>
      <c r="H33" s="121" t="str"/>
      <c r="I33" s="121" t="str"/>
      <c r="J33" s="122" t="str"/>
      <c r="K33" s="121" t="str"/>
      <c r="L33" s="121" t="str"/>
      <c r="M33" s="123" t="str"/>
      <c r="N33" s="121" t="str"/>
      <c r="O33" s="124" t="str"/>
      <c r="P33" s="125"/>
      <c r="Q33" s="112"/>
      <c r="R33" s="112"/>
      <c r="S33" s="112"/>
      <c r="T33" s="112"/>
      <c r="U33" s="112"/>
      <c r="V33" s="112"/>
      <c r="W33" s="112"/>
      <c r="X33" s="112"/>
      <c r="Y33" s="112"/>
    </row>
    <row r="34" ht="182.0" customHeight="1">
      <c r="A34" s="120" t="str">
        <v>ACC_API_IT18</v>
      </c>
      <c r="B34" s="120" t="str">
        <v>Verify creating a role records the signed-in administrator as the actor.</v>
      </c>
      <c r="C34" s="120" t="str">
        <v>1. Send POST request to /api/roles.
2. Request headers: Content-Type: application/json; Authorization: Bearer &lt;access token of quantri@trustcabinet.local&gt; (Admin, AdminUsers).
3. Query parameters: None.
4. Request JSON body: { "name": "Thư ký phó" }.
5. Open the audit_log table and find the newest row.</v>
      </c>
      <c r="D34" s="120" t="str">
        <v>1. One role.created entry is written.
2. Its actor is quantri@trustcabinet.local.</v>
      </c>
      <c r="E34" s="120" t="str">
        <v>1. Backend is running.
2. Signed in as quantri@trustcabinet.local (AdminUsers).
3. No role is named "Thư ký phó".</v>
      </c>
      <c r="F34" s="121" t="str">
        <v>Pending</v>
      </c>
      <c r="G34" s="122" t="str"/>
      <c r="H34" s="121" t="str"/>
      <c r="I34" s="121" t="str"/>
      <c r="J34" s="122" t="str"/>
      <c r="K34" s="121" t="str"/>
      <c r="L34" s="121" t="str"/>
      <c r="M34" s="123" t="str"/>
      <c r="N34" s="121" t="str"/>
      <c r="O34" s="124" t="str"/>
      <c r="P34" s="125"/>
      <c r="Q34" s="112"/>
      <c r="R34" s="112"/>
      <c r="S34" s="112"/>
      <c r="T34" s="112"/>
      <c r="U34" s="112"/>
      <c r="V34" s="112"/>
      <c r="W34" s="112"/>
      <c r="X34" s="112"/>
      <c r="Y34" s="112"/>
    </row>
    <row r="35" ht="153.0" customHeight="1">
      <c r="A35" s="120" t="str">
        <v>ACC_API_IT19</v>
      </c>
      <c r="B35" s="120" t="str">
        <v>Verify a role can be created without capabilities.</v>
      </c>
      <c r="C35" s="120" t="str">
        <v>1. Send POST request to /api/roles.
2. Request headers: Content-Type: application/json; Authorization: Bearer &lt;access token of quantri@trustcabinet.local&gt; (Admin, AdminUsers).
3. Query parameters: None.
4. Request JSON body: { "name": "Khách mời" }.</v>
      </c>
      <c r="D35" s="120" t="str">
        <v>1. HTTP 201 Created response.
2. The new role has no capability in the role matrix.</v>
      </c>
      <c r="E35" s="120" t="str">
        <v>1. Backend is running.
2. Signed in as quantri@trustcabinet.local (AdminUsers).
3. No role is named "Khách mời".</v>
      </c>
      <c r="F35" s="121" t="str">
        <v>Pending</v>
      </c>
      <c r="G35" s="122" t="str"/>
      <c r="H35" s="121" t="str"/>
      <c r="I35" s="121" t="str"/>
      <c r="J35" s="122" t="str"/>
      <c r="K35" s="121" t="str"/>
      <c r="L35" s="121" t="str"/>
      <c r="M35" s="123" t="str"/>
      <c r="N35" s="121" t="str"/>
      <c r="O35" s="124" t="str"/>
      <c r="P35" s="125"/>
      <c r="Q35" s="112"/>
      <c r="R35" s="112"/>
      <c r="S35" s="112"/>
      <c r="T35" s="112"/>
      <c r="U35" s="112"/>
      <c r="V35" s="112"/>
      <c r="W35" s="112"/>
      <c r="X35" s="112"/>
      <c r="Y35" s="112"/>
    </row>
    <row r="36" ht="182.0" customHeight="1">
      <c r="A36" s="120" t="str">
        <v>ACC_API_IT20</v>
      </c>
      <c r="B36" s="120" t="str">
        <v>Verify POST /api/roles returns MSG20 with 400 naming every invalid field.</v>
      </c>
      <c r="C36" s="120" t="str">
        <v>1. Send POST request to /api/roles.
2. Request headers: Content-Type: application/json; Authorization: Bearer &lt;access token of quantri@trustcabinet.local&gt; (Admin, AdminUsers).
3. Query parameters: None.
4. Request JSON body: { "name": " ", "description": "&lt;257 characters&gt;", "capabilities": ["DeleteEverything"] }.</v>
      </c>
      <c r="D36" s="120" t="str">
        <v>1. HTTP 400 Bad Request response.
2. Response JSON body: code "MSG20", message "Thông tin vai trò không hợp lệ.".
3. errors has exactly capabilities, description and name; the capabilities error names DeleteEverything.</v>
      </c>
      <c r="E36" s="120" t="str">
        <v>1. Backend is running.
2. Signed in as quantri@trustcabinet.local (AdminUsers).</v>
      </c>
      <c r="F36" s="121" t="str">
        <v>Pending</v>
      </c>
      <c r="G36" s="122" t="str"/>
      <c r="H36" s="121" t="str"/>
      <c r="I36" s="121" t="str"/>
      <c r="J36" s="122" t="str"/>
      <c r="K36" s="121" t="str"/>
      <c r="L36" s="121" t="str"/>
      <c r="M36" s="123" t="str"/>
      <c r="N36" s="121" t="str"/>
      <c r="O36" s="124" t="str"/>
      <c r="P36" s="125"/>
      <c r="Q36" s="112"/>
      <c r="R36" s="112"/>
      <c r="S36" s="112"/>
      <c r="T36" s="112"/>
      <c r="U36" s="112"/>
      <c r="V36" s="112"/>
      <c r="W36" s="112"/>
      <c r="X36" s="112"/>
      <c r="Y36" s="112"/>
    </row>
    <row r="37" ht="138.5" customHeight="1">
      <c r="A37" s="120" t="str">
        <v>ACC_API_IT21</v>
      </c>
      <c r="B37" s="120" t="str">
        <v>Verify an empty JSON object returns MSG20 rather than a binding error.</v>
      </c>
      <c r="C37" s="120" t="str">
        <v>1. Send POST request to /api/roles.
2. Request headers: Content-Type: application/json; Authorization: Bearer &lt;access token of quantri@trustcabinet.local&gt; (Admin, AdminUsers).
3. Query parameters: None.
4. Request JSON body: {}.</v>
      </c>
      <c r="D37" s="120" t="str">
        <v>1. HTTP 400 Bad Request response with code "MSG20".</v>
      </c>
      <c r="E37" s="120" t="str">
        <v>1. Backend is running.
2. Signed in as quantri@trustcabinet.local (AdminUsers).</v>
      </c>
      <c r="F37" s="121" t="str">
        <v>Pending</v>
      </c>
      <c r="G37" s="122" t="str"/>
      <c r="H37" s="121" t="str"/>
      <c r="I37" s="121" t="str"/>
      <c r="J37" s="122" t="str"/>
      <c r="K37" s="121" t="str"/>
      <c r="L37" s="121" t="str"/>
      <c r="M37" s="123" t="str"/>
      <c r="N37" s="121" t="str"/>
      <c r="O37" s="124" t="str"/>
      <c r="P37" s="125"/>
      <c r="Q37" s="112"/>
      <c r="R37" s="112"/>
      <c r="S37" s="112"/>
      <c r="T37" s="112"/>
      <c r="U37" s="112"/>
      <c r="V37" s="112"/>
      <c r="W37" s="112"/>
      <c r="X37" s="112"/>
      <c r="Y37" s="112"/>
    </row>
    <row r="38" ht="153.0" customHeight="1">
      <c r="A38" s="120" t="str">
        <v>ACC_API_IT22</v>
      </c>
      <c r="B38" s="120" t="str">
        <v>Verify creating and renaming a role with no body at all returns MSG20.</v>
      </c>
      <c r="C38" s="120" t="str">
        <v>1. Send POST request to /api/roles with header Content-Type: application/json, the administrator's token and an empty body.
2. Repeat with the body null.
3. Send PUT request to /api/roles/&lt;id of the custom role&gt; with an empty body, then with null.</v>
      </c>
      <c r="D38" s="120" t="str">
        <v>1. Every request returns HTTP 400 Bad Request with code "MSG20".</v>
      </c>
      <c r="E38" s="120" t="str">
        <v>1. Backend is running.
2. Signed in as quantri@trustcabinet.local (AdminUsers).
3. A custom role exists.</v>
      </c>
      <c r="F38" s="121" t="str">
        <v>Pending</v>
      </c>
      <c r="G38" s="122" t="str"/>
      <c r="H38" s="121" t="str"/>
      <c r="I38" s="121" t="str"/>
      <c r="J38" s="122" t="str"/>
      <c r="K38" s="121" t="str"/>
      <c r="L38" s="121" t="str"/>
      <c r="M38" s="123" t="str"/>
      <c r="N38" s="121" t="str"/>
      <c r="O38" s="124" t="str"/>
      <c r="P38" s="125"/>
      <c r="Q38" s="112"/>
      <c r="R38" s="112"/>
      <c r="S38" s="112"/>
      <c r="T38" s="112"/>
      <c r="U38" s="112"/>
      <c r="V38" s="112"/>
      <c r="W38" s="112"/>
      <c r="X38" s="112"/>
      <c r="Y38" s="112"/>
    </row>
    <row r="39" ht="153.0" customHeight="1">
      <c r="A39" s="120" t="str">
        <v>ACC_API_IT23</v>
      </c>
      <c r="B39" s="120" t="str">
        <v>Verify POST /api/roles returns MSG21 with 409 for a name already used, ignoring case.</v>
      </c>
      <c r="C39" s="120" t="str">
        <v>1. Send POST request to /api/roles.
2. Request headers: Content-Type: application/json; Authorization: Bearer &lt;access token of quantri@trustcabinet.local&gt; (Admin, AdminUsers).
3. Query parameters: None.
4. Request JSON body: { "name": "THƯ KÝ" }.</v>
      </c>
      <c r="D39" s="120" t="str">
        <v>1. HTTP 409 Conflict response.
2. Response JSON body: code "MSG21", message "Đã có vai trò dùng tên này. Hãy đặt một tên khác.".</v>
      </c>
      <c r="E39" s="120" t="str">
        <v>1. Backend is running.
2. Signed in as quantri@trustcabinet.local (AdminUsers).
3. The built-in role "Thư ký" exists.</v>
      </c>
      <c r="F39" s="121" t="str">
        <v>Pending</v>
      </c>
      <c r="G39" s="122" t="str"/>
      <c r="H39" s="121" t="str"/>
      <c r="I39" s="121" t="str"/>
      <c r="J39" s="122" t="str"/>
      <c r="K39" s="121" t="str"/>
      <c r="L39" s="121" t="str"/>
      <c r="M39" s="123" t="str"/>
      <c r="N39" s="121" t="str"/>
      <c r="O39" s="124" t="str"/>
      <c r="P39" s="125"/>
      <c r="Q39" s="112"/>
      <c r="R39" s="112"/>
      <c r="S39" s="112"/>
      <c r="T39" s="112"/>
      <c r="U39" s="112"/>
      <c r="V39" s="112"/>
      <c r="W39" s="112"/>
      <c r="X39" s="112"/>
      <c r="Y39" s="112"/>
    </row>
    <row r="40" ht="153.0" customHeight="1">
      <c r="A40" s="120" t="str">
        <v>ACC_API_IT24</v>
      </c>
      <c r="B40" s="120" t="str">
        <v>Verify POST /api/roles returns MSG26 with 500 when the database is unavailable.</v>
      </c>
      <c r="C40" s="120" t="str">
        <v>1. Send POST request to /api/roles.
2. Request headers: Content-Type: application/json; Authorization: Bearer &lt;access token of quantri@trustcabinet.local&gt; (Admin, AdminUsers).
3. Query parameters: None.
4. Request JSON body: { "name": "Thư ký phó" }.</v>
      </c>
      <c r="D40" s="120" t="str">
        <v>1. HTTP 500 Internal Server Error response.
2. Response JSON body: code "MSG26", message "Không thể tạo vai trò. Vui lòng thử lại.".</v>
      </c>
      <c r="E40" s="120" t="str">
        <v>1. Backend is running.
2. Signed in as quantri@trustcabinet.local (AdminUsers).
3. The PostgreSQL container is stopped after sign-in.</v>
      </c>
      <c r="F40" s="121" t="str">
        <v>Pending</v>
      </c>
      <c r="G40" s="122" t="str"/>
      <c r="H40" s="121" t="str"/>
      <c r="I40" s="121" t="str"/>
      <c r="J40" s="122" t="str"/>
      <c r="K40" s="121" t="str"/>
      <c r="L40" s="121" t="str"/>
      <c r="M40" s="123" t="str"/>
      <c r="N40" s="121" t="str"/>
      <c r="O40" s="124" t="str"/>
      <c r="P40" s="125"/>
      <c r="Q40" s="112"/>
      <c r="R40" s="112"/>
      <c r="S40" s="112"/>
      <c r="T40" s="112"/>
      <c r="U40" s="112"/>
      <c r="V40" s="112"/>
      <c r="W40" s="112"/>
      <c r="X40" s="112"/>
      <c r="Y40" s="112"/>
    </row>
    <row r="41" ht="24" customHeight="1">
      <c r="A41" s="120" t="str">
        <v>PUT /api/roles/{id}</v>
      </c>
      <c r="B41" s="120"/>
      <c r="C41" s="120"/>
      <c r="D41" s="120"/>
      <c r="E41" s="120"/>
      <c r="F41" s="121"/>
      <c r="G41" s="122"/>
      <c r="H41" s="121"/>
      <c r="I41" s="121"/>
      <c r="J41" s="122"/>
      <c r="K41" s="121"/>
      <c r="L41" s="121"/>
      <c r="M41" s="123"/>
      <c r="N41" s="121"/>
      <c r="O41" s="124"/>
      <c r="P41" s="125"/>
      <c r="Q41" s="112"/>
      <c r="R41" s="112"/>
      <c r="S41" s="112"/>
      <c r="T41" s="112"/>
      <c r="U41" s="112"/>
      <c r="V41" s="112"/>
      <c r="W41" s="112"/>
      <c r="X41" s="112"/>
      <c r="Y41" s="112"/>
    </row>
    <row r="42" ht="167.5" customHeight="1">
      <c r="A42" s="120" t="str">
        <v>ACC_API_IT25</v>
      </c>
      <c r="B42" s="120" t="str">
        <v>Verify PUT /api/roles/{id} renames a custom role and returns MSG22.</v>
      </c>
      <c r="C42" s="120" t="str">
        <v>1. Send PUT request to /api/roles/&lt;id of "Thư ký phó"&gt;.
2. Request headers: Content-Type: application/json; Authorization: Bearer &lt;access token of quantri@trustcabinet.local&gt; (Admin, AdminUsers).
3. Query parameters: None.
4. Request JSON body: { "name": "Phó thư ký", "description": "Mới" }.</v>
      </c>
      <c r="D42" s="120" t="str">
        <v>1. HTTP 200 OK response.
2. Response JSON body: code "MSG22", message "Cập nhật vai trò thành công.".
3. role.name "Phó thư ký", role.userCount 2.
4. One role.updated entry is written to the audit log.</v>
      </c>
      <c r="E42" s="120" t="str">
        <v>1. Backend is running.
2. Signed in as quantri@trustcabinet.local (AdminUsers).
3. Custom role "Thư ký phó" exists and two accounts hold it.</v>
      </c>
      <c r="F42" s="121" t="str">
        <v>Pending</v>
      </c>
      <c r="G42" s="122" t="str"/>
      <c r="H42" s="121" t="str"/>
      <c r="I42" s="121" t="str"/>
      <c r="J42" s="122" t="str"/>
      <c r="K42" s="121" t="str"/>
      <c r="L42" s="121" t="str"/>
      <c r="M42" s="123" t="str"/>
      <c r="N42" s="121" t="str"/>
      <c r="O42" s="124" t="str"/>
      <c r="P42" s="125"/>
      <c r="Q42" s="112"/>
      <c r="R42" s="112"/>
      <c r="S42" s="112"/>
      <c r="T42" s="112"/>
      <c r="U42" s="112"/>
      <c r="V42" s="112"/>
      <c r="W42" s="112"/>
      <c r="X42" s="112"/>
      <c r="Y42" s="112"/>
    </row>
    <row r="43" ht="167.5" customHeight="1">
      <c r="A43" s="120" t="str">
        <v>ACC_API_IT26</v>
      </c>
      <c r="B43" s="120" t="str">
        <v>Verify PUT /api/roles/{id} ignores capabilities sent in the body.</v>
      </c>
      <c r="C43" s="120" t="str">
        <v>1. Send PUT request to /api/roles/&lt;id of "Thư ký phó"&gt;.
2. Request headers: Content-Type: application/json; Authorization: Bearer &lt;access token of quantri@trustcabinet.local&gt; (Admin, AdminUsers).
3. Query parameters: None.
4. Request JSON body: { "name": "Phó thư ký", "capabilities": ["AdminUsers"] }.</v>
      </c>
      <c r="D43" s="120" t="str">
        <v>1. The role is renamed.
2. The role still has no capability in the role matrix; capabilities change only through PUT /api/roles/capabilities.</v>
      </c>
      <c r="E43" s="120" t="str">
        <v>1. Backend is running.
2. Signed in as quantri@trustcabinet.local (AdminUsers).
3. Custom role "Thư ký phó" exists with no capability.</v>
      </c>
      <c r="F43" s="121" t="str">
        <v>Pending</v>
      </c>
      <c r="G43" s="122" t="str"/>
      <c r="H43" s="121" t="str"/>
      <c r="I43" s="121" t="str"/>
      <c r="J43" s="122" t="str"/>
      <c r="K43" s="121" t="str"/>
      <c r="L43" s="121" t="str"/>
      <c r="M43" s="123" t="str"/>
      <c r="N43" s="121" t="str"/>
      <c r="O43" s="124" t="str"/>
      <c r="P43" s="125"/>
      <c r="Q43" s="112"/>
      <c r="R43" s="112"/>
      <c r="S43" s="112"/>
      <c r="T43" s="112"/>
      <c r="U43" s="112"/>
      <c r="V43" s="112"/>
      <c r="W43" s="112"/>
      <c r="X43" s="112"/>
      <c r="Y43" s="112"/>
    </row>
    <row r="44" ht="153.0" customHeight="1">
      <c r="A44" s="120" t="str">
        <v>ACC_API_IT27</v>
      </c>
      <c r="B44" s="120" t="str">
        <v>Verify a built-in role cannot be renamed (MSG24).</v>
      </c>
      <c r="C44" s="120" t="str">
        <v>1. Send PUT request to /api/roles/&lt;id of the Admin role&gt;.
2. Request headers: Content-Type: application/json; Authorization: Bearer &lt;access token of quantri@trustcabinet.local&gt; (Admin, AdminUsers).
3. Query parameters: None.
4. Request JSON body: { "name": "Siêu quản trị" }.</v>
      </c>
      <c r="D44" s="120" t="str">
        <v>1. HTTP 409 Conflict response.
2. Response JSON body: code "MSG24", message "Đây là vai trò mặc định của hệ thống, không đổi tên hoặc xoá được. Bạn vẫn sửa được quyền của nó.".</v>
      </c>
      <c r="E44" s="120" t="str">
        <v>1. Backend is running.
2. Signed in as quantri@trustcabinet.local (AdminUsers).</v>
      </c>
      <c r="F44" s="121" t="str">
        <v>Pending</v>
      </c>
      <c r="G44" s="122" t="str"/>
      <c r="H44" s="121" t="str"/>
      <c r="I44" s="121" t="str"/>
      <c r="J44" s="122" t="str"/>
      <c r="K44" s="121" t="str"/>
      <c r="L44" s="121" t="str"/>
      <c r="M44" s="123" t="str"/>
      <c r="N44" s="121" t="str"/>
      <c r="O44" s="124" t="str"/>
      <c r="P44" s="125"/>
      <c r="Q44" s="112"/>
      <c r="R44" s="112"/>
      <c r="S44" s="112"/>
      <c r="T44" s="112"/>
      <c r="U44" s="112"/>
      <c r="V44" s="112"/>
      <c r="W44" s="112"/>
      <c r="X44" s="112"/>
      <c r="Y44" s="112"/>
    </row>
    <row r="45" ht="153.0" customHeight="1">
      <c r="A45" s="120" t="str">
        <v>ACC_API_IT28</v>
      </c>
      <c r="B45" s="120" t="str">
        <v>Verify renaming a role to another role's name returns MSG21.</v>
      </c>
      <c r="C45" s="120" t="str">
        <v>1. Send PUT request to /api/roles/&lt;id of "Thư ký phó"&gt;.
2. Request headers: Content-Type: application/json; Authorization: Bearer &lt;access token of quantri@trustcabinet.local&gt; (Admin, AdminUsers).
3. Query parameters: None.
4. Request JSON body: { "name": "quản trị viên" }.</v>
      </c>
      <c r="D45" s="120" t="str">
        <v>1. HTTP 409 Conflict response with code "MSG21".
2. The role keeps its name.</v>
      </c>
      <c r="E45" s="120" t="str">
        <v>1. Backend is running.
2. Signed in as quantri@trustcabinet.local (AdminUsers).
3. Custom role "Thư ký phó" exists.</v>
      </c>
      <c r="F45" s="121" t="str">
        <v>Pending</v>
      </c>
      <c r="G45" s="122" t="str"/>
      <c r="H45" s="121" t="str"/>
      <c r="I45" s="121" t="str"/>
      <c r="J45" s="122" t="str"/>
      <c r="K45" s="121" t="str"/>
      <c r="L45" s="121" t="str"/>
      <c r="M45" s="123" t="str"/>
      <c r="N45" s="121" t="str"/>
      <c r="O45" s="124" t="str"/>
      <c r="P45" s="125"/>
      <c r="Q45" s="112"/>
      <c r="R45" s="112"/>
      <c r="S45" s="112"/>
      <c r="T45" s="112"/>
      <c r="U45" s="112"/>
      <c r="V45" s="112"/>
      <c r="W45" s="112"/>
      <c r="X45" s="112"/>
      <c r="Y45" s="112"/>
    </row>
    <row r="46" ht="153.0" customHeight="1">
      <c r="A46" s="120" t="str">
        <v>ACC_API_IT29</v>
      </c>
      <c r="B46" s="120" t="str">
        <v>Verify a role name longer than 64 characters returns MSG20 on name.</v>
      </c>
      <c r="C46" s="120" t="str">
        <v>1. Send PUT request to /api/roles/&lt;id of "Thư ký phó"&gt;.
2. Request headers: Content-Type: application/json; Authorization: Bearer &lt;access token of quantri@trustcabinet.local&gt; (Admin, AdminUsers).
3. Query parameters: None.
4. Request JSON body: { "name": "&lt;65 characters a&gt;" }.</v>
      </c>
      <c r="D46" s="120" t="str">
        <v>1. HTTP 400 Bad Request response.
2. Response JSON body has code "MSG20" and an error on name.</v>
      </c>
      <c r="E46" s="120" t="str">
        <v>1. Backend is running.
2. Signed in as quantri@trustcabinet.local (AdminUsers).
3. Custom role "Thư ký phó" exists.</v>
      </c>
      <c r="F46" s="121" t="str">
        <v>Pending</v>
      </c>
      <c r="G46" s="122" t="str"/>
      <c r="H46" s="121" t="str"/>
      <c r="I46" s="121" t="str"/>
      <c r="J46" s="122" t="str"/>
      <c r="K46" s="121" t="str"/>
      <c r="L46" s="121" t="str"/>
      <c r="M46" s="123" t="str"/>
      <c r="N46" s="121" t="str"/>
      <c r="O46" s="124" t="str"/>
      <c r="P46" s="125"/>
      <c r="Q46" s="112"/>
      <c r="R46" s="112"/>
      <c r="S46" s="112"/>
      <c r="T46" s="112"/>
      <c r="U46" s="112"/>
      <c r="V46" s="112"/>
      <c r="W46" s="112"/>
      <c r="X46" s="112"/>
      <c r="Y46" s="112"/>
    </row>
    <row r="47" ht="167.5" customHeight="1">
      <c r="A47" s="120" t="str">
        <v>ACC_API_IT30</v>
      </c>
      <c r="B47" s="120" t="str">
        <v>Verify renaming an unknown role returns 404 with an empty body.</v>
      </c>
      <c r="C47" s="120" t="str">
        <v>1. Send PUT request to /api/roles/&lt;random UUID that no role has&gt;.
2. Request headers: Content-Type: application/json; Authorization: Bearer &lt;access token of quantri@trustcabinet.local&gt; (Admin, AdminUsers).
3. Query parameters: None.
4. Request JSON body: { "name": "Tên" }.</v>
      </c>
      <c r="D47" s="120" t="str">
        <v>1. HTTP 404 Not Found response with an empty body.</v>
      </c>
      <c r="E47" s="120" t="str">
        <v>1. Backend is running.
2. Signed in as quantri@trustcabinet.local (AdminUsers).</v>
      </c>
      <c r="F47" s="121" t="str">
        <v>Pending</v>
      </c>
      <c r="G47" s="122" t="str"/>
      <c r="H47" s="121" t="str"/>
      <c r="I47" s="121" t="str"/>
      <c r="J47" s="122" t="str"/>
      <c r="K47" s="121" t="str"/>
      <c r="L47" s="121" t="str"/>
      <c r="M47" s="123" t="str"/>
      <c r="N47" s="121" t="str"/>
      <c r="O47" s="124" t="str"/>
      <c r="P47" s="125"/>
      <c r="Q47" s="112"/>
      <c r="R47" s="112"/>
      <c r="S47" s="112"/>
      <c r="T47" s="112"/>
      <c r="U47" s="112"/>
      <c r="V47" s="112"/>
      <c r="W47" s="112"/>
      <c r="X47" s="112"/>
      <c r="Y47" s="112"/>
    </row>
    <row r="48" ht="153.0" customHeight="1">
      <c r="A48" s="120" t="str">
        <v>ACC_API_IT31</v>
      </c>
      <c r="B48" s="120" t="str">
        <v>Verify PUT /api/roles/{id} returns MSG27 when the database is unavailable.</v>
      </c>
      <c r="C48" s="120" t="str">
        <v>1. Send PUT request to /api/roles/&lt;id of "Thư ký phó"&gt;.
2. Request headers: Content-Type: application/json; Authorization: Bearer &lt;access token of quantri@trustcabinet.local&gt; (Admin, AdminUsers).
3. Query parameters: None.
4. Request JSON body: { "name": "Phó thư ký" }.</v>
      </c>
      <c r="D48" s="120" t="str">
        <v>1. HTTP 500 Internal Server Error response.
2. Response JSON body: code "MSG27", message "Không thể cập nhật vai trò. Vui lòng thử lại.".</v>
      </c>
      <c r="E48" s="120" t="str">
        <v>1. Backend is running.
2. Signed in as quantri@trustcabinet.local (AdminUsers).
3. Custom role "Thư ký phó" exists.
4. The PostgreSQL container is stopped after sign-in.</v>
      </c>
      <c r="F48" s="121" t="str">
        <v>Pending</v>
      </c>
      <c r="G48" s="122" t="str"/>
      <c r="H48" s="121" t="str"/>
      <c r="I48" s="121" t="str"/>
      <c r="J48" s="122" t="str"/>
      <c r="K48" s="121" t="str"/>
      <c r="L48" s="121" t="str"/>
      <c r="M48" s="123" t="str"/>
      <c r="N48" s="121" t="str"/>
      <c r="O48" s="124" t="str"/>
      <c r="P48" s="125"/>
      <c r="Q48" s="112"/>
      <c r="R48" s="112"/>
      <c r="S48" s="112"/>
      <c r="T48" s="112"/>
      <c r="U48" s="112"/>
      <c r="V48" s="112"/>
      <c r="W48" s="112"/>
      <c r="X48" s="112"/>
      <c r="Y48" s="112"/>
    </row>
    <row r="49" ht="24" customHeight="1">
      <c r="A49" s="120" t="str">
        <v>DELETE /api/roles/{id}</v>
      </c>
      <c r="B49" s="120"/>
      <c r="C49" s="120"/>
      <c r="D49" s="120"/>
      <c r="E49" s="120"/>
      <c r="F49" s="121"/>
      <c r="G49" s="122"/>
      <c r="H49" s="121"/>
      <c r="I49" s="121"/>
      <c r="J49" s="122"/>
      <c r="K49" s="121"/>
      <c r="L49" s="121"/>
      <c r="M49" s="123"/>
      <c r="N49" s="121"/>
      <c r="O49" s="124"/>
      <c r="P49" s="125"/>
      <c r="Q49" s="112"/>
      <c r="R49" s="112"/>
      <c r="S49" s="112"/>
      <c r="T49" s="112"/>
      <c r="U49" s="112"/>
      <c r="V49" s="112"/>
      <c r="W49" s="112"/>
      <c r="X49" s="112"/>
      <c r="Y49" s="112"/>
    </row>
    <row r="50" ht="138.5" customHeight="1">
      <c r="A50" s="120" t="str">
        <v>ACC_API_IT32</v>
      </c>
      <c r="B50" s="120" t="str">
        <v>Verify DELETE /api/roles/{id} deletes an unused custom role and returns MSG23.</v>
      </c>
      <c r="C50" s="120" t="str">
        <v>1. Send DELETE request to /api/roles/&lt;id of "Thư ký phó"&gt;.
2. Request headers: Authorization: Bearer &lt;access token of quantri@trustcabinet.local&gt; (Admin, AdminUsers).
3. Query parameters: None.
4. Request body: None (DELETE request).</v>
      </c>
      <c r="D50" s="120" t="str">
        <v>1. HTTP 200 OK response.
2. Response JSON body: code "MSG23", message "Xoá vai trò thành công.".
3. The role no longer appears in GET /api/roles.
4. One role.deleted entry is written to the audit log.</v>
      </c>
      <c r="E50" s="120" t="str">
        <v>1. Backend is running.
2. Signed in as quantri@trustcabinet.local (AdminUsers).
3. Custom role "Thư ký phó" exists and no account holds it.</v>
      </c>
      <c r="F50" s="121" t="str">
        <v>Pending</v>
      </c>
      <c r="G50" s="122" t="str"/>
      <c r="H50" s="121" t="str"/>
      <c r="I50" s="121" t="str"/>
      <c r="J50" s="122" t="str"/>
      <c r="K50" s="121" t="str"/>
      <c r="L50" s="121" t="str"/>
      <c r="M50" s="123" t="str"/>
      <c r="N50" s="121" t="str"/>
      <c r="O50" s="124" t="str"/>
      <c r="P50" s="125"/>
      <c r="Q50" s="112"/>
      <c r="R50" s="112"/>
      <c r="S50" s="112"/>
      <c r="T50" s="112"/>
      <c r="U50" s="112"/>
      <c r="V50" s="112"/>
      <c r="W50" s="112"/>
      <c r="X50" s="112"/>
      <c r="Y50" s="112"/>
    </row>
    <row r="51" ht="138.5" customHeight="1">
      <c r="A51" s="120" t="str">
        <v>ACC_API_IT33</v>
      </c>
      <c r="B51" s="120" t="str">
        <v>Verify deleting a role still held by accounts returns MSG25 with the account count.</v>
      </c>
      <c r="C51" s="120" t="str">
        <v>1. Send DELETE request to /api/roles/&lt;id of "Thư ký phó"&gt;.
2. Request headers: Authorization: Bearer &lt;access token of quantri@trustcabinet.local&gt; (Admin, AdminUsers).
3. Query parameters: None.
4. Request body: None (DELETE request).</v>
      </c>
      <c r="D51" s="120" t="str">
        <v>1. HTTP 409 Conflict response.
2. Response JSON body: code "MSG25", userCount 3, message "Vai trò này vẫn còn 3 tài khoản mang. Hãy chuyển họ sang vai trò khác trước khi xoá.".
3. The role is not deleted.</v>
      </c>
      <c r="E51" s="120" t="str">
        <v>1. Backend is running.
2. Signed in as quantri@trustcabinet.local (AdminUsers).
3. Custom role "Thư ký phó" is held by three accounts.</v>
      </c>
      <c r="F51" s="121" t="str">
        <v>Pending</v>
      </c>
      <c r="G51" s="122" t="str"/>
      <c r="H51" s="121" t="str"/>
      <c r="I51" s="121" t="str"/>
      <c r="J51" s="122" t="str"/>
      <c r="K51" s="121" t="str"/>
      <c r="L51" s="121" t="str"/>
      <c r="M51" s="123" t="str"/>
      <c r="N51" s="121" t="str"/>
      <c r="O51" s="124" t="str"/>
      <c r="P51" s="125"/>
      <c r="Q51" s="112"/>
      <c r="R51" s="112"/>
      <c r="S51" s="112"/>
      <c r="T51" s="112"/>
      <c r="U51" s="112"/>
      <c r="V51" s="112"/>
      <c r="W51" s="112"/>
      <c r="X51" s="112"/>
      <c r="Y51" s="112"/>
    </row>
    <row r="52" ht="153.0" customHeight="1">
      <c r="A52" s="120" t="str">
        <v>ACC_API_IT34</v>
      </c>
      <c r="B52" s="120" t="str">
        <v>Verify a built-in role cannot be deleted (MSG24).</v>
      </c>
      <c r="C52" s="120" t="str">
        <v>1. Send DELETE request to /api/roles/&lt;id of the Member role&gt;.
2. Request headers: Authorization: Bearer &lt;access token of quantri@trustcabinet.local&gt; (Admin, AdminUsers).
3. Query parameters: None.
4. Request body: None (DELETE request).</v>
      </c>
      <c r="D52" s="120" t="str">
        <v>1. HTTP 409 Conflict response with code "MSG24".
2. The Member role is still listed.</v>
      </c>
      <c r="E52" s="120" t="str">
        <v>1. Backend is running.
2. Signed in as quantri@trustcabinet.local (AdminUsers).</v>
      </c>
      <c r="F52" s="121" t="str">
        <v>Pending</v>
      </c>
      <c r="G52" s="122" t="str"/>
      <c r="H52" s="121" t="str"/>
      <c r="I52" s="121" t="str"/>
      <c r="J52" s="122" t="str"/>
      <c r="K52" s="121" t="str"/>
      <c r="L52" s="121" t="str"/>
      <c r="M52" s="123" t="str"/>
      <c r="N52" s="121" t="str"/>
      <c r="O52" s="124" t="str"/>
      <c r="P52" s="125"/>
      <c r="Q52" s="112"/>
      <c r="R52" s="112"/>
      <c r="S52" s="112"/>
      <c r="T52" s="112"/>
      <c r="U52" s="112"/>
      <c r="V52" s="112"/>
      <c r="W52" s="112"/>
      <c r="X52" s="112"/>
      <c r="Y52" s="112"/>
    </row>
    <row r="53" ht="153.0" customHeight="1">
      <c r="A53" s="120" t="str">
        <v>ACC_API_IT35</v>
      </c>
      <c r="B53" s="120" t="str">
        <v>Verify deleting an unknown role returns 404 with an empty body.</v>
      </c>
      <c r="C53" s="120" t="str">
        <v>1. Send DELETE request to /api/roles/&lt;random UUID that no role has&gt;.
2. Request headers: Authorization: Bearer &lt;access token of quantri@trustcabinet.local&gt; (Admin, AdminUsers).
3. Query parameters: None.
4. Request body: None (DELETE request).</v>
      </c>
      <c r="D53" s="120" t="str">
        <v>1. HTTP 404 Not Found response with an empty body.</v>
      </c>
      <c r="E53" s="120" t="str">
        <v>1. Backend is running.
2. Signed in as quantri@trustcabinet.local (AdminUsers).</v>
      </c>
      <c r="F53" s="121" t="str">
        <v>Pending</v>
      </c>
      <c r="G53" s="122" t="str"/>
      <c r="H53" s="121" t="str"/>
      <c r="I53" s="121" t="str"/>
      <c r="J53" s="122" t="str"/>
      <c r="K53" s="121" t="str"/>
      <c r="L53" s="121" t="str"/>
      <c r="M53" s="123" t="str"/>
      <c r="N53" s="121" t="str"/>
      <c r="O53" s="124" t="str"/>
      <c r="P53" s="125"/>
      <c r="Q53" s="112"/>
      <c r="R53" s="112"/>
      <c r="S53" s="112"/>
      <c r="T53" s="112"/>
      <c r="U53" s="112"/>
      <c r="V53" s="112"/>
      <c r="W53" s="112"/>
      <c r="X53" s="112"/>
      <c r="Y53" s="112"/>
    </row>
    <row r="54" ht="138.5" customHeight="1">
      <c r="A54" s="120" t="str">
        <v>ACC_API_IT36</v>
      </c>
      <c r="B54" s="120" t="str">
        <v>Verify a role id that is not a UUID does not match any route.</v>
      </c>
      <c r="C54" s="120" t="str">
        <v>1. Send DELETE request to /api/roles/Chair.
2. Request headers: Authorization: Bearer &lt;access token of quantri@trustcabinet.local&gt; (Admin, AdminUsers).
3. Query parameters: None.
4. Request body: None (DELETE request).</v>
      </c>
      <c r="D54" s="120" t="str">
        <v>1. HTTP 404 Not Found response.
2. No role is deleted.</v>
      </c>
      <c r="E54" s="120" t="str">
        <v>1. Backend is running.
2. Signed in as quantri@trustcabinet.local (AdminUsers).</v>
      </c>
      <c r="F54" s="121" t="str">
        <v>Pending</v>
      </c>
      <c r="G54" s="122" t="str"/>
      <c r="H54" s="121" t="str"/>
      <c r="I54" s="121" t="str"/>
      <c r="J54" s="122" t="str"/>
      <c r="K54" s="121" t="str"/>
      <c r="L54" s="121" t="str"/>
      <c r="M54" s="123" t="str"/>
      <c r="N54" s="121" t="str"/>
      <c r="O54" s="124" t="str"/>
      <c r="P54" s="125"/>
      <c r="Q54" s="112"/>
      <c r="R54" s="112"/>
      <c r="S54" s="112"/>
      <c r="T54" s="112"/>
      <c r="U54" s="112"/>
      <c r="V54" s="112"/>
      <c r="W54" s="112"/>
      <c r="X54" s="112"/>
      <c r="Y54" s="112"/>
    </row>
    <row r="55" ht="138.5" customHeight="1">
      <c r="A55" s="120" t="str">
        <v>ACC_API_IT37</v>
      </c>
      <c r="B55" s="120" t="str">
        <v>Verify DELETE /api/roles/{id} returns MSG28 when the database is unavailable.</v>
      </c>
      <c r="C55" s="120" t="str">
        <v>1. Send DELETE request to /api/roles/&lt;id of "Thư ký phó"&gt;.
2. Request headers: Authorization: Bearer &lt;access token of quantri@trustcabinet.local&gt; (Admin, AdminUsers).
3. Query parameters: None.
4. Request body: None (DELETE request).</v>
      </c>
      <c r="D55" s="120" t="str">
        <v>1. HTTP 500 Internal Server Error response.
2. Response JSON body: code "MSG28", message "Không thể xoá vai trò. Vui lòng thử lại.".</v>
      </c>
      <c r="E55" s="120" t="str">
        <v>1. Backend is running.
2. Signed in as quantri@trustcabinet.local (AdminUsers).
3. Custom role "Thư ký phó" exists.
4. The PostgreSQL container is stopped after sign-in.</v>
      </c>
      <c r="F55" s="121" t="str">
        <v>Pending</v>
      </c>
      <c r="G55" s="122" t="str"/>
      <c r="H55" s="121" t="str"/>
      <c r="I55" s="121" t="str"/>
      <c r="J55" s="122" t="str"/>
      <c r="K55" s="121" t="str"/>
      <c r="L55" s="121" t="str"/>
      <c r="M55" s="123" t="str"/>
      <c r="N55" s="121" t="str"/>
      <c r="O55" s="124" t="str"/>
      <c r="P55" s="125"/>
      <c r="Q55" s="112"/>
      <c r="R55" s="112"/>
      <c r="S55" s="112"/>
      <c r="T55" s="112"/>
      <c r="U55" s="112"/>
      <c r="V55" s="112"/>
      <c r="W55" s="112"/>
      <c r="X55" s="112"/>
      <c r="Y55" s="112"/>
    </row>
    <row r="56" ht="24" customHeight="1">
      <c r="A56" s="120" t="str">
        <v>GET /api/roles/capabilities</v>
      </c>
      <c r="B56" s="120"/>
      <c r="C56" s="120"/>
      <c r="D56" s="120"/>
      <c r="E56" s="120"/>
      <c r="F56" s="121"/>
      <c r="G56" s="122"/>
      <c r="H56" s="121"/>
      <c r="I56" s="121"/>
      <c r="J56" s="122"/>
      <c r="K56" s="121"/>
      <c r="L56" s="121"/>
      <c r="M56" s="123"/>
      <c r="N56" s="121"/>
      <c r="O56" s="124"/>
      <c r="P56" s="125"/>
      <c r="Q56" s="112"/>
      <c r="R56" s="112"/>
      <c r="S56" s="112"/>
      <c r="T56" s="112"/>
      <c r="U56" s="112"/>
      <c r="V56" s="112"/>
      <c r="W56" s="112"/>
      <c r="X56" s="112"/>
      <c r="Y56" s="112"/>
    </row>
    <row r="57" ht="109.5" customHeight="1">
      <c r="A57" s="120" t="str">
        <v>ACC_API_IT38</v>
      </c>
      <c r="B57" s="120" t="str">
        <v>Verify the role matrix returns 401 to an anonymous caller.</v>
      </c>
      <c r="C57" s="120" t="str">
        <v>1. Send GET request to /api/roles/capabilities.
2. Request headers: None (no authentication).
3. Query parameters: None.
4. Request body: None (GET request).</v>
      </c>
      <c r="D57" s="120" t="str">
        <v>1. HTTP 401 Unauthorized response.</v>
      </c>
      <c r="E57" s="120" t="str">
        <v>1. Backend is running.
2. Request is sent without authentication.</v>
      </c>
      <c r="F57" s="121" t="str">
        <v>Pending</v>
      </c>
      <c r="G57" s="122" t="str"/>
      <c r="H57" s="121" t="str"/>
      <c r="I57" s="121" t="str"/>
      <c r="J57" s="122" t="str"/>
      <c r="K57" s="121" t="str"/>
      <c r="L57" s="121" t="str"/>
      <c r="M57" s="123" t="str"/>
      <c r="N57" s="121" t="str"/>
      <c r="O57" s="124" t="str"/>
      <c r="P57" s="125"/>
      <c r="Q57" s="112"/>
      <c r="R57" s="112"/>
      <c r="S57" s="112"/>
      <c r="T57" s="112"/>
      <c r="U57" s="112"/>
      <c r="V57" s="112"/>
      <c r="W57" s="112"/>
      <c r="X57" s="112"/>
      <c r="Y57" s="112"/>
    </row>
    <row r="58" ht="138.5" customHeight="1">
      <c r="A58" s="120" t="str">
        <v>ACC_API_IT39</v>
      </c>
      <c r="B58" s="120" t="str">
        <v>Verify the role matrix returns 403 without AdminUsers.</v>
      </c>
      <c r="C58" s="120" t="str">
        <v>1. Send GET request to /api/roles/capabilities.
2. Request headers: Authorization: Bearer &lt;access token of thuky@trustcabinet.local&gt; (Secretary, MeetingCreator).
3. Query parameters: None.
4. Request body: None (GET request).</v>
      </c>
      <c r="D58" s="120" t="str">
        <v>1. HTTP 403 Forbidden response.</v>
      </c>
      <c r="E58" s="120" t="str">
        <v>1. Backend is running.
2. Signed in as thuky@trustcabinet.local (no AdminUsers).</v>
      </c>
      <c r="F58" s="121" t="str">
        <v>Pending</v>
      </c>
      <c r="G58" s="122" t="str"/>
      <c r="H58" s="121" t="str"/>
      <c r="I58" s="121" t="str"/>
      <c r="J58" s="122" t="str"/>
      <c r="K58" s="121" t="str"/>
      <c r="L58" s="121" t="str"/>
      <c r="M58" s="123" t="str"/>
      <c r="N58" s="121" t="str"/>
      <c r="O58" s="124" t="str"/>
      <c r="P58" s="125"/>
      <c r="Q58" s="112"/>
      <c r="R58" s="112"/>
      <c r="S58" s="112"/>
      <c r="T58" s="112"/>
      <c r="U58" s="112"/>
      <c r="V58" s="112"/>
      <c r="W58" s="112"/>
      <c r="X58" s="112"/>
      <c r="Y58" s="112"/>
    </row>
    <row r="59" ht="138.5" customHeight="1">
      <c r="A59" s="120" t="str">
        <v>ACC_API_IT40</v>
      </c>
      <c r="B59" s="120" t="str">
        <v>Verify a token claiming AdminUsers is refused once the role has lost it.</v>
      </c>
      <c r="C59" s="120" t="str">
        <v>1. Send GET request to /api/roles/capabilities.
2. Request headers: Authorization: Bearer &lt;access token issued while the caller's role still had AdminUsers&gt;.
3. Query parameters: None.
4. Request body: None (GET request).</v>
      </c>
      <c r="D59" s="120" t="str">
        <v>1. HTTP 403 Forbidden response.</v>
      </c>
      <c r="E59" s="120" t="str">
        <v>1. Backend is running.
2. The caller's role had AdminUsers when the token was issued and it has since been removed in the role matrix.</v>
      </c>
      <c r="F59" s="121" t="str">
        <v>Pending</v>
      </c>
      <c r="G59" s="122" t="str"/>
      <c r="H59" s="121" t="str"/>
      <c r="I59" s="121" t="str"/>
      <c r="J59" s="122" t="str"/>
      <c r="K59" s="121" t="str"/>
      <c r="L59" s="121" t="str"/>
      <c r="M59" s="123" t="str"/>
      <c r="N59" s="121" t="str"/>
      <c r="O59" s="124" t="str"/>
      <c r="P59" s="125"/>
      <c r="Q59" s="112"/>
      <c r="R59" s="112"/>
      <c r="S59" s="112"/>
      <c r="T59" s="112"/>
      <c r="U59" s="112"/>
      <c r="V59" s="112"/>
      <c r="W59" s="112"/>
      <c r="X59" s="112"/>
      <c r="Y59" s="112"/>
    </row>
    <row r="60" ht="138.5" customHeight="1">
      <c r="A60" s="120" t="str">
        <v>ACC_API_IT41</v>
      </c>
      <c r="B60" s="120" t="str">
        <v>Verify a deactivated administrator is refused the role matrix even with a valid token.</v>
      </c>
      <c r="C60" s="120" t="str">
        <v>1. Send GET request to /api/roles/capabilities.
2. Request headers: Authorization: Bearer &lt;access token of an administrator who has since been deactivated&gt;.
3. Query parameters: None.
4. Request body: None (GET request).</v>
      </c>
      <c r="D60" s="120" t="str">
        <v>1. HTTP 403 Forbidden response.</v>
      </c>
      <c r="E60" s="120" t="str">
        <v>1. Backend is running.
2. The administrator signed in, kept the access token and was then deactivated.</v>
      </c>
      <c r="F60" s="121" t="str">
        <v>Pending</v>
      </c>
      <c r="G60" s="122" t="str"/>
      <c r="H60" s="121" t="str"/>
      <c r="I60" s="121" t="str"/>
      <c r="J60" s="122" t="str"/>
      <c r="K60" s="121" t="str"/>
      <c r="L60" s="121" t="str"/>
      <c r="M60" s="123" t="str"/>
      <c r="N60" s="121" t="str"/>
      <c r="O60" s="124" t="str"/>
      <c r="P60" s="125"/>
      <c r="Q60" s="112"/>
      <c r="R60" s="112"/>
      <c r="S60" s="112"/>
      <c r="T60" s="112"/>
      <c r="U60" s="112"/>
      <c r="V60" s="112"/>
      <c r="W60" s="112"/>
      <c r="X60" s="112"/>
      <c r="Y60" s="112"/>
    </row>
    <row r="61" ht="138.5" customHeight="1">
      <c r="A61" s="120" t="str">
        <v>ACC_API_IT42</v>
      </c>
      <c r="B61" s="120" t="str">
        <v>Verify GET /api/roles/capabilities returns the matrix and the capability catalogue.</v>
      </c>
      <c r="C61" s="120" t="str">
        <v>1. Send GET request to /api/roles/capabilities.
2. Request headers: Authorization: Bearer &lt;access token of quantri@trustcabinet.local&gt; (Admin, AdminUsers).
3. Query parameters: None.
4. Request body: None (GET request).</v>
      </c>
      <c r="D61" s="120" t="str">
        <v>1. HTTP 200 OK response.
2. roles lists every role; capabilities lists the four capabilities.
3. The Member role ("Thành viên", isBuiltIn true, with a description) has exactly ["MinutesEditor"].</v>
      </c>
      <c r="E61" s="120" t="str">
        <v>1. Backend is running.
2. Signed in as quantri@trustcabinet.local (AdminUsers).
3. MinutesEditor is ticked for the Member role.</v>
      </c>
      <c r="F61" s="121" t="str">
        <v>Pending</v>
      </c>
      <c r="G61" s="122" t="str"/>
      <c r="H61" s="121" t="str"/>
      <c r="I61" s="121" t="str"/>
      <c r="J61" s="122" t="str"/>
      <c r="K61" s="121" t="str"/>
      <c r="L61" s="121" t="str"/>
      <c r="M61" s="123" t="str"/>
      <c r="N61" s="121" t="str"/>
      <c r="O61" s="124" t="str"/>
      <c r="P61" s="125"/>
      <c r="Q61" s="112"/>
      <c r="R61" s="112"/>
      <c r="S61" s="112"/>
      <c r="T61" s="112"/>
      <c r="U61" s="112"/>
      <c r="V61" s="112"/>
      <c r="W61" s="112"/>
      <c r="X61" s="112"/>
      <c r="Y61" s="112"/>
    </row>
    <row r="62" ht="138.5" customHeight="1">
      <c r="A62" s="120" t="str">
        <v>ACC_API_IT43</v>
      </c>
      <c r="B62" s="120" t="str">
        <v>Verify every catalogue entry carries a code and a Vietnamese name.</v>
      </c>
      <c r="C62" s="120" t="str">
        <v>1. Send GET request to /api/roles/capabilities.
2. Request headers: Authorization: Bearer &lt;access token of quantri@trustcabinet.local&gt; (Admin, AdminUsers).
3. Query parameters: None.
4. Request body: None (GET request).</v>
      </c>
      <c r="D62" s="120" t="str">
        <v>1. HTTP 200 OK response.
2. Every item of capabilities has a non-empty code and a non-empty Vietnamese name.</v>
      </c>
      <c r="E62" s="120" t="str">
        <v>1. Backend is running.
2. Signed in as quantri@trustcabinet.local (AdminUsers).</v>
      </c>
      <c r="F62" s="121" t="str">
        <v>Pending</v>
      </c>
      <c r="G62" s="122" t="str"/>
      <c r="H62" s="121" t="str"/>
      <c r="I62" s="121" t="str"/>
      <c r="J62" s="122" t="str"/>
      <c r="K62" s="121" t="str"/>
      <c r="L62" s="121" t="str"/>
      <c r="M62" s="123" t="str"/>
      <c r="N62" s="121" t="str"/>
      <c r="O62" s="124" t="str"/>
      <c r="P62" s="125"/>
      <c r="Q62" s="112"/>
      <c r="R62" s="112"/>
      <c r="S62" s="112"/>
      <c r="T62" s="112"/>
      <c r="U62" s="112"/>
      <c r="V62" s="112"/>
      <c r="W62" s="112"/>
      <c r="X62" s="112"/>
      <c r="Y62" s="112"/>
    </row>
    <row r="63" ht="24" customHeight="1">
      <c r="A63" s="120" t="str">
        <v>PUT /api/roles/capabilities</v>
      </c>
      <c r="B63" s="120"/>
      <c r="C63" s="120"/>
      <c r="D63" s="120"/>
      <c r="E63" s="120"/>
      <c r="F63" s="121"/>
      <c r="G63" s="122"/>
      <c r="H63" s="121"/>
      <c r="I63" s="121"/>
      <c r="J63" s="122"/>
      <c r="K63" s="121"/>
      <c r="L63" s="121"/>
      <c r="M63" s="123"/>
      <c r="N63" s="121"/>
      <c r="O63" s="124"/>
      <c r="P63" s="125"/>
      <c r="Q63" s="112"/>
      <c r="R63" s="112"/>
      <c r="S63" s="112"/>
      <c r="T63" s="112"/>
      <c r="U63" s="112"/>
      <c r="V63" s="112"/>
      <c r="W63" s="112"/>
      <c r="X63" s="112"/>
      <c r="Y63" s="112"/>
    </row>
    <row r="64" ht="182.0" customHeight="1">
      <c r="A64" s="120" t="str">
        <v>ACC_API_IT44</v>
      </c>
      <c r="B64" s="120" t="str">
        <v>Verify PUT /api/roles/capabilities saves a role's capabilities and returns MSG16 with the new matrix.</v>
      </c>
      <c r="C64" s="120" t="str">
        <v>1. Send PUT request to /api/roles/capabilities.
2. Request headers: Content-Type: application/json; Authorization: Bearer &lt;access token of quantri@trustcabinet.local&gt; (Admin, AdminUsers).
3. Query parameters: None.
4. Request JSON body: { "roleId": "&lt;id of the Member role&gt;", "capabilities": ["MeetingCreator"] }.</v>
      </c>
      <c r="D64" s="120" t="str">
        <v>1. HTTP 200 OK response.
2. Response JSON body: code "MSG16", message "Cập nhật phân quyền thành công.".
3. In matrix.roles the Member role has exactly ["MeetingCreator"].</v>
      </c>
      <c r="E64" s="120" t="str">
        <v>1. Backend is running.
2. Signed in as quantri@trustcabinet.local (AdminUsers).</v>
      </c>
      <c r="F64" s="121" t="str">
        <v>Pending</v>
      </c>
      <c r="G64" s="122" t="str"/>
      <c r="H64" s="121" t="str"/>
      <c r="I64" s="121" t="str"/>
      <c r="J64" s="122" t="str"/>
      <c r="K64" s="121" t="str"/>
      <c r="L64" s="121" t="str"/>
      <c r="M64" s="123" t="str"/>
      <c r="N64" s="121" t="str"/>
      <c r="O64" s="124" t="str"/>
      <c r="P64" s="125"/>
      <c r="Q64" s="112"/>
      <c r="R64" s="112"/>
      <c r="S64" s="112"/>
      <c r="T64" s="112"/>
      <c r="U64" s="112"/>
      <c r="V64" s="112"/>
      <c r="W64" s="112"/>
      <c r="X64" s="112"/>
      <c r="Y64" s="112"/>
    </row>
    <row r="65" ht="153.0" customHeight="1">
      <c r="A65" s="120" t="str">
        <v>ACC_API_IT45</v>
      </c>
      <c r="B65" s="120" t="str">
        <v>Verify changing the matrix does not sign out the accounts holding the role.</v>
      </c>
      <c r="C65" s="120" t="str">
        <v>1. Send PUT request to /api/roles/capabilities with body { "roleId": "&lt;id of the Member role&gt;", "capabilities": ["MeetingCreator"] }.
2. Send it again with "capabilities": [].
3. In the browser where thanhvien@trustcabinet.local is signed in, reload the page.</v>
      </c>
      <c r="D65" s="120" t="str">
        <v>1. Both requests return HTTP 200 OK.
2. thanhvien@trustcabinet.local stays signed in.</v>
      </c>
      <c r="E65" s="120" t="str">
        <v>1. Backend is running.
2. Signed in as quantri@trustcabinet.local (AdminUsers).
3. thanhvien@trustcabinet.local is signed in in another browser.</v>
      </c>
      <c r="F65" s="121" t="str">
        <v>Pending</v>
      </c>
      <c r="G65" s="122" t="str"/>
      <c r="H65" s="121" t="str"/>
      <c r="I65" s="121" t="str"/>
      <c r="J65" s="122" t="str"/>
      <c r="K65" s="121" t="str"/>
      <c r="L65" s="121" t="str"/>
      <c r="M65" s="123" t="str"/>
      <c r="N65" s="121" t="str"/>
      <c r="O65" s="124" t="str"/>
      <c r="P65" s="125"/>
      <c r="Q65" s="112"/>
      <c r="R65" s="112"/>
      <c r="S65" s="112"/>
      <c r="T65" s="112"/>
      <c r="U65" s="112"/>
      <c r="V65" s="112"/>
      <c r="W65" s="112"/>
      <c r="X65" s="112"/>
      <c r="Y65" s="112"/>
    </row>
    <row r="66" ht="182.0" customHeight="1">
      <c r="A66" s="120" t="str">
        <v>ACC_API_IT46</v>
      </c>
      <c r="B66" s="120" t="str">
        <v>Verify PUT /api/roles/capabilities returns MSG18 when the database is unavailable.</v>
      </c>
      <c r="C66" s="120" t="str">
        <v>1. Send PUT request to /api/roles/capabilities.
2. Request headers: Content-Type: application/json; Authorization: Bearer &lt;access token of quantri@trustcabinet.local&gt; (Admin, AdminUsers).
3. Query parameters: None.
4. Request JSON body: { "roleId": "&lt;id of the Member role&gt;", "capabilities": ["MeetingCreator"] }.</v>
      </c>
      <c r="D66" s="120" t="str">
        <v>1. HTTP 500 Internal Server Error response.
2. Response JSON body: code "MSG18", message "Không thể cập nhật phân quyền. Vui lòng thử lại.".</v>
      </c>
      <c r="E66" s="120" t="str">
        <v>1. Backend is running.
2. Signed in as quantri@trustcabinet.local (AdminUsers).
3. The PostgreSQL container is stopped after sign-in.</v>
      </c>
      <c r="F66" s="121" t="str">
        <v>Pending</v>
      </c>
      <c r="G66" s="122" t="str"/>
      <c r="H66" s="121" t="str"/>
      <c r="I66" s="121" t="str"/>
      <c r="J66" s="122" t="str"/>
      <c r="K66" s="121" t="str"/>
      <c r="L66" s="121" t="str"/>
      <c r="M66" s="123" t="str"/>
      <c r="N66" s="121" t="str"/>
      <c r="O66" s="124" t="str"/>
      <c r="P66" s="125"/>
      <c r="Q66" s="112"/>
      <c r="R66" s="112"/>
      <c r="S66" s="112"/>
      <c r="T66" s="112"/>
      <c r="U66" s="112"/>
      <c r="V66" s="112"/>
      <c r="W66" s="112"/>
      <c r="X66" s="112"/>
      <c r="Y66" s="112"/>
    </row>
    <row r="67" ht="182.0" customHeight="1">
      <c r="A67" s="120" t="str">
        <v>ACC_API_IT47</v>
      </c>
      <c r="B67" s="120" t="str">
        <v>Verify a capability name is accepted in any letter case.</v>
      </c>
      <c r="C67" s="120" t="str">
        <v>1. Send PUT request to /api/roles/capabilities.
2. Request headers: Content-Type: application/json; Authorization: Bearer &lt;access token of quantri@trustcabinet.local&gt; (Admin, AdminUsers).
3. Query parameters: None.
4. Request JSON body: { "roleId": "&lt;id of the Member role&gt;", "capabilities": ["meetingCreator"] }.</v>
      </c>
      <c r="D67" s="120" t="str">
        <v>1. HTTP 200 OK response.
2. The Member role now has MeetingCreator.</v>
      </c>
      <c r="E67" s="120" t="str">
        <v>1. Backend is running.
2. Signed in as quantri@trustcabinet.local (AdminUsers).</v>
      </c>
      <c r="F67" s="121" t="str">
        <v>Pending</v>
      </c>
      <c r="G67" s="122" t="str"/>
      <c r="H67" s="121" t="str"/>
      <c r="I67" s="121" t="str"/>
      <c r="J67" s="122" t="str"/>
      <c r="K67" s="121" t="str"/>
      <c r="L67" s="121" t="str"/>
      <c r="M67" s="123" t="str"/>
      <c r="N67" s="121" t="str"/>
      <c r="O67" s="124" t="str"/>
      <c r="P67" s="125"/>
      <c r="Q67" s="112"/>
      <c r="R67" s="112"/>
      <c r="S67" s="112"/>
      <c r="T67" s="112"/>
      <c r="U67" s="112"/>
      <c r="V67" s="112"/>
      <c r="W67" s="112"/>
      <c r="X67" s="112"/>
      <c r="Y67" s="112"/>
    </row>
    <row r="68" ht="167.5" customHeight="1">
      <c r="A68" s="120" t="str">
        <v>ACC_API_IT48</v>
      </c>
      <c r="B68" s="120" t="str">
        <v>Verify removing the last AdminUsers grant is refused with MSG17.</v>
      </c>
      <c r="C68" s="120" t="str">
        <v>1. Send PUT request to /api/roles/capabilities.
2. Request headers: Content-Type: application/json; Authorization: Bearer &lt;access token of quantri@trustcabinet.local&gt; (Admin, AdminUsers).
3. Query parameters: None.
4. Request JSON body: { "roleId": "&lt;id of the Admin role&gt;", "capabilities": [] }.</v>
      </c>
      <c r="D68" s="120" t="str">
        <v>1. HTTP 400 Bad Request response.
2. Response JSON body has code "MSG17" ("Cấu hình phân quyền không hợp lệ.") and an error on adminUsers.
3. The Admin role keeps AdminUsers.</v>
      </c>
      <c r="E68" s="120" t="str">
        <v>1. Backend is running.
2. Signed in as quantri@trustcabinet.local (AdminUsers).
3. The Admin role is the only role with AdminUsers.</v>
      </c>
      <c r="F68" s="121" t="str">
        <v>Pending</v>
      </c>
      <c r="G68" s="122" t="str"/>
      <c r="H68" s="121" t="str"/>
      <c r="I68" s="121" t="str"/>
      <c r="J68" s="122" t="str"/>
      <c r="K68" s="121" t="str"/>
      <c r="L68" s="121" t="str"/>
      <c r="M68" s="123" t="str"/>
      <c r="N68" s="121" t="str"/>
      <c r="O68" s="124" t="str"/>
      <c r="P68" s="125"/>
      <c r="Q68" s="112"/>
      <c r="R68" s="112"/>
      <c r="S68" s="112"/>
      <c r="T68" s="112"/>
      <c r="U68" s="112"/>
      <c r="V68" s="112"/>
      <c r="W68" s="112"/>
      <c r="X68" s="112"/>
      <c r="Y68" s="112"/>
    </row>
    <row r="69" ht="124.0" customHeight="1">
      <c r="A69" s="120" t="str">
        <v>ACC_API_IT49</v>
      </c>
      <c r="B69" s="120" t="str">
        <v>Verify an unknown roleId returns MSG17 on roleId.</v>
      </c>
      <c r="C69" s="120" t="str">
        <v>1. Send PUT request to /api/roles/capabilities with body { "roleId": "01990000-0000-7000-8000-000000000000", "capabilities": ["AdminUsers"] }.
2. Repeat with "roleId": "Admin".
3. Repeat with "roleId": "".</v>
      </c>
      <c r="D69" s="120" t="str">
        <v>1. Each request returns HTTP 400 Bad Request.
2. Each response JSON body has code "MSG17" and an error on roleId.</v>
      </c>
      <c r="E69" s="120" t="str">
        <v>1. Backend is running.
2. Signed in as quantri@trustcabinet.local (AdminUsers).</v>
      </c>
      <c r="F69" s="121" t="str">
        <v>Pending</v>
      </c>
      <c r="G69" s="122" t="str"/>
      <c r="H69" s="121" t="str"/>
      <c r="I69" s="121" t="str"/>
      <c r="J69" s="122" t="str"/>
      <c r="K69" s="121" t="str"/>
      <c r="L69" s="121" t="str"/>
      <c r="M69" s="123" t="str"/>
      <c r="N69" s="121" t="str"/>
      <c r="O69" s="124" t="str"/>
      <c r="P69" s="125"/>
      <c r="Q69" s="112"/>
      <c r="R69" s="112"/>
      <c r="S69" s="112"/>
      <c r="T69" s="112"/>
      <c r="U69" s="112"/>
      <c r="V69" s="112"/>
      <c r="W69" s="112"/>
      <c r="X69" s="112"/>
      <c r="Y69" s="112"/>
    </row>
    <row r="70" ht="182.0" customHeight="1">
      <c r="A70" s="120" t="str">
        <v>ACC_API_IT50</v>
      </c>
      <c r="B70" s="120" t="str">
        <v>Verify an unknown capability returns MSG17 naming it.</v>
      </c>
      <c r="C70" s="120" t="str">
        <v>1. Send PUT request to /api/roles/capabilities.
2. Request headers: Content-Type: application/json; Authorization: Bearer &lt;access token of quantri@trustcabinet.local&gt; (Admin, AdminUsers).
3. Query parameters: None.
4. Request JSON body: { "roleId": "&lt;id of the Member role&gt;", "capabilities": ["DeleteEverything"] }.</v>
      </c>
      <c r="D70" s="120" t="str">
        <v>1. HTTP 400 Bad Request response with code "MSG17".
2. errors.capabilities mentions DeleteEverything.</v>
      </c>
      <c r="E70" s="120" t="str">
        <v>1. Backend is running.
2. Signed in as quantri@trustcabinet.local (AdminUsers).</v>
      </c>
      <c r="F70" s="121" t="str">
        <v>Pending</v>
      </c>
      <c r="G70" s="122" t="str"/>
      <c r="H70" s="121" t="str"/>
      <c r="I70" s="121" t="str"/>
      <c r="J70" s="122" t="str"/>
      <c r="K70" s="121" t="str"/>
      <c r="L70" s="121" t="str"/>
      <c r="M70" s="123" t="str"/>
      <c r="N70" s="121" t="str"/>
      <c r="O70" s="124" t="str"/>
      <c r="P70" s="125"/>
      <c r="Q70" s="112"/>
      <c r="R70" s="112"/>
      <c r="S70" s="112"/>
      <c r="T70" s="112"/>
      <c r="U70" s="112"/>
      <c r="V70" s="112"/>
      <c r="W70" s="112"/>
      <c r="X70" s="112"/>
      <c r="Y70" s="112"/>
    </row>
    <row r="71" ht="182.0" customHeight="1">
      <c r="A71" s="120" t="str">
        <v>ACC_API_IT51</v>
      </c>
      <c r="B71" s="120" t="str">
        <v>Verify every unknown capability is named, not just the first.</v>
      </c>
      <c r="C71" s="120" t="str">
        <v>1. Send PUT request to /api/roles/capabilities.
2. Request headers: Content-Type: application/json; Authorization: Bearer &lt;access token of quantri@trustcabinet.local&gt; (Admin, AdminUsers).
3. Query parameters: None.
4. Request JSON body: { "roleId": "&lt;id of the Member role&gt;", "capabilities": ["Nonsense", "AlsoWrong"] }.</v>
      </c>
      <c r="D71" s="120" t="str">
        <v>1. HTTP 400 Bad Request response.
2. errors.capabilities mentions both Nonsense and AlsoWrong.</v>
      </c>
      <c r="E71" s="120" t="str">
        <v>1. Backend is running.
2. Signed in as quantri@trustcabinet.local (AdminUsers).</v>
      </c>
      <c r="F71" s="121" t="str">
        <v>Pending</v>
      </c>
      <c r="G71" s="122" t="str"/>
      <c r="H71" s="121" t="str"/>
      <c r="I71" s="121" t="str"/>
      <c r="J71" s="122" t="str"/>
      <c r="K71" s="121" t="str"/>
      <c r="L71" s="121" t="str"/>
      <c r="M71" s="123" t="str"/>
      <c r="N71" s="121" t="str"/>
      <c r="O71" s="124" t="str"/>
      <c r="P71" s="125"/>
      <c r="Q71" s="112"/>
      <c r="R71" s="112"/>
      <c r="S71" s="112"/>
      <c r="T71" s="112"/>
      <c r="U71" s="112"/>
      <c r="V71" s="112"/>
      <c r="W71" s="112"/>
      <c r="X71" s="112"/>
      <c r="Y71" s="112"/>
    </row>
    <row r="72" ht="167.5" customHeight="1">
      <c r="A72" s="120" t="str">
        <v>ACC_API_IT52</v>
      </c>
      <c r="B72" s="120" t="str">
        <v>Verify a missing capability list is refused rather than read as empty.</v>
      </c>
      <c r="C72" s="120" t="str">
        <v>1. Send PUT request to /api/roles/capabilities.
2. Request headers: Content-Type: application/json; Authorization: Bearer &lt;access token of quantri@trustcabinet.local&gt; (Admin, AdminUsers).
3. Query parameters: None.
4. Request JSON body: { "roleId": "&lt;id of the Secretary role&gt;" }.</v>
      </c>
      <c r="D72" s="120" t="str">
        <v>1. HTTP 400 Bad Request response with code "MSG17".
2. The Secretary role keeps its capabilities.</v>
      </c>
      <c r="E72" s="120" t="str">
        <v>1. Backend is running.
2. Signed in as quantri@trustcabinet.local (AdminUsers).
3. The Secretary role has at least one capability.</v>
      </c>
      <c r="F72" s="121" t="str">
        <v>Pending</v>
      </c>
      <c r="G72" s="122" t="str"/>
      <c r="H72" s="121" t="str"/>
      <c r="I72" s="121" t="str"/>
      <c r="J72" s="122" t="str"/>
      <c r="K72" s="121" t="str"/>
      <c r="L72" s="121" t="str"/>
      <c r="M72" s="123" t="str"/>
      <c r="N72" s="121" t="str"/>
      <c r="O72" s="124" t="str"/>
      <c r="P72" s="125"/>
      <c r="Q72" s="112"/>
      <c r="R72" s="112"/>
      <c r="S72" s="112"/>
      <c r="T72" s="112"/>
      <c r="U72" s="112"/>
      <c r="V72" s="112"/>
      <c r="W72" s="112"/>
      <c r="X72" s="112"/>
      <c r="Y72" s="112"/>
    </row>
    <row r="73" ht="167.5" customHeight="1">
      <c r="A73" s="120" t="str">
        <v>ACC_API_IT53</v>
      </c>
      <c r="B73" s="120" t="str">
        <v>Verify an empty capability list is accepted and removes every capability.</v>
      </c>
      <c r="C73" s="120" t="str">
        <v>1. Send PUT request to /api/roles/capabilities.
2. Request headers: Content-Type: application/json; Authorization: Bearer &lt;access token of quantri@trustcabinet.local&gt; (Admin, AdminUsers).
3. Query parameters: None.
4. Request JSON body: { "roleId": "&lt;id of the Secretary role&gt;", "capabilities": [] }.</v>
      </c>
      <c r="D73" s="120" t="str">
        <v>1. HTTP 200 OK response.
2. The Secretary role has no capability in the matrix.</v>
      </c>
      <c r="E73" s="120" t="str">
        <v>1. Backend is running.
2. Signed in as quantri@trustcabinet.local (AdminUsers).</v>
      </c>
      <c r="F73" s="121" t="str">
        <v>Pending</v>
      </c>
      <c r="G73" s="122" t="str"/>
      <c r="H73" s="121" t="str"/>
      <c r="I73" s="121" t="str"/>
      <c r="J73" s="122" t="str"/>
      <c r="K73" s="121" t="str"/>
      <c r="L73" s="121" t="str"/>
      <c r="M73" s="123" t="str"/>
      <c r="N73" s="121" t="str"/>
      <c r="O73" s="124" t="str"/>
      <c r="P73" s="125"/>
      <c r="Q73" s="112"/>
      <c r="R73" s="112"/>
      <c r="S73" s="112"/>
      <c r="T73" s="112"/>
      <c r="U73" s="112"/>
      <c r="V73" s="112"/>
      <c r="W73" s="112"/>
      <c r="X73" s="112"/>
      <c r="Y73" s="112"/>
    </row>
    <row r="74" ht="167.5" customHeight="1">
      <c r="A74" s="120" t="str">
        <v>ACC_API_IT54</v>
      </c>
      <c r="B74" s="120" t="str">
        <v>Verify a rejected matrix change carries a Vietnamese message.</v>
      </c>
      <c r="C74" s="120" t="str">
        <v>1. Send PUT request to /api/roles/capabilities.
2. Request headers: Content-Type: application/json; Authorization: Bearer &lt;access token of quantri@trustcabinet.local&gt; (Admin, AdminUsers).
3. Query parameters: None.
4. Request JSON body: { "roleId": "&lt;id of the Admin role&gt;", "capabilities": [] }.</v>
      </c>
      <c r="D74" s="120" t="str">
        <v>1. HTTP 400 Bad Request response.
2. message is "Cấu hình phân quyền không hợp lệ." (Vietnamese text).</v>
      </c>
      <c r="E74" s="120" t="str">
        <v>1. Backend is running.
2. Signed in as quantri@trustcabinet.local (AdminUsers).</v>
      </c>
      <c r="F74" s="121" t="str">
        <v>Pending</v>
      </c>
      <c r="G74" s="122" t="str"/>
      <c r="H74" s="121" t="str"/>
      <c r="I74" s="121" t="str"/>
      <c r="J74" s="122" t="str"/>
      <c r="K74" s="121" t="str"/>
      <c r="L74" s="121" t="str"/>
      <c r="M74" s="123" t="str"/>
      <c r="N74" s="121" t="str"/>
      <c r="O74" s="124" t="str"/>
      <c r="P74" s="125"/>
      <c r="Q74" s="112"/>
      <c r="R74" s="112"/>
      <c r="S74" s="112"/>
      <c r="T74" s="112"/>
      <c r="U74" s="112"/>
      <c r="V74" s="112"/>
      <c r="W74" s="112"/>
      <c r="X74" s="112"/>
      <c r="Y74" s="112"/>
    </row>
  </sheetData>
  <mergeCells count="13">
    <mergeCell ref="B2:E2"/>
    <mergeCell ref="B3:E3"/>
    <mergeCell ref="B4:E4"/>
    <mergeCell ref="A11:O11"/>
    <mergeCell ref="A19:O19"/>
    <mergeCell ref="A25:O25"/>
    <mergeCell ref="A28:O28"/>
    <mergeCell ref="A30:O30"/>
    <mergeCell ref="A32:O32"/>
    <mergeCell ref="A41:O41"/>
    <mergeCell ref="A49:O49"/>
    <mergeCell ref="A56:O56"/>
    <mergeCell ref="A63:O63"/>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Agenda</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agenda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57</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COUNTIF(F12:F106,"Passed")</f>
        <v>0</v>
      </c>
      <c r="C6" s="114" t="n">
        <f>COUNTIF(F12:F106,"Failed")</f>
        <v>0</v>
      </c>
      <c r="D6" s="114" t="n">
        <f>B4-B6-C6-E6</f>
        <v>57</v>
      </c>
      <c r="E6" s="114" t="n">
        <f>COUNTIF(F12:F106,"Skipped")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COUNTIF(I12:I106,"Passed")</f>
        <v>0</v>
      </c>
      <c r="C7" s="114" t="n">
        <f>COUNTIF(I12:I106,"Failed")</f>
        <v>0</v>
      </c>
      <c r="D7" s="114" t="n">
        <f>B4-B7-C7-E7</f>
        <v>57</v>
      </c>
      <c r="E7" s="114" t="n">
        <f>COUNTIF(I12:I106,"Skipped")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COUNTIF(L12:L106,"Passed")</f>
        <v>0</v>
      </c>
      <c r="C8" s="114" t="n">
        <f>COUNTIF(L12:L106,"Failed")</f>
        <v>0</v>
      </c>
      <c r="D8" s="114" t="n">
        <f>B4-B8-C8-E8</f>
        <v>57</v>
      </c>
      <c r="E8" s="114" t="n">
        <f>COUNTIF(L12:L106,"Skipped")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POST /api/meetings/{id}/agenda</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53.0" customHeight="1">
      <c r="A12" s="120" t="str">
        <v>AGD_API_IT01</v>
      </c>
      <c r="B12" s="120" t="str">
        <v>Verify the Secretary can plan the agenda in Draft, WaitingApproval, Rejected, Approved, Published and InProgress.</v>
      </c>
      <c r="C12" s="120" t="str">
        <v>1. For a meeting in each of the six statuses, as its Secretary send POST /api/meetings/&lt;id&gt;/agenda with body { "title": " Báo cáo ", "presenterId": "&lt;id of the Member&gt;", "documentIds": ["&lt;id of a meeting document&gt;"] }.
2. Send GET /api/meetings/&lt;id&gt;/agenda.</v>
      </c>
      <c r="D12" s="120" t="str">
        <v>1. Each create returns HTTP 201 Created with code "MSG60" ("Tạo mục nghị sự thành công.") and Location /api/meetings/&lt;id&gt;/agenda.
2. The agenda lists one item titled "Báo cáo" (trimmed) with the presenter and the linked document.</v>
      </c>
      <c r="E12" s="120" t="str">
        <v>1. Backend is running.
2. One meeting per status, each with a Secretary, a Member and one uploaded document.</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24" customHeight="1">
      <c r="A13" s="120" t="str">
        <v>GET /api/meetings/{id}/agenda</v>
      </c>
      <c r="B13" s="120"/>
      <c r="C13" s="120"/>
      <c r="D13" s="120"/>
      <c r="E13" s="120"/>
      <c r="F13" s="121"/>
      <c r="G13" s="122"/>
      <c r="H13" s="121"/>
      <c r="I13" s="121"/>
      <c r="J13" s="122"/>
      <c r="K13" s="121"/>
      <c r="L13" s="121"/>
      <c r="M13" s="123"/>
      <c r="N13" s="121"/>
      <c r="O13" s="124"/>
      <c r="P13" s="125"/>
      <c r="Q13" s="112"/>
      <c r="R13" s="112"/>
      <c r="S13" s="112"/>
      <c r="T13" s="112"/>
      <c r="U13" s="112"/>
      <c r="V13" s="112"/>
      <c r="W13" s="112"/>
      <c r="X13" s="112"/>
      <c r="Y13" s="112"/>
    </row>
    <row r="14" ht="109.5" customHeight="1">
      <c r="A14" s="120" t="str">
        <v>AGD_API_IT02</v>
      </c>
      <c r="B14" s="120" t="str">
        <v>Verify the agenda requires sign-in, hides itself from outsiders and reports the caller's role.</v>
      </c>
      <c r="C14" s="120" t="str">
        <v>1. GET /api/meetings/&lt;id&gt;/agenda without authentication.
2. As an outsider, GET the agenda of this meeting and of a random meeting id.
3. As the Secretary, GET the agenda.</v>
      </c>
      <c r="D14" s="120" t="str">
        <v>1. Anonymous: HTTP 401 Unauthorized.
2. Outsider: HTTP 404 for both, with identical bodies.
3. Secretary: HTTP 200 OK with an empty items list and permissions for the Secretary role.</v>
      </c>
      <c r="E14" s="120" t="str">
        <v>1. Backend is running.
2. A meeting with no agenda item, a Secretary and an unrelated outsider.</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24" customHeight="1">
      <c r="A15" s="120" t="str">
        <v>POST /api/meetings/{id}/agenda</v>
      </c>
      <c r="B15" s="120"/>
      <c r="C15" s="120"/>
      <c r="D15" s="120"/>
      <c r="E15" s="120"/>
      <c r="F15" s="121"/>
      <c r="G15" s="122"/>
      <c r="H15" s="121"/>
      <c r="I15" s="121"/>
      <c r="J15" s="122"/>
      <c r="K15" s="121"/>
      <c r="L15" s="121"/>
      <c r="M15" s="123"/>
      <c r="N15" s="121"/>
      <c r="O15" s="124"/>
      <c r="P15" s="125"/>
      <c r="Q15" s="112"/>
      <c r="R15" s="112"/>
      <c r="S15" s="112"/>
      <c r="T15" s="112"/>
      <c r="U15" s="112"/>
      <c r="V15" s="112"/>
      <c r="W15" s="112"/>
      <c r="X15" s="112"/>
      <c r="Y15" s="112"/>
    </row>
    <row r="16" ht="109.5" customHeight="1">
      <c r="A16" s="120" t="str">
        <v>AGD_API_IT03</v>
      </c>
      <c r="B16" s="120" t="str">
        <v>Verify an invalid agenda body returns MSG66 and writes nothing.</v>
      </c>
      <c r="C16" s="120" t="str">
        <v>1. As the Secretary, POST /api/meetings/&lt;id&gt;/agenda with each body: presenterId "bad"; "Title" in the wrong case; title twice; an extra status; actualStartedAt; presenterName; {}; null; [].</v>
      </c>
      <c r="D16" s="120" t="str">
        <v>1. Each request returns HTTP 400 Bad Request with code "MSG66" ("Thông tin mục nghị sự không hợp lệ.") and errors.
2. No agenda item is created.</v>
      </c>
      <c r="E16" s="120" t="str">
        <v>1. Backend is running.
2. A Draft meeting with its Secretary signed in and no agenda item.</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80.5" customHeight="1">
      <c r="A17" s="120" t="str">
        <v>AGD_API_IT04</v>
      </c>
      <c r="B17" s="120" t="str">
        <v>Verify malformed Unicode in a property name returns a validation error without changes.</v>
      </c>
      <c r="C17" s="120" t="str">
        <v>1. As the Secretary, send create, update and reorder requests whose JSON property name is the lone surrogate \ud800, then \udc00.</v>
      </c>
      <c r="D17" s="120" t="str">
        <v>1. Each request returns HTTP 400 with code "MSG66" (or "MSG143" for reorder).
2. The agenda and the realtime event count are unchanged.</v>
      </c>
      <c r="E17" s="120" t="str">
        <v>1. Backend is running.
2. A meeting with agenda items and its Secretary signed in.</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167.5" customHeight="1">
      <c r="A18" s="120" t="str">
        <v>AGD_API_IT05</v>
      </c>
      <c r="B18" s="120" t="str">
        <v>Verify field limits, duplicate ids, presenter and document checks.</v>
      </c>
      <c r="C18" s="120" t="str">
        <v>1. As the Secretary, create items with: a 301-character title; a 4001-character description; an empty guest presenter id; both a guest and a member presenter; an outsider as presenter; the empty UUID as presenter; the same document twice; the empty UUID as document; a document of another meeting.</v>
      </c>
      <c r="D18" s="120" t="str">
        <v>1. Each request returns HTTP 400 with code "MSG66" naming the field (title, description, presenter or documentIds).
2. No item is created.</v>
      </c>
      <c r="E18" s="120" t="str">
        <v>1. Backend is running.
2. Two meetings with documents; the Secretary of the first is signed in.</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24" customHeight="1">
      <c r="A19" s="120" t="str">
        <v>PUT /api/meetings/{id}/agenda/{itemId}</v>
      </c>
      <c r="B19" s="120"/>
      <c r="C19" s="120"/>
      <c r="D19" s="120"/>
      <c r="E19" s="120"/>
      <c r="F19" s="121"/>
      <c r="G19" s="122"/>
      <c r="H19" s="121"/>
      <c r="I19" s="121"/>
      <c r="J19" s="122"/>
      <c r="K19" s="121"/>
      <c r="L19" s="121"/>
      <c r="M19" s="123"/>
      <c r="N19" s="121"/>
      <c r="O19" s="124"/>
      <c r="P19" s="125"/>
      <c r="Q19" s="112"/>
      <c r="R19" s="112"/>
      <c r="S19" s="112"/>
      <c r="T19" s="112"/>
      <c r="U19" s="112"/>
      <c r="V19" s="112"/>
      <c r="W19" s="112"/>
      <c r="X19" s="112"/>
      <c r="Y19" s="112"/>
    </row>
    <row r="20" ht="124.0" customHeight="1">
      <c r="A20" s="120" t="str">
        <v>AGD_API_IT06</v>
      </c>
      <c r="B20" s="120" t="str">
        <v>Verify update, delete and reorder keep fixed positions and document links.</v>
      </c>
      <c r="C20" s="120" t="str">
        <v>1. Link the document to item 2 (PUT), then link it to item 1 (PUT).
2. DELETE item 2.
3. Reorder the remaining items with PUT /agenda/order.</v>
      </c>
      <c r="D20" s="120" t="str">
        <v>1. Updates return HTTP 200 with code "MSG61"; the document moves to item 1.
2. Delete returns HTTP 200 with code "MSG62"; the document stays linked to item 1.
3. Reorder returns HTTP 200 with code "MSG63".</v>
      </c>
      <c r="E20" s="120" t="str">
        <v>1. Backend is running.
2. A Draft meeting with three agenda items and one document.</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24" customHeight="1">
      <c r="A21" s="120" t="str">
        <v>POST /api/meetings/{id}/agenda/{itemId}/current</v>
      </c>
      <c r="B21" s="120"/>
      <c r="C21" s="120"/>
      <c r="D21" s="120"/>
      <c r="E21" s="120"/>
      <c r="F21" s="121"/>
      <c r="G21" s="122"/>
      <c r="H21" s="121"/>
      <c r="I21" s="121"/>
      <c r="J21" s="122"/>
      <c r="K21" s="121"/>
      <c r="L21" s="121"/>
      <c r="M21" s="123"/>
      <c r="N21" s="121"/>
      <c r="O21" s="124"/>
      <c r="P21" s="125"/>
      <c r="Q21" s="112"/>
      <c r="R21" s="112"/>
      <c r="S21" s="112"/>
      <c r="T21" s="112"/>
      <c r="U21" s="112"/>
      <c r="V21" s="112"/>
      <c r="W21" s="112"/>
      <c r="X21" s="112"/>
      <c r="Y21" s="112"/>
    </row>
    <row r="22" ht="153.0" customHeight="1">
      <c r="A22" s="120" t="str">
        <v>AGD_API_IT07</v>
      </c>
      <c r="B22" s="120" t="str">
        <v>Verify starting and completing items follows role, state and the server clock.</v>
      </c>
      <c r="C22" s="120" t="str">
        <v>1. As the Secretary, POST /agenda/&lt;item 1&gt;/current and /agenda/&lt;item 1&gt;/complete.
2. As the Chair, start item 1, then try to start item 2.
3. As the Chair, complete item 1.</v>
      </c>
      <c r="D22" s="120" t="str">
        <v>1. Secretary: HTTP 403 with code "MSG73" for start and "MSG74" for complete.
2. Chair start: HTTP 200 with code "MSG64"; second start: HTTP 409 with code "MSG72" ("Đã có mục nghị sự đang diễn ra.").
3. Complete: HTTP 200 with code "MSG65"; actual start and end times are set by the server.</v>
      </c>
      <c r="E22" s="120" t="str">
        <v>1. Backend is running.
2. An InProgress meeting with a Chair, a Secretary and Pending items.</v>
      </c>
      <c r="F22" s="121" t="str">
        <v>Pending</v>
      </c>
      <c r="G22" s="122" t="str"/>
      <c r="H22" s="121" t="str"/>
      <c r="I22" s="121" t="str"/>
      <c r="J22" s="122" t="str"/>
      <c r="K22" s="121" t="str"/>
      <c r="L22" s="121" t="str"/>
      <c r="M22" s="123" t="str"/>
      <c r="N22" s="121" t="str"/>
      <c r="O22" s="124" t="str"/>
      <c r="P22" s="125"/>
      <c r="Q22" s="112"/>
      <c r="R22" s="112"/>
      <c r="S22" s="112"/>
      <c r="T22" s="112"/>
      <c r="U22" s="112"/>
      <c r="V22" s="112"/>
      <c r="W22" s="112"/>
      <c r="X22" s="112"/>
      <c r="Y22" s="112"/>
    </row>
    <row r="23" ht="138.5" customHeight="1">
      <c r="A23" s="120" t="str">
        <v>AGD_API_IT08</v>
      </c>
      <c r="B23" s="120" t="str">
        <v>Verify an Ended meeting's agenda is read-only and a meeting not running cannot execute items.</v>
      </c>
      <c r="C23" s="120" t="str">
        <v>1. On the Ended meeting, as the Secretary POST a new item and GET /agenda/editor-options.
2. As the Chair, start and complete an item.
3. Repeat start on a Published meeting that has not started.</v>
      </c>
      <c r="D23" s="120" t="str">
        <v>1. Planning returns HTTP 409 with code "MSG67".
2. Start returns HTTP 409 with code "MSG73"; complete returns HTTP 409 with code "MSG74".</v>
      </c>
      <c r="E23" s="120" t="str">
        <v>1. Backend is running.
2. An Ended meeting and a Published meeting with agenda items.</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24" customHeight="1">
      <c r="A24" s="120" t="str">
        <v>POST /api/meetings/{id}/agenda</v>
      </c>
      <c r="B24" s="120"/>
      <c r="C24" s="120"/>
      <c r="D24" s="120"/>
      <c r="E24" s="120"/>
      <c r="F24" s="121"/>
      <c r="G24" s="122"/>
      <c r="H24" s="121"/>
      <c r="I24" s="121"/>
      <c r="J24" s="122"/>
      <c r="K24" s="121"/>
      <c r="L24" s="121"/>
      <c r="M24" s="123"/>
      <c r="N24" s="121"/>
      <c r="O24" s="124"/>
      <c r="P24" s="125"/>
      <c r="Q24" s="112"/>
      <c r="R24" s="112"/>
      <c r="S24" s="112"/>
      <c r="T24" s="112"/>
      <c r="U24" s="112"/>
      <c r="V24" s="112"/>
      <c r="W24" s="112"/>
      <c r="X24" s="112"/>
      <c r="Y24" s="112"/>
    </row>
    <row r="25" ht="138.5" customHeight="1">
      <c r="A25" s="120" t="str">
        <v>AGD_API_IT09</v>
      </c>
      <c r="B25" s="120" t="str">
        <v>Verify each failed save rolls back and sends no realtime event.</v>
      </c>
      <c r="C25" s="120" t="str">
        <v>1. Stop PostgreSQL just before each request: create (Secretary), update, delete, reorder, start (Chair), complete (Chair).</v>
      </c>
      <c r="D25" s="120" t="str">
        <v>1. Create returns HTTP 503 with code "MSG68", update "MSG69", delete "MSG70", reorder "MSG71", start "MSG75", complete "MSG76".
2. Message: "Không lưu được thao tác nghị sự. Vui lòng thử lại.".
3. After restart the agenda is unchanged and no other viewer received an update.</v>
      </c>
      <c r="E25" s="120" t="str">
        <v>1. Backend is running.
2. An InProgress meeting with agenda items; Chair and Secretary signed in.</v>
      </c>
      <c r="F25" s="121" t="str">
        <v>Pending</v>
      </c>
      <c r="G25" s="122" t="str"/>
      <c r="H25" s="121" t="str"/>
      <c r="I25" s="121" t="str"/>
      <c r="J25" s="122" t="str"/>
      <c r="K25" s="121" t="str"/>
      <c r="L25" s="121" t="str"/>
      <c r="M25" s="123" t="str"/>
      <c r="N25" s="121" t="str"/>
      <c r="O25" s="124" t="str"/>
      <c r="P25" s="125"/>
      <c r="Q25" s="112"/>
      <c r="R25" s="112"/>
      <c r="S25" s="112"/>
      <c r="T25" s="112"/>
      <c r="U25" s="112"/>
      <c r="V25" s="112"/>
      <c r="W25" s="112"/>
      <c r="X25" s="112"/>
      <c r="Y25" s="112"/>
    </row>
    <row r="26" ht="24" customHeight="1">
      <c r="A26" s="120" t="str">
        <v>GET /api/meetings/{id}/agenda</v>
      </c>
      <c r="B26" s="120"/>
      <c r="C26" s="120"/>
      <c r="D26" s="120"/>
      <c r="E26" s="120"/>
      <c r="F26" s="121"/>
      <c r="G26" s="122"/>
      <c r="H26" s="121"/>
      <c r="I26" s="121"/>
      <c r="J26" s="122"/>
      <c r="K26" s="121"/>
      <c r="L26" s="121"/>
      <c r="M26" s="123"/>
      <c r="N26" s="121"/>
      <c r="O26" s="124"/>
      <c r="P26" s="125"/>
      <c r="Q26" s="112"/>
      <c r="R26" s="112"/>
      <c r="S26" s="112"/>
      <c r="T26" s="112"/>
      <c r="U26" s="112"/>
      <c r="V26" s="112"/>
      <c r="W26" s="112"/>
      <c r="X26" s="112"/>
      <c r="Y26" s="112"/>
    </row>
    <row r="27" ht="80.5" customHeight="1">
      <c r="A27" s="120" t="str">
        <v>AGD_API_IT10</v>
      </c>
      <c r="B27" s="120" t="str">
        <v>Verify a read failure returns MSG128 and a realtime push failure does not undo a saved change.</v>
      </c>
      <c r="C27" s="120" t="str">
        <v>1. Stop PostgreSQL and GET the agenda.
2. Restart PostgreSQL, stop the realtime hub delivery and create an item.</v>
      </c>
      <c r="D27" s="120" t="str">
        <v>1. The read returns HTTP 500 with code "MSG128" ("Không tải được chương trình nghị sự.").
2. The create returns HTTP 201 with code "MSG60" and the item is saved.</v>
      </c>
      <c r="E27" s="120" t="str">
        <v>1. Backend is running.
2. A meeting with three agenda items and its Secretary signed in.</v>
      </c>
      <c r="F27" s="121" t="str">
        <v>Pending</v>
      </c>
      <c r="G27" s="122" t="str"/>
      <c r="H27" s="121" t="str"/>
      <c r="I27" s="121" t="str"/>
      <c r="J27" s="122" t="str"/>
      <c r="K27" s="121" t="str"/>
      <c r="L27" s="121" t="str"/>
      <c r="M27" s="123" t="str"/>
      <c r="N27" s="121" t="str"/>
      <c r="O27" s="124" t="str"/>
      <c r="P27" s="125"/>
      <c r="Q27" s="112"/>
      <c r="R27" s="112"/>
      <c r="S27" s="112"/>
      <c r="T27" s="112"/>
      <c r="U27" s="112"/>
      <c r="V27" s="112"/>
      <c r="W27" s="112"/>
      <c r="X27" s="112"/>
      <c r="Y27" s="112"/>
    </row>
    <row r="28" ht="24" customHeight="1">
      <c r="A28" s="120" t="str">
        <v>POST /api/meetings/{id}/agenda</v>
      </c>
      <c r="B28" s="120"/>
      <c r="C28" s="120"/>
      <c r="D28" s="120"/>
      <c r="E28" s="120"/>
      <c r="F28" s="121"/>
      <c r="G28" s="122"/>
      <c r="H28" s="121"/>
      <c r="I28" s="121"/>
      <c r="J28" s="122"/>
      <c r="K28" s="121"/>
      <c r="L28" s="121"/>
      <c r="M28" s="123"/>
      <c r="N28" s="121"/>
      <c r="O28" s="124"/>
      <c r="P28" s="125"/>
      <c r="Q28" s="112"/>
      <c r="R28" s="112"/>
      <c r="S28" s="112"/>
      <c r="T28" s="112"/>
      <c r="U28" s="112"/>
      <c r="V28" s="112"/>
      <c r="W28" s="112"/>
      <c r="X28" s="112"/>
      <c r="Y28" s="112"/>
    </row>
    <row r="29" ht="124.0" customHeight="1">
      <c r="A29" s="120" t="str">
        <v>AGD_API_IT11</v>
      </c>
      <c r="B29" s="120" t="str">
        <v>Verify a system administrator, a presenter or another meeting's Secretary gain no agenda role.</v>
      </c>
      <c r="C29" s="120" t="str">
        <v>1. Give the Member the system Admin role and make them presenter of item 1.
2. As the Member, create an item and start item 1.
3. As the Secretary of another meeting, create an item here.</v>
      </c>
      <c r="D29" s="120" t="str">
        <v>1. Create returns HTTP 403 with code "MSG67"; start returns HTTP 403 with code "MSG73".
2. The other meeting's Secretary is refused.</v>
      </c>
      <c r="E29" s="120" t="str">
        <v>1. Backend is running.
2. An InProgress meeting with agenda items and a second meeting with its own Secretary.</v>
      </c>
      <c r="F29" s="121" t="str">
        <v>Pending</v>
      </c>
      <c r="G29" s="122" t="str"/>
      <c r="H29" s="121" t="str"/>
      <c r="I29" s="121" t="str"/>
      <c r="J29" s="122" t="str"/>
      <c r="K29" s="121" t="str"/>
      <c r="L29" s="121" t="str"/>
      <c r="M29" s="123" t="str"/>
      <c r="N29" s="121" t="str"/>
      <c r="O29" s="124" t="str"/>
      <c r="P29" s="125"/>
      <c r="Q29" s="112"/>
      <c r="R29" s="112"/>
      <c r="S29" s="112"/>
      <c r="T29" s="112"/>
      <c r="U29" s="112"/>
      <c r="V29" s="112"/>
      <c r="W29" s="112"/>
      <c r="X29" s="112"/>
      <c r="Y29" s="112"/>
    </row>
    <row r="30" ht="24" customHeight="1">
      <c r="A30" s="120" t="str">
        <v>PUT /api/meetings/{id}/agenda/order</v>
      </c>
      <c r="B30" s="120"/>
      <c r="C30" s="120"/>
      <c r="D30" s="120"/>
      <c r="E30" s="120"/>
      <c r="F30" s="121"/>
      <c r="G30" s="122"/>
      <c r="H30" s="121"/>
      <c r="I30" s="121"/>
      <c r="J30" s="122"/>
      <c r="K30" s="121"/>
      <c r="L30" s="121"/>
      <c r="M30" s="123"/>
      <c r="N30" s="121"/>
      <c r="O30" s="124"/>
      <c r="P30" s="125"/>
      <c r="Q30" s="112"/>
      <c r="R30" s="112"/>
      <c r="S30" s="112"/>
      <c r="T30" s="112"/>
      <c r="U30" s="112"/>
      <c r="V30" s="112"/>
      <c r="W30" s="112"/>
      <c r="X30" s="112"/>
      <c r="Y30" s="112"/>
    </row>
    <row r="31" ht="66.0" customHeight="1">
      <c r="A31" s="120" t="str">
        <v>AGD_API_IT12</v>
      </c>
      <c r="B31" s="120" t="str">
        <v>Verify reorder can move Done and current items and a no-op keeps the update time.</v>
      </c>
      <c r="C31" s="120" t="str">
        <v>1. Reorder four items so the Done item and the current item move.
2. Send the same order again.</v>
      </c>
      <c r="D31" s="120" t="str">
        <v>1. The first reorder returns HTTP 200 with code "MSG63".
2. The repeat changes nothing; updatedAt stays the same.</v>
      </c>
      <c r="E31" s="120" t="str">
        <v>1. Backend is running.
2. A meeting with four items: item 1 Done, item 3 InProgress.</v>
      </c>
      <c r="F31" s="121" t="str">
        <v>Pending</v>
      </c>
      <c r="G31" s="122" t="str"/>
      <c r="H31" s="121" t="str"/>
      <c r="I31" s="121" t="str"/>
      <c r="J31" s="122" t="str"/>
      <c r="K31" s="121" t="str"/>
      <c r="L31" s="121" t="str"/>
      <c r="M31" s="123" t="str"/>
      <c r="N31" s="121" t="str"/>
      <c r="O31" s="124" t="str"/>
      <c r="P31" s="125"/>
      <c r="Q31" s="112"/>
      <c r="R31" s="112"/>
      <c r="S31" s="112"/>
      <c r="T31" s="112"/>
      <c r="U31" s="112"/>
      <c r="V31" s="112"/>
      <c r="W31" s="112"/>
      <c r="X31" s="112"/>
      <c r="Y31" s="112"/>
    </row>
    <row r="32" ht="24" customHeight="1">
      <c r="A32" s="120" t="str">
        <v>PUT /api/meetings/{id}/agenda/{itemId}</v>
      </c>
      <c r="B32" s="120"/>
      <c r="C32" s="120"/>
      <c r="D32" s="120"/>
      <c r="E32" s="120"/>
      <c r="F32" s="121"/>
      <c r="G32" s="122"/>
      <c r="H32" s="121"/>
      <c r="I32" s="121"/>
      <c r="J32" s="122"/>
      <c r="K32" s="121"/>
      <c r="L32" s="121"/>
      <c r="M32" s="123"/>
      <c r="N32" s="121"/>
      <c r="O32" s="124"/>
      <c r="P32" s="125"/>
      <c r="Q32" s="112"/>
      <c r="R32" s="112"/>
      <c r="S32" s="112"/>
      <c r="T32" s="112"/>
      <c r="U32" s="112"/>
      <c r="V32" s="112"/>
      <c r="W32" s="112"/>
      <c r="X32" s="112"/>
      <c r="Y32" s="112"/>
    </row>
    <row r="33" ht="138.5" customHeight="1">
      <c r="A33" s="120" t="str">
        <v>AGD_API_IT13</v>
      </c>
      <c r="B33" s="120" t="str">
        <v>Verify unlinking a document does not delete it, and an inactive presenter must be replaced.</v>
      </c>
      <c r="C33" s="120" t="str">
        <v>1. Set item 1 presenter to the Member with the document, then save it without the document.
2. Start and complete item 1 as the Chair.
3. Deactivate the Member and update item 1 keeping the Member as presenter.</v>
      </c>
      <c r="D33" s="120" t="str">
        <v>1. Both updates return HTTP 200 with code "MSG61"; the document still exists in the meeting documents.
2. Start and complete succeed (MSG64, MSG65).
3. Keeping an inactive presenter is refused with code "MSG66".</v>
      </c>
      <c r="E33" s="120" t="str">
        <v>1. Backend is running.
2. An InProgress meeting with a Chair, a Secretary, a Member and a document.</v>
      </c>
      <c r="F33" s="121" t="str">
        <v>Pending</v>
      </c>
      <c r="G33" s="122" t="str"/>
      <c r="H33" s="121" t="str"/>
      <c r="I33" s="121" t="str"/>
      <c r="J33" s="122" t="str"/>
      <c r="K33" s="121" t="str"/>
      <c r="L33" s="121" t="str"/>
      <c r="M33" s="123" t="str"/>
      <c r="N33" s="121" t="str"/>
      <c r="O33" s="124" t="str"/>
      <c r="P33" s="125"/>
      <c r="Q33" s="112"/>
      <c r="R33" s="112"/>
      <c r="S33" s="112"/>
      <c r="T33" s="112"/>
      <c r="U33" s="112"/>
      <c r="V33" s="112"/>
      <c r="W33" s="112"/>
      <c r="X33" s="112"/>
      <c r="Y33" s="112"/>
    </row>
    <row r="34" ht="24" customHeight="1">
      <c r="A34" s="120" t="str">
        <v>DELETE /api/meetings/{id}/agenda/{itemId}</v>
      </c>
      <c r="B34" s="120"/>
      <c r="C34" s="120"/>
      <c r="D34" s="120"/>
      <c r="E34" s="120"/>
      <c r="F34" s="121"/>
      <c r="G34" s="122"/>
      <c r="H34" s="121"/>
      <c r="I34" s="121"/>
      <c r="J34" s="122"/>
      <c r="K34" s="121"/>
      <c r="L34" s="121"/>
      <c r="M34" s="123"/>
      <c r="N34" s="121"/>
      <c r="O34" s="124"/>
      <c r="P34" s="125"/>
      <c r="Q34" s="112"/>
      <c r="R34" s="112"/>
      <c r="S34" s="112"/>
      <c r="T34" s="112"/>
      <c r="U34" s="112"/>
      <c r="V34" s="112"/>
      <c r="W34" s="112"/>
      <c r="X34" s="112"/>
      <c r="Y34" s="112"/>
    </row>
    <row r="35" ht="80.5" customHeight="1">
      <c r="A35" s="120" t="str">
        <v>AGD_API_IT14</v>
      </c>
      <c r="B35" s="120" t="str">
        <v>Verify a delete blocked by a database constraint keeps notes and the agenda.</v>
      </c>
      <c r="C35" s="120" t="str">
        <v>1. Add a meeting note attached to item 1 and another note for the meeting.
2. As the Secretary, DELETE /agenda/&lt;item 1&gt;.</v>
      </c>
      <c r="D35" s="120" t="str">
        <v>1. HTTP 503 with code "MSG70".
2. Both notes and the agenda item remain.</v>
      </c>
      <c r="E35" s="120" t="str">
        <v>1. Backend is running.
2. A meeting with agenda items on PostgreSQL.</v>
      </c>
      <c r="F35" s="121" t="str">
        <v>Pending</v>
      </c>
      <c r="G35" s="122" t="str"/>
      <c r="H35" s="121" t="str"/>
      <c r="I35" s="121" t="str"/>
      <c r="J35" s="122" t="str"/>
      <c r="K35" s="121" t="str"/>
      <c r="L35" s="121" t="str"/>
      <c r="M35" s="123" t="str"/>
      <c r="N35" s="121" t="str"/>
      <c r="O35" s="124" t="str"/>
      <c r="P35" s="125"/>
      <c r="Q35" s="112"/>
      <c r="R35" s="112"/>
      <c r="S35" s="112"/>
      <c r="T35" s="112"/>
      <c r="U35" s="112"/>
      <c r="V35" s="112"/>
      <c r="W35" s="112"/>
      <c r="X35" s="112"/>
      <c r="Y35" s="112"/>
    </row>
    <row r="36" ht="24" customHeight="1">
      <c r="A36" s="120" t="str">
        <v>POST /api/meetings/{id}/agenda/{itemId}/complete</v>
      </c>
      <c r="B36" s="120"/>
      <c r="C36" s="120"/>
      <c r="D36" s="120"/>
      <c r="E36" s="120"/>
      <c r="F36" s="121"/>
      <c r="G36" s="122"/>
      <c r="H36" s="121"/>
      <c r="I36" s="121"/>
      <c r="J36" s="122"/>
      <c r="K36" s="121"/>
      <c r="L36" s="121"/>
      <c r="M36" s="123"/>
      <c r="N36" s="121"/>
      <c r="O36" s="124"/>
      <c r="P36" s="125"/>
      <c r="Q36" s="112"/>
      <c r="R36" s="112"/>
      <c r="S36" s="112"/>
      <c r="T36" s="112"/>
      <c r="U36" s="112"/>
      <c r="V36" s="112"/>
      <c r="W36" s="112"/>
      <c r="X36" s="112"/>
      <c r="Y36" s="112"/>
    </row>
    <row r="37" ht="80.5" customHeight="1">
      <c r="A37" s="120" t="str">
        <v>AGD_API_IT15</v>
      </c>
      <c r="B37" s="120" t="str">
        <v>Verify completing with an invalid actual time fails without changing the evidence.</v>
      </c>
      <c r="C37" s="120" t="str">
        <v>1. Mark item 1 InProgress without an actual start time (test data).
2. As the Chair, POST /agenda/&lt;item 1&gt;/complete.</v>
      </c>
      <c r="D37" s="120" t="str">
        <v>1. HTTP 503 with code "MSG76".
2. The item stays InProgress with no actual end time.</v>
      </c>
      <c r="E37" s="120" t="str">
        <v>1. Backend is running.
2. An InProgress meeting on PostgreSQL.</v>
      </c>
      <c r="F37" s="121" t="str">
        <v>Pending</v>
      </c>
      <c r="G37" s="122" t="str"/>
      <c r="H37" s="121" t="str"/>
      <c r="I37" s="121" t="str"/>
      <c r="J37" s="122" t="str"/>
      <c r="K37" s="121" t="str"/>
      <c r="L37" s="121" t="str"/>
      <c r="M37" s="123" t="str"/>
      <c r="N37" s="121" t="str"/>
      <c r="O37" s="124" t="str"/>
      <c r="P37" s="125"/>
      <c r="Q37" s="112"/>
      <c r="R37" s="112"/>
      <c r="S37" s="112"/>
      <c r="T37" s="112"/>
      <c r="U37" s="112"/>
      <c r="V37" s="112"/>
      <c r="W37" s="112"/>
      <c r="X37" s="112"/>
      <c r="Y37" s="112"/>
    </row>
    <row r="38" ht="24" customHeight="1">
      <c r="A38" s="120" t="str">
        <v>POST /api/meetings/{id}/agenda</v>
      </c>
      <c r="B38" s="120"/>
      <c r="C38" s="120"/>
      <c r="D38" s="120"/>
      <c r="E38" s="120"/>
      <c r="F38" s="121"/>
      <c r="G38" s="122"/>
      <c r="H38" s="121"/>
      <c r="I38" s="121"/>
      <c r="J38" s="122"/>
      <c r="K38" s="121"/>
      <c r="L38" s="121"/>
      <c r="M38" s="123"/>
      <c r="N38" s="121"/>
      <c r="O38" s="124"/>
      <c r="P38" s="125"/>
      <c r="Q38" s="112"/>
      <c r="R38" s="112"/>
      <c r="S38" s="112"/>
      <c r="T38" s="112"/>
      <c r="U38" s="112"/>
      <c r="V38" s="112"/>
      <c r="W38" s="112"/>
      <c r="X38" s="112"/>
      <c r="Y38" s="112"/>
    </row>
    <row r="39" ht="109.5" customHeight="1">
      <c r="A39" s="120" t="str">
        <v>AGD_API_IT16</v>
      </c>
      <c r="B39" s="120" t="str">
        <v>Verify a failure linking several documents rolls back the new item.</v>
      </c>
      <c r="C39" s="120" t="str">
        <v>1. Add a database trigger that fails when the document "Injected link failure" is linked.
2. As the Secretary, create an item linking a normal document and that document.</v>
      </c>
      <c r="D39" s="120" t="str">
        <v>1. HTTP 503 with code "MSG68".
2. No new item and no document link is saved.</v>
      </c>
      <c r="E39" s="120" t="str">
        <v>1. Backend is running.
2. A meeting with two documents on PostgreSQL.</v>
      </c>
      <c r="F39" s="121" t="str">
        <v>Pending</v>
      </c>
      <c r="G39" s="122" t="str"/>
      <c r="H39" s="121" t="str"/>
      <c r="I39" s="121" t="str"/>
      <c r="J39" s="122" t="str"/>
      <c r="K39" s="121" t="str"/>
      <c r="L39" s="121" t="str"/>
      <c r="M39" s="123" t="str"/>
      <c r="N39" s="121" t="str"/>
      <c r="O39" s="124" t="str"/>
      <c r="P39" s="125"/>
      <c r="Q39" s="112"/>
      <c r="R39" s="112"/>
      <c r="S39" s="112"/>
      <c r="T39" s="112"/>
      <c r="U39" s="112"/>
      <c r="V39" s="112"/>
      <c r="W39" s="112"/>
      <c r="X39" s="112"/>
      <c r="Y39" s="112"/>
    </row>
    <row r="40" ht="24" customHeight="1">
      <c r="A40" s="120" t="str">
        <v>POST /api/meetings/{id}/agenda/{itemId}/current</v>
      </c>
      <c r="B40" s="120"/>
      <c r="C40" s="120"/>
      <c r="D40" s="120"/>
      <c r="E40" s="120"/>
      <c r="F40" s="121"/>
      <c r="G40" s="122"/>
      <c r="H40" s="121"/>
      <c r="I40" s="121"/>
      <c r="J40" s="122"/>
      <c r="K40" s="121"/>
      <c r="L40" s="121"/>
      <c r="M40" s="123"/>
      <c r="N40" s="121"/>
      <c r="O40" s="124"/>
      <c r="P40" s="125"/>
      <c r="Q40" s="112"/>
      <c r="R40" s="112"/>
      <c r="S40" s="112"/>
      <c r="T40" s="112"/>
      <c r="U40" s="112"/>
      <c r="V40" s="112"/>
      <c r="W40" s="112"/>
      <c r="X40" s="112"/>
      <c r="Y40" s="112"/>
    </row>
    <row r="41" ht="66.0" customHeight="1">
      <c r="A41" s="120" t="str">
        <v>AGD_API_IT17</v>
      </c>
      <c r="B41" s="120" t="str">
        <v>Verify ending a meeting rolls back the agenda change and the history when the save fails.</v>
      </c>
      <c r="C41" s="120" t="str">
        <v>1. As the Chair, start item 1.
2. End the meeting while the database fails on save.</v>
      </c>
      <c r="D41" s="120" t="str">
        <v>1. The end is refused.
2. Item 1 stays InProgress and no end history row is written.</v>
      </c>
      <c r="E41" s="120" t="str">
        <v>1. Backend is running.
2. An InProgress meeting on PostgreSQL.</v>
      </c>
      <c r="F41" s="121" t="str">
        <v>Pending</v>
      </c>
      <c r="G41" s="122" t="str"/>
      <c r="H41" s="121" t="str"/>
      <c r="I41" s="121" t="str"/>
      <c r="J41" s="122" t="str"/>
      <c r="K41" s="121" t="str"/>
      <c r="L41" s="121" t="str"/>
      <c r="M41" s="123" t="str"/>
      <c r="N41" s="121" t="str"/>
      <c r="O41" s="124" t="str"/>
      <c r="P41" s="125"/>
      <c r="Q41" s="112"/>
      <c r="R41" s="112"/>
      <c r="S41" s="112"/>
      <c r="T41" s="112"/>
      <c r="U41" s="112"/>
      <c r="V41" s="112"/>
      <c r="W41" s="112"/>
      <c r="X41" s="112"/>
      <c r="Y41" s="112"/>
    </row>
    <row r="42" ht="24" customHeight="1">
      <c r="A42" s="120" t="str">
        <v>GET /api/meetings/{id}/agenda</v>
      </c>
      <c r="B42" s="120"/>
      <c r="C42" s="120"/>
      <c r="D42" s="120"/>
      <c r="E42" s="120"/>
      <c r="F42" s="121"/>
      <c r="G42" s="122"/>
      <c r="H42" s="121"/>
      <c r="I42" s="121"/>
      <c r="J42" s="122"/>
      <c r="K42" s="121"/>
      <c r="L42" s="121"/>
      <c r="M42" s="123"/>
      <c r="N42" s="121"/>
      <c r="O42" s="124"/>
      <c r="P42" s="125"/>
      <c r="Q42" s="112"/>
      <c r="R42" s="112"/>
      <c r="S42" s="112"/>
      <c r="T42" s="112"/>
      <c r="U42" s="112"/>
      <c r="V42" s="112"/>
      <c r="W42" s="112"/>
      <c r="X42" s="112"/>
      <c r="Y42" s="112"/>
    </row>
    <row r="43" ht="66.0" customHeight="1">
      <c r="A43" s="120" t="str">
        <v>AGD_API_IT18</v>
      </c>
      <c r="B43" s="120" t="str">
        <v>Verify a cancelled request is cancelled, not reported as a business error.</v>
      </c>
      <c r="C43" s="120" t="str">
        <v>1. Pause PostgreSQL, send GET /agenda and POST /agenda, and cancel both in the client before they answer.</v>
      </c>
      <c r="D43" s="120" t="str">
        <v>1. The requests are cancelled; the backend log shows cancellation, not a failure code.</v>
      </c>
      <c r="E43" s="120" t="str">
        <v>1. Backend is running.
2. A meeting with agenda items and its Secretary signed in.</v>
      </c>
      <c r="F43" s="121" t="str">
        <v>Pending</v>
      </c>
      <c r="G43" s="122" t="str"/>
      <c r="H43" s="121" t="str"/>
      <c r="I43" s="121" t="str"/>
      <c r="J43" s="122" t="str"/>
      <c r="K43" s="121" t="str"/>
      <c r="L43" s="121" t="str"/>
      <c r="M43" s="123" t="str"/>
      <c r="N43" s="121" t="str"/>
      <c r="O43" s="124" t="str"/>
      <c r="P43" s="125"/>
      <c r="Q43" s="112"/>
      <c r="R43" s="112"/>
      <c r="S43" s="112"/>
      <c r="T43" s="112"/>
      <c r="U43" s="112"/>
      <c r="V43" s="112"/>
      <c r="W43" s="112"/>
      <c r="X43" s="112"/>
      <c r="Y43" s="112"/>
    </row>
    <row r="44" ht="24" customHeight="1">
      <c r="A44" s="120" t="str">
        <v>POST /api/meetings/{id}/agenda</v>
      </c>
      <c r="B44" s="120"/>
      <c r="C44" s="120"/>
      <c r="D44" s="120"/>
      <c r="E44" s="120"/>
      <c r="F44" s="121"/>
      <c r="G44" s="122"/>
      <c r="H44" s="121"/>
      <c r="I44" s="121"/>
      <c r="J44" s="122"/>
      <c r="K44" s="121"/>
      <c r="L44" s="121"/>
      <c r="M44" s="123"/>
      <c r="N44" s="121"/>
      <c r="O44" s="124"/>
      <c r="P44" s="125"/>
      <c r="Q44" s="112"/>
      <c r="R44" s="112"/>
      <c r="S44" s="112"/>
      <c r="T44" s="112"/>
      <c r="U44" s="112"/>
      <c r="V44" s="112"/>
      <c r="W44" s="112"/>
      <c r="X44" s="112"/>
      <c r="Y44" s="112"/>
    </row>
    <row r="45" ht="109.5" customHeight="1">
      <c r="A45" s="120" t="str">
        <v>AGD_API_IT19</v>
      </c>
      <c r="B45" s="120" t="str">
        <v>Verify a slow realtime publish after commit does not lose or misreport the saved item.</v>
      </c>
      <c r="C45" s="120" t="str">
        <v>1. Slow down the realtime hub so publishing takes longer than the request timeout.
2. As the Secretary, create the item "Committed".
3. Repeat with the publish failing after the timeout.</v>
      </c>
      <c r="D45" s="120" t="str">
        <v>1. The item "Committed" is saved in both runs.
2. The response reports success; the late failure is only logged.</v>
      </c>
      <c r="E45" s="120" t="str">
        <v>1. Backend is running.
2. A meeting with no agenda item on PostgreSQL.</v>
      </c>
      <c r="F45" s="121" t="str">
        <v>Pending</v>
      </c>
      <c r="G45" s="122" t="str"/>
      <c r="H45" s="121" t="str"/>
      <c r="I45" s="121" t="str"/>
      <c r="J45" s="122" t="str"/>
      <c r="K45" s="121" t="str"/>
      <c r="L45" s="121" t="str"/>
      <c r="M45" s="123" t="str"/>
      <c r="N45" s="121" t="str"/>
      <c r="O45" s="124" t="str"/>
      <c r="P45" s="125"/>
      <c r="Q45" s="112"/>
      <c r="R45" s="112"/>
      <c r="S45" s="112"/>
      <c r="T45" s="112"/>
      <c r="U45" s="112"/>
      <c r="V45" s="112"/>
      <c r="W45" s="112"/>
      <c r="X45" s="112"/>
      <c r="Y45" s="112"/>
    </row>
    <row r="46" ht="24" customHeight="1">
      <c r="A46" s="120" t="str">
        <v>Development agenda data</v>
      </c>
      <c r="B46" s="120"/>
      <c r="C46" s="120"/>
      <c r="D46" s="120"/>
      <c r="E46" s="120"/>
      <c r="F46" s="121"/>
      <c r="G46" s="122"/>
      <c r="H46" s="121"/>
      <c r="I46" s="121"/>
      <c r="J46" s="122"/>
      <c r="K46" s="121"/>
      <c r="L46" s="121"/>
      <c r="M46" s="123"/>
      <c r="N46" s="121"/>
      <c r="O46" s="124"/>
      <c r="P46" s="125"/>
      <c r="Q46" s="112"/>
      <c r="R46" s="112"/>
      <c r="S46" s="112"/>
      <c r="T46" s="112"/>
      <c r="U46" s="112"/>
      <c r="V46" s="112"/>
      <c r="W46" s="112"/>
      <c r="X46" s="112"/>
      <c r="Y46" s="112"/>
    </row>
    <row r="47" ht="109.5" customHeight="1">
      <c r="A47" s="120" t="str">
        <v>AGD_API_IT20</v>
      </c>
      <c r="B47" s="120" t="str">
        <v>Verify the agenda demo data only inserts and survives user edits and deleted items.</v>
      </c>
      <c r="C47" s="120" t="str">
        <v>1. Start the backend on a development database with the demo accounts.
2. Rename the running demo meeting to "User edit" and delete its fourth agenda item.
3. Restart the backend.</v>
      </c>
      <c r="D47" s="120" t="str">
        <v>1. After restart the title is still "User edit" and the deleted item is not recreated.</v>
      </c>
      <c r="E47" s="120" t="str">
        <v>1. Backend is running.
2. Development database with thuky, chutoa and thanhvien.</v>
      </c>
      <c r="F47" s="121" t="str">
        <v>Pending</v>
      </c>
      <c r="G47" s="122" t="str"/>
      <c r="H47" s="121" t="str"/>
      <c r="I47" s="121" t="str"/>
      <c r="J47" s="122" t="str"/>
      <c r="K47" s="121" t="str"/>
      <c r="L47" s="121" t="str"/>
      <c r="M47" s="123" t="str"/>
      <c r="N47" s="121" t="str"/>
      <c r="O47" s="124" t="str"/>
      <c r="P47" s="125"/>
      <c r="Q47" s="112"/>
      <c r="R47" s="112"/>
      <c r="S47" s="112"/>
      <c r="T47" s="112"/>
      <c r="U47" s="112"/>
      <c r="V47" s="112"/>
      <c r="W47" s="112"/>
      <c r="X47" s="112"/>
      <c r="Y47" s="112"/>
    </row>
    <row r="48" ht="24" customHeight="1">
      <c r="A48" s="120" t="str">
        <v>POST /api/meetings/{id}/agenda</v>
      </c>
      <c r="B48" s="120"/>
      <c r="C48" s="120"/>
      <c r="D48" s="120"/>
      <c r="E48" s="120"/>
      <c r="F48" s="121"/>
      <c r="G48" s="122"/>
      <c r="H48" s="121"/>
      <c r="I48" s="121"/>
      <c r="J48" s="122"/>
      <c r="K48" s="121"/>
      <c r="L48" s="121"/>
      <c r="M48" s="123"/>
      <c r="N48" s="121"/>
      <c r="O48" s="124"/>
      <c r="P48" s="125"/>
      <c r="Q48" s="112"/>
      <c r="R48" s="112"/>
      <c r="S48" s="112"/>
      <c r="T48" s="112"/>
      <c r="U48" s="112"/>
      <c r="V48" s="112"/>
      <c r="W48" s="112"/>
      <c r="X48" s="112"/>
      <c r="Y48" s="112"/>
    </row>
    <row r="49" ht="66.0" customHeight="1">
      <c r="A49" s="120" t="str">
        <v>AGD_API_IT21</v>
      </c>
      <c r="B49" s="120" t="str">
        <v>Verify simultaneous creates get distinct positions.</v>
      </c>
      <c r="C49" s="120" t="str">
        <v>1. As the Secretary, send 8 POST /agenda requests at the same time (Postman runner, parallel).</v>
      </c>
      <c r="D49" s="120" t="str">
        <v>1. All 8 return HTTP 201.
2. The agenda has 11 items with 11 distinct positions 1 to 11.</v>
      </c>
      <c r="E49" s="120" t="str">
        <v>1. Backend is running.
2. A meeting with three agenda items.</v>
      </c>
      <c r="F49" s="121" t="str">
        <v>Pending</v>
      </c>
      <c r="G49" s="122" t="str"/>
      <c r="H49" s="121" t="str"/>
      <c r="I49" s="121" t="str"/>
      <c r="J49" s="122" t="str"/>
      <c r="K49" s="121" t="str"/>
      <c r="L49" s="121" t="str"/>
      <c r="M49" s="123" t="str"/>
      <c r="N49" s="121" t="str"/>
      <c r="O49" s="124" t="str"/>
      <c r="P49" s="125"/>
      <c r="Q49" s="112"/>
      <c r="R49" s="112"/>
      <c r="S49" s="112"/>
      <c r="T49" s="112"/>
      <c r="U49" s="112"/>
      <c r="V49" s="112"/>
      <c r="W49" s="112"/>
      <c r="X49" s="112"/>
      <c r="Y49" s="112"/>
    </row>
    <row r="50" ht="24" customHeight="1">
      <c r="A50" s="120" t="str">
        <v>POST /api/meetings/{id}/agenda/{itemId}/current</v>
      </c>
      <c r="B50" s="120"/>
      <c r="C50" s="120"/>
      <c r="D50" s="120"/>
      <c r="E50" s="120"/>
      <c r="F50" s="121"/>
      <c r="G50" s="122"/>
      <c r="H50" s="121"/>
      <c r="I50" s="121"/>
      <c r="J50" s="122"/>
      <c r="K50" s="121"/>
      <c r="L50" s="121"/>
      <c r="M50" s="123"/>
      <c r="N50" s="121"/>
      <c r="O50" s="124"/>
      <c r="P50" s="125"/>
      <c r="Q50" s="112"/>
      <c r="R50" s="112"/>
      <c r="S50" s="112"/>
      <c r="T50" s="112"/>
      <c r="U50" s="112"/>
      <c r="V50" s="112"/>
      <c r="W50" s="112"/>
      <c r="X50" s="112"/>
      <c r="Y50" s="112"/>
    </row>
    <row r="51" ht="66.0" customHeight="1">
      <c r="A51" s="120" t="str">
        <v>AGD_API_IT22</v>
      </c>
      <c r="B51" s="120" t="str">
        <v>Verify two simultaneous starts have one winner and one current item.</v>
      </c>
      <c r="C51" s="120" t="str">
        <v>1. As the Chair, send two start requests at the same time, for the same item and then for two different items.</v>
      </c>
      <c r="D51" s="120" t="str">
        <v>1. One request returns HTTP 200 and the other HTTP 409.
2. Exactly one item is InProgress.</v>
      </c>
      <c r="E51" s="120" t="str">
        <v>1. Backend is running.
2. An InProgress meeting with Pending items.</v>
      </c>
      <c r="F51" s="121" t="str">
        <v>Pending</v>
      </c>
      <c r="G51" s="122" t="str"/>
      <c r="H51" s="121" t="str"/>
      <c r="I51" s="121" t="str"/>
      <c r="J51" s="122" t="str"/>
      <c r="K51" s="121" t="str"/>
      <c r="L51" s="121" t="str"/>
      <c r="M51" s="123" t="str"/>
      <c r="N51" s="121" t="str"/>
      <c r="O51" s="124" t="str"/>
      <c r="P51" s="125"/>
      <c r="Q51" s="112"/>
      <c r="R51" s="112"/>
      <c r="S51" s="112"/>
      <c r="T51" s="112"/>
      <c r="U51" s="112"/>
      <c r="V51" s="112"/>
      <c r="W51" s="112"/>
      <c r="X51" s="112"/>
      <c r="Y51" s="112"/>
    </row>
    <row r="52" ht="24" customHeight="1">
      <c r="A52" s="120" t="str">
        <v>PUT /api/meetings/{id}/agenda/order</v>
      </c>
      <c r="B52" s="120"/>
      <c r="C52" s="120"/>
      <c r="D52" s="120"/>
      <c r="E52" s="120"/>
      <c r="F52" s="121"/>
      <c r="G52" s="122"/>
      <c r="H52" s="121"/>
      <c r="I52" s="121"/>
      <c r="J52" s="122"/>
      <c r="K52" s="121"/>
      <c r="L52" s="121"/>
      <c r="M52" s="123"/>
      <c r="N52" s="121"/>
      <c r="O52" s="124"/>
      <c r="P52" s="125"/>
      <c r="Q52" s="112"/>
      <c r="R52" s="112"/>
      <c r="S52" s="112"/>
      <c r="T52" s="112"/>
      <c r="U52" s="112"/>
      <c r="V52" s="112"/>
      <c r="W52" s="112"/>
      <c r="X52" s="112"/>
      <c r="Y52" s="112"/>
    </row>
    <row r="53" ht="80.5" customHeight="1">
      <c r="A53" s="120" t="str">
        <v>AGD_API_IT23</v>
      </c>
      <c r="B53" s="120" t="str">
        <v>Verify two reorders from the same snapshot do not silently overwrite each other.</v>
      </c>
      <c r="C53" s="120" t="str">
        <v>1. GET the agenda and keep orderVersion.
2. Send two PUT /agenda/order at once with that orderVersion and different orders.</v>
      </c>
      <c r="D53" s="120" t="str">
        <v>1. One returns HTTP 200 with code "MSG63".
2. The other returns HTTP 409 with code "MSG143" ("Chương trình nghị sự đã thay đổi. Vui lòng tải lại.").</v>
      </c>
      <c r="E53" s="120" t="str">
        <v>1. Backend is running.
2. A meeting with three agenda items and its Secretary signed in.</v>
      </c>
      <c r="F53" s="121" t="str">
        <v>Pending</v>
      </c>
      <c r="G53" s="122" t="str"/>
      <c r="H53" s="121" t="str"/>
      <c r="I53" s="121" t="str"/>
      <c r="J53" s="122" t="str"/>
      <c r="K53" s="121" t="str"/>
      <c r="L53" s="121" t="str"/>
      <c r="M53" s="123" t="str"/>
      <c r="N53" s="121" t="str"/>
      <c r="O53" s="124" t="str"/>
      <c r="P53" s="125"/>
      <c r="Q53" s="112"/>
      <c r="R53" s="112"/>
      <c r="S53" s="112"/>
      <c r="T53" s="112"/>
      <c r="U53" s="112"/>
      <c r="V53" s="112"/>
      <c r="W53" s="112"/>
      <c r="X53" s="112"/>
      <c r="Y53" s="112"/>
    </row>
    <row r="54" ht="24" customHeight="1">
      <c r="A54" s="120" t="str">
        <v>PUT /api/meetings/{id}/agenda/{itemId}</v>
      </c>
      <c r="B54" s="120"/>
      <c r="C54" s="120"/>
      <c r="D54" s="120"/>
      <c r="E54" s="120"/>
      <c r="F54" s="121"/>
      <c r="G54" s="122"/>
      <c r="H54" s="121"/>
      <c r="I54" s="121"/>
      <c r="J54" s="122"/>
      <c r="K54" s="121"/>
      <c r="L54" s="121"/>
      <c r="M54" s="123"/>
      <c r="N54" s="121"/>
      <c r="O54" s="124"/>
      <c r="P54" s="125"/>
      <c r="Q54" s="112"/>
      <c r="R54" s="112"/>
      <c r="S54" s="112"/>
      <c r="T54" s="112"/>
      <c r="U54" s="112"/>
      <c r="V54" s="112"/>
      <c r="W54" s="112"/>
      <c r="X54" s="112"/>
      <c r="Y54" s="112"/>
    </row>
    <row r="55" ht="167.5" customHeight="1">
      <c r="A55" s="120" t="str">
        <v>AGD_API_IT24</v>
      </c>
      <c r="B55" s="120" t="str">
        <v>Verify an update waiting for the meeting lock rechecks state and role.</v>
      </c>
      <c r="C55" s="120" t="str">
        <v>1. In psql, lock the meeting row (SELECT ... FOR UPDATE) and keep the transaction open.
2. As the Secretary, send PUT /agenda/&lt;item 1&gt; with title "Updated after lock".
3. Inside the open transaction, in turn: start the item, end the meeting, change the Secretary's role, remove the Secretary; then commit.</v>
      </c>
      <c r="D55" s="120" t="str">
        <v>1. Item started: the update succeeds (HTTP 200, "MSG61").
2. Meeting ended: HTTP 409 with code "MSG67".
3. Role changed: HTTP 403 with code "MSG67".
4. Secretary removed: HTTP 404.</v>
      </c>
      <c r="E55" s="120" t="str">
        <v>1. Backend is running.
2. An InProgress meeting on PostgreSQL.</v>
      </c>
      <c r="F55" s="121" t="str">
        <v>Pending</v>
      </c>
      <c r="G55" s="122" t="str"/>
      <c r="H55" s="121" t="str"/>
      <c r="I55" s="121" t="str"/>
      <c r="J55" s="122" t="str"/>
      <c r="K55" s="121" t="str"/>
      <c r="L55" s="121" t="str"/>
      <c r="M55" s="123" t="str"/>
      <c r="N55" s="121" t="str"/>
      <c r="O55" s="124" t="str"/>
      <c r="P55" s="125"/>
      <c r="Q55" s="112"/>
      <c r="R55" s="112"/>
      <c r="S55" s="112"/>
      <c r="T55" s="112"/>
      <c r="U55" s="112"/>
      <c r="V55" s="112"/>
      <c r="W55" s="112"/>
      <c r="X55" s="112"/>
      <c r="Y55" s="112"/>
    </row>
    <row r="56" ht="24" customHeight="1">
      <c r="A56" s="120" t="str">
        <v>PUT /api/meetings/{id}/agenda/order</v>
      </c>
      <c r="B56" s="120"/>
      <c r="C56" s="120"/>
      <c r="D56" s="120"/>
      <c r="E56" s="120"/>
      <c r="F56" s="121"/>
      <c r="G56" s="122"/>
      <c r="H56" s="121"/>
      <c r="I56" s="121"/>
      <c r="J56" s="122"/>
      <c r="K56" s="121"/>
      <c r="L56" s="121"/>
      <c r="M56" s="123"/>
      <c r="N56" s="121"/>
      <c r="O56" s="124"/>
      <c r="P56" s="125"/>
      <c r="Q56" s="112"/>
      <c r="R56" s="112"/>
      <c r="S56" s="112"/>
      <c r="T56" s="112"/>
      <c r="U56" s="112"/>
      <c r="V56" s="112"/>
      <c r="W56" s="112"/>
      <c r="X56" s="112"/>
      <c r="Y56" s="112"/>
    </row>
    <row r="57" ht="124.0" customHeight="1">
      <c r="A57" s="120" t="str">
        <v>AGD_API_IT25</v>
      </c>
      <c r="B57" s="120" t="str">
        <v>Verify a reorder waiting behind a change to the item set detects the stale snapshot.</v>
      </c>
      <c r="C57" s="120" t="str">
        <v>1. GET the agenda; lock the meeting row in psql.
2. Send PUT /agenda/order with the snapshot's orderVersion.
3. Inside the lock, start an item / delete an item / create an item, then commit.</v>
      </c>
      <c r="D57" s="120" t="str">
        <v>1. The reorder returns HTTP 409 with code "MSG143" in each case.</v>
      </c>
      <c r="E57" s="120" t="str">
        <v>1. Backend is running.
2. A meeting with three agenda items on PostgreSQL.</v>
      </c>
      <c r="F57" s="121" t="str">
        <v>Pending</v>
      </c>
      <c r="G57" s="122" t="str"/>
      <c r="H57" s="121" t="str"/>
      <c r="I57" s="121" t="str"/>
      <c r="J57" s="122" t="str"/>
      <c r="K57" s="121" t="str"/>
      <c r="L57" s="121" t="str"/>
      <c r="M57" s="123" t="str"/>
      <c r="N57" s="121" t="str"/>
      <c r="O57" s="124" t="str"/>
      <c r="P57" s="125"/>
      <c r="Q57" s="112"/>
      <c r="R57" s="112"/>
      <c r="S57" s="112"/>
      <c r="T57" s="112"/>
      <c r="U57" s="112"/>
      <c r="V57" s="112"/>
      <c r="W57" s="112"/>
      <c r="X57" s="112"/>
      <c r="Y57" s="112"/>
    </row>
    <row r="58" ht="24" customHeight="1">
      <c r="A58" s="120" t="str">
        <v>POST /api/meetings/{id}/agenda/{itemId}/current</v>
      </c>
      <c r="B58" s="120"/>
      <c r="C58" s="120"/>
      <c r="D58" s="120"/>
      <c r="E58" s="120"/>
      <c r="F58" s="121"/>
      <c r="G58" s="122"/>
      <c r="H58" s="121"/>
      <c r="I58" s="121"/>
      <c r="J58" s="122"/>
      <c r="K58" s="121"/>
      <c r="L58" s="121"/>
      <c r="M58" s="123"/>
      <c r="N58" s="121"/>
      <c r="O58" s="124"/>
      <c r="P58" s="125"/>
      <c r="Q58" s="112"/>
      <c r="R58" s="112"/>
      <c r="S58" s="112"/>
      <c r="T58" s="112"/>
      <c r="U58" s="112"/>
      <c r="V58" s="112"/>
      <c r="W58" s="112"/>
      <c r="X58" s="112"/>
      <c r="Y58" s="112"/>
    </row>
    <row r="59" ht="80.5" customHeight="1">
      <c r="A59" s="120" t="str">
        <v>AGD_API_IT26</v>
      </c>
      <c r="B59" s="120" t="str">
        <v>Verify ending the meeting saves the agenda only together with the meeting end.</v>
      </c>
      <c r="C59" s="120" t="str">
        <v>1. As the Chair, start item 1.
2. End the meeting, then roll the end back (database failure).</v>
      </c>
      <c r="D59" s="120" t="str">
        <v>1. Item 1 is closed only when the meeting end is saved; after the rollback it is still InProgress.</v>
      </c>
      <c r="E59" s="120" t="str">
        <v>1. Backend is running.
2. An InProgress meeting on PostgreSQL.</v>
      </c>
      <c r="F59" s="121" t="str">
        <v>Pending</v>
      </c>
      <c r="G59" s="122" t="str"/>
      <c r="H59" s="121" t="str"/>
      <c r="I59" s="121" t="str"/>
      <c r="J59" s="122" t="str"/>
      <c r="K59" s="121" t="str"/>
      <c r="L59" s="121" t="str"/>
      <c r="M59" s="123" t="str"/>
      <c r="N59" s="121" t="str"/>
      <c r="O59" s="124" t="str"/>
      <c r="P59" s="125"/>
      <c r="Q59" s="112"/>
      <c r="R59" s="112"/>
      <c r="S59" s="112"/>
      <c r="T59" s="112"/>
      <c r="U59" s="112"/>
      <c r="V59" s="112"/>
      <c r="W59" s="112"/>
      <c r="X59" s="112"/>
      <c r="Y59" s="112"/>
    </row>
    <row r="60" ht="24" customHeight="1">
      <c r="A60" s="120" t="str">
        <v>GET /api/meetings/{id}/agenda (guest)</v>
      </c>
      <c r="B60" s="120"/>
      <c r="C60" s="120"/>
      <c r="D60" s="120"/>
      <c r="E60" s="120"/>
      <c r="F60" s="121"/>
      <c r="G60" s="122"/>
      <c r="H60" s="121"/>
      <c r="I60" s="121"/>
      <c r="J60" s="122"/>
      <c r="K60" s="121"/>
      <c r="L60" s="121"/>
      <c r="M60" s="123"/>
      <c r="N60" s="121"/>
      <c r="O60" s="124"/>
      <c r="P60" s="125"/>
      <c r="Q60" s="112"/>
      <c r="R60" s="112"/>
      <c r="S60" s="112"/>
      <c r="T60" s="112"/>
      <c r="U60" s="112"/>
      <c r="V60" s="112"/>
      <c r="W60" s="112"/>
      <c r="X60" s="112"/>
      <c r="Y60" s="112"/>
    </row>
    <row r="61" ht="80.5" customHeight="1">
      <c r="A61" s="120" t="str">
        <v>AGD_API_IT27</v>
      </c>
      <c r="B61" s="120" t="str">
        <v>Verify a guest sees the agenda with document names but no write permission and no user identities.</v>
      </c>
      <c r="C61" s="120" t="str">
        <v>1. As the Secretary, link a document to item 1.
2. As an invited guest with a verified session, GET the agenda.</v>
      </c>
      <c r="D61" s="120" t="str">
        <v>1. HTTP 200 OK.
2. Every permission is false.
3. Items show document metadata but no internal user ids or emails.</v>
      </c>
      <c r="E61" s="120" t="str">
        <v>1. Backend is running.
2. A Published meeting with a verified guest invitation.</v>
      </c>
      <c r="F61" s="121" t="str">
        <v>Pending</v>
      </c>
      <c r="G61" s="122" t="str"/>
      <c r="H61" s="121" t="str"/>
      <c r="I61" s="121" t="str"/>
      <c r="J61" s="122" t="str"/>
      <c r="K61" s="121" t="str"/>
      <c r="L61" s="121" t="str"/>
      <c r="M61" s="123" t="str"/>
      <c r="N61" s="121" t="str"/>
      <c r="O61" s="124" t="str"/>
      <c r="P61" s="125"/>
      <c r="Q61" s="112"/>
      <c r="R61" s="112"/>
      <c r="S61" s="112"/>
      <c r="T61" s="112"/>
      <c r="U61" s="112"/>
      <c r="V61" s="112"/>
      <c r="W61" s="112"/>
      <c r="X61" s="112"/>
      <c r="Y61" s="112"/>
    </row>
    <row r="62" ht="124.0" customHeight="1">
      <c r="A62" s="120" t="str">
        <v>AGD_API_IT28</v>
      </c>
      <c r="B62" s="120" t="str">
        <v>Verify a guest cannot use editor options or any change, even with a colliding user id.</v>
      </c>
      <c r="C62" s="120" t="str">
        <v>1. As the guest, GET /agenda/editor-options, PUT /agenda/&lt;item&gt;/conclusion, POST /agenda, PUT /agenda/order, POST /agenda/&lt;item&gt;/current.
2. Repeat with a guest token whose subject equals the Secretary's id.</v>
      </c>
      <c r="D62" s="120" t="str">
        <v>1. Every request returns HTTP 403 Forbidden.
2. The agenda and events are unchanged.</v>
      </c>
      <c r="E62" s="120" t="str">
        <v>1. Backend is running.
2. A Published meeting with a verified guest invitation.</v>
      </c>
      <c r="F62" s="121" t="str">
        <v>Pending</v>
      </c>
      <c r="G62" s="122" t="str"/>
      <c r="H62" s="121" t="str"/>
      <c r="I62" s="121" t="str"/>
      <c r="J62" s="122" t="str"/>
      <c r="K62" s="121" t="str"/>
      <c r="L62" s="121" t="str"/>
      <c r="M62" s="123" t="str"/>
      <c r="N62" s="121" t="str"/>
      <c r="O62" s="124" t="str"/>
      <c r="P62" s="125"/>
      <c r="Q62" s="112"/>
      <c r="R62" s="112"/>
      <c r="S62" s="112"/>
      <c r="T62" s="112"/>
      <c r="U62" s="112"/>
      <c r="V62" s="112"/>
      <c r="W62" s="112"/>
      <c r="X62" s="112"/>
      <c r="Y62" s="112"/>
    </row>
    <row r="63" ht="109.5" customHeight="1">
      <c r="A63" s="120" t="str">
        <v>AGD_API_IT29</v>
      </c>
      <c r="B63" s="120" t="str">
        <v>Verify the guest's access is checked again on every read.</v>
      </c>
      <c r="C63" s="120" t="str">
        <v>1. As the guest, GET the agenda.
2. Revoke the invitation, expire the session, mark it unverified or remove the session; GET the agenda again after each.</v>
      </c>
      <c r="D63" s="120" t="str">
        <v>1. The first read returns HTTP 200.
2. After each change the read returns HTTP 404.</v>
      </c>
      <c r="E63" s="120" t="str">
        <v>1. Backend is running.
2. A Published meeting with a verified guest invitation.</v>
      </c>
      <c r="F63" s="121" t="str">
        <v>Pending</v>
      </c>
      <c r="G63" s="122" t="str"/>
      <c r="H63" s="121" t="str"/>
      <c r="I63" s="121" t="str"/>
      <c r="J63" s="122" t="str"/>
      <c r="K63" s="121" t="str"/>
      <c r="L63" s="121" t="str"/>
      <c r="M63" s="123" t="str"/>
      <c r="N63" s="121" t="str"/>
      <c r="O63" s="124" t="str"/>
      <c r="P63" s="125"/>
      <c r="Q63" s="112"/>
      <c r="R63" s="112"/>
      <c r="S63" s="112"/>
      <c r="T63" s="112"/>
      <c r="U63" s="112"/>
      <c r="V63" s="112"/>
      <c r="W63" s="112"/>
      <c r="X63" s="112"/>
      <c r="Y63" s="112"/>
    </row>
    <row r="64" ht="66.0" customHeight="1">
      <c r="A64" s="120" t="str">
        <v>AGD_API_IT30</v>
      </c>
      <c r="B64" s="120" t="str">
        <v>Verify a guest sees the agenda only when a member could.</v>
      </c>
      <c r="C64" s="120" t="str">
        <v>1. As an invited guest, GET the agenda of a Draft, WaitingApproval, Rejected, Approved, Published and Ended meeting.</v>
      </c>
      <c r="D64" s="120" t="str">
        <v>1. Draft, WaitingApproval, Rejected and Approved return HTTP 404.
2. Published and Ended return HTTP 200.</v>
      </c>
      <c r="E64" s="120" t="str">
        <v>1. Backend is running.
2. One meeting per status, each with a guest invitation.</v>
      </c>
      <c r="F64" s="121" t="str">
        <v>Pending</v>
      </c>
      <c r="G64" s="122" t="str"/>
      <c r="H64" s="121" t="str"/>
      <c r="I64" s="121" t="str"/>
      <c r="J64" s="122" t="str"/>
      <c r="K64" s="121" t="str"/>
      <c r="L64" s="121" t="str"/>
      <c r="M64" s="123" t="str"/>
      <c r="N64" s="121" t="str"/>
      <c r="O64" s="124" t="str"/>
      <c r="P64" s="125"/>
      <c r="Q64" s="112"/>
      <c r="R64" s="112"/>
      <c r="S64" s="112"/>
      <c r="T64" s="112"/>
      <c r="U64" s="112"/>
      <c r="V64" s="112"/>
      <c r="W64" s="112"/>
      <c r="X64" s="112"/>
      <c r="Y64" s="112"/>
    </row>
    <row r="65" ht="80.5" customHeight="1">
      <c r="A65" s="120" t="str">
        <v>AGD_API_IT31</v>
      </c>
      <c r="B65" s="120" t="str">
        <v>Verify guest access is denied when the guest access adapter is not configured.</v>
      </c>
      <c r="C65" s="120" t="str">
        <v>1. Run the backend with the default (unavailable) guest access adapter.
2. GET the agenda with a guest token.</v>
      </c>
      <c r="D65" s="120" t="str">
        <v>1. HTTP 404 Not Found.</v>
      </c>
      <c r="E65" s="120" t="str">
        <v>1. Backend is running.
2. A Published meeting with a guest invitation.</v>
      </c>
      <c r="F65" s="121" t="str">
        <v>Pending</v>
      </c>
      <c r="G65" s="122" t="str"/>
      <c r="H65" s="121" t="str"/>
      <c r="I65" s="121" t="str"/>
      <c r="J65" s="122" t="str"/>
      <c r="K65" s="121" t="str"/>
      <c r="L65" s="121" t="str"/>
      <c r="M65" s="123" t="str"/>
      <c r="N65" s="121" t="str"/>
      <c r="O65" s="124" t="str"/>
      <c r="P65" s="125"/>
      <c r="Q65" s="112"/>
      <c r="R65" s="112"/>
      <c r="S65" s="112"/>
      <c r="T65" s="112"/>
      <c r="U65" s="112"/>
      <c r="V65" s="112"/>
      <c r="W65" s="112"/>
      <c r="X65" s="112"/>
      <c r="Y65" s="112"/>
    </row>
    <row r="66" ht="109.5" customHeight="1">
      <c r="A66" s="120" t="str">
        <v>AGD_API_IT32</v>
      </c>
      <c r="B66" s="120" t="str">
        <v>Verify an invalid identity, an expired token or an adapter failure never returns data.</v>
      </c>
      <c r="C66" s="120" t="str">
        <v>1. GET the agenda with a guest token for an empty invitation id.
2. Make the guest store fail and GET the agenda.
3. GET the agenda with an expired guest token.</v>
      </c>
      <c r="D66" s="120" t="str">
        <v>1. Invalid identity: HTTP 404.
2. Store failure: HTTP 500 with code "MSG128".
3. Expired token: HTTP 401.</v>
      </c>
      <c r="E66" s="120" t="str">
        <v>1. Backend is running.
2. A Published meeting with a guest invitation.</v>
      </c>
      <c r="F66" s="121" t="str">
        <v>Pending</v>
      </c>
      <c r="G66" s="122" t="str"/>
      <c r="H66" s="121" t="str"/>
      <c r="I66" s="121" t="str"/>
      <c r="J66" s="122" t="str"/>
      <c r="K66" s="121" t="str"/>
      <c r="L66" s="121" t="str"/>
      <c r="M66" s="123" t="str"/>
      <c r="N66" s="121" t="str"/>
      <c r="O66" s="124" t="str"/>
      <c r="P66" s="125"/>
      <c r="Q66" s="112"/>
      <c r="R66" s="112"/>
      <c r="S66" s="112"/>
      <c r="T66" s="112"/>
      <c r="U66" s="112"/>
      <c r="V66" s="112"/>
      <c r="W66" s="112"/>
      <c r="X66" s="112"/>
      <c r="Y66" s="112"/>
    </row>
    <row r="67" ht="24" customHeight="1">
      <c r="A67" s="120" t="str">
        <v>Realtime /hubs/meetings</v>
      </c>
      <c r="B67" s="120"/>
      <c r="C67" s="120"/>
      <c r="D67" s="120"/>
      <c r="E67" s="120"/>
      <c r="F67" s="121"/>
      <c r="G67" s="122"/>
      <c r="H67" s="121"/>
      <c r="I67" s="121"/>
      <c r="J67" s="122"/>
      <c r="K67" s="121"/>
      <c r="L67" s="121"/>
      <c r="M67" s="123"/>
      <c r="N67" s="121"/>
      <c r="O67" s="124"/>
      <c r="P67" s="125"/>
      <c r="Q67" s="112"/>
      <c r="R67" s="112"/>
      <c r="S67" s="112"/>
      <c r="T67" s="112"/>
      <c r="U67" s="112"/>
      <c r="V67" s="112"/>
      <c r="W67" s="112"/>
      <c r="X67" s="112"/>
      <c r="Y67" s="112"/>
    </row>
    <row r="68" ht="138.5" customHeight="1">
      <c r="A68" s="120" t="str">
        <v>AGD_API_IT33</v>
      </c>
      <c r="B68" s="120" t="str">
        <v>Verify guest realtime updates are scoped to the meeting and the session and recipients are rechecked.</v>
      </c>
      <c r="C68" s="120" t="str">
        <v>1. Open three guest sessions in separate browsers: two for this meeting (different sessions), one for another meeting; join each meeting's hub.
2. As the Secretary, change the agenda of this meeting.
3. Revoke one guest session and change the agenda again.</v>
      </c>
      <c r="D68" s="120" t="str">
        <v>1. Both guests of this meeting receive agendaChanged; the other meeting's guest receives nothing.
2. After revocation only the remaining session receives the next change.</v>
      </c>
      <c r="E68" s="120" t="str">
        <v>1. Backend is running.
2. Two Published meetings with guest invitations.</v>
      </c>
      <c r="F68" s="121" t="str">
        <v>Pending</v>
      </c>
      <c r="G68" s="122" t="str"/>
      <c r="H68" s="121" t="str"/>
      <c r="I68" s="121" t="str"/>
      <c r="J68" s="122" t="str"/>
      <c r="K68" s="121" t="str"/>
      <c r="L68" s="121" t="str"/>
      <c r="M68" s="123" t="str"/>
      <c r="N68" s="121" t="str"/>
      <c r="O68" s="124" t="str"/>
      <c r="P68" s="125"/>
      <c r="Q68" s="112"/>
      <c r="R68" s="112"/>
      <c r="S68" s="112"/>
      <c r="T68" s="112"/>
      <c r="U68" s="112"/>
      <c r="V68" s="112"/>
      <c r="W68" s="112"/>
      <c r="X68" s="112"/>
      <c r="Y68" s="112"/>
    </row>
    <row r="69" ht="138.5" customHeight="1">
      <c r="A69" s="120" t="str">
        <v>AGD_API_IT34</v>
      </c>
      <c r="B69" s="120" t="str">
        <v>Verify realtime agenda changes reach only joined, authorized readers.</v>
      </c>
      <c r="C69" s="120" t="str">
        <v>1. Open the meeting in browsers for the Secretary, the Member, an outsider and a member of another meeting; each joins this meeting's hub.
2. As the Secretary create an item, update it, reorder; as the Chair start and complete it.</v>
      </c>
      <c r="D69" s="120" t="str">
        <v>1. The Secretary and the Member see each change live.
2. The outsider and the other meeting's member receive nothing.</v>
      </c>
      <c r="E69" s="120" t="str">
        <v>1. Backend is running.
2. Two InProgress meetings on PostgreSQL.</v>
      </c>
      <c r="F69" s="121" t="str">
        <v>Pending</v>
      </c>
      <c r="G69" s="122" t="str"/>
      <c r="H69" s="121" t="str"/>
      <c r="I69" s="121" t="str"/>
      <c r="J69" s="122" t="str"/>
      <c r="K69" s="121" t="str"/>
      <c r="L69" s="121" t="str"/>
      <c r="M69" s="123" t="str"/>
      <c r="N69" s="121" t="str"/>
      <c r="O69" s="124" t="str"/>
      <c r="P69" s="125"/>
      <c r="Q69" s="112"/>
      <c r="R69" s="112"/>
      <c r="S69" s="112"/>
      <c r="T69" s="112"/>
      <c r="U69" s="112"/>
      <c r="V69" s="112"/>
      <c r="W69" s="112"/>
      <c r="X69" s="112"/>
      <c r="Y69" s="112"/>
    </row>
    <row r="70" ht="109.5" customHeight="1">
      <c r="A70" s="120" t="str">
        <v>AGD_API_IT35</v>
      </c>
      <c r="B70" s="120" t="str">
        <v>Verify a viewer who loses access stops receiving updates.</v>
      </c>
      <c r="C70" s="120" t="str">
        <v>1. The Member joins the hub and sees an agenda change.
2. Deactivate the Member / remove them / soft-remove them / mark them delegated.
3. As the Secretary, change the agenda again.</v>
      </c>
      <c r="D70" s="120" t="str">
        <v>1. The first change arrives.
2. After the access change no further event arrives.</v>
      </c>
      <c r="E70" s="120" t="str">
        <v>1. Backend is running.
2. A Published meeting with a Member.</v>
      </c>
      <c r="F70" s="121" t="str">
        <v>Pending</v>
      </c>
      <c r="G70" s="122" t="str"/>
      <c r="H70" s="121" t="str"/>
      <c r="I70" s="121" t="str"/>
      <c r="J70" s="122" t="str"/>
      <c r="K70" s="121" t="str"/>
      <c r="L70" s="121" t="str"/>
      <c r="M70" s="123" t="str"/>
      <c r="N70" s="121" t="str"/>
      <c r="O70" s="124" t="str"/>
      <c r="P70" s="125"/>
      <c r="Q70" s="112"/>
      <c r="R70" s="112"/>
      <c r="S70" s="112"/>
      <c r="T70" s="112"/>
      <c r="U70" s="112"/>
      <c r="V70" s="112"/>
      <c r="W70" s="112"/>
      <c r="X70" s="112"/>
      <c r="Y70" s="112"/>
    </row>
    <row r="71" ht="124.0" customHeight="1">
      <c r="A71" s="120" t="str">
        <v>AGD_API_IT36</v>
      </c>
      <c r="B71" s="120" t="str">
        <v>Verify a no-op or failed write sends nothing and leaving is per connection.</v>
      </c>
      <c r="C71" s="120" t="str">
        <v>1. The Member joins the hub in two tabs.
2. As the Secretary, save an item without changes, then make a failing write.
3. Leave the meeting in the first tab and make a real change.</v>
      </c>
      <c r="D71" s="120" t="str">
        <v>1. No event for the no-op or the failed write.
2. After leaving, the second tab still receives the real change.</v>
      </c>
      <c r="E71" s="120" t="str">
        <v>1. Backend is running.
2. A Published meeting with a Member.</v>
      </c>
      <c r="F71" s="121" t="str">
        <v>Pending</v>
      </c>
      <c r="G71" s="122" t="str"/>
      <c r="H71" s="121" t="str"/>
      <c r="I71" s="121" t="str"/>
      <c r="J71" s="122" t="str"/>
      <c r="K71" s="121" t="str"/>
      <c r="L71" s="121" t="str"/>
      <c r="M71" s="123" t="str"/>
      <c r="N71" s="121" t="str"/>
      <c r="O71" s="124" t="str"/>
      <c r="P71" s="125"/>
      <c r="Q71" s="112"/>
      <c r="R71" s="112"/>
      <c r="S71" s="112"/>
      <c r="T71" s="112"/>
      <c r="U71" s="112"/>
      <c r="V71" s="112"/>
      <c r="W71" s="112"/>
      <c r="X71" s="112"/>
      <c r="Y71" s="112"/>
    </row>
    <row r="72" ht="153.0" customHeight="1">
      <c r="A72" s="120" t="str">
        <v>AGD_API_IT37</v>
      </c>
      <c r="B72" s="120" t="str">
        <v>Verify a token in the query string works only for the hub and an expiring connection closes.</v>
      </c>
      <c r="C72" s="120" t="str">
        <v>1. GET /api/meetings/&lt;id&gt;/agenda?access_token=&lt;member token&gt; without an Authorization header.
2. POST /hubs/meetings/negotiate?negotiateVersion=1&amp;access_token=&lt;member token&gt;.
3. Connect to the hub with a token about to expire and wait past expiry.</v>
      </c>
      <c r="D72" s="120" t="str">
        <v>1. The API request returns HTTP 401.
2. The negotiate request returns HTTP 200.
3. The hub connection is closed when the token expires.</v>
      </c>
      <c r="E72" s="120" t="str">
        <v>1. Backend is running.
2. A Published meeting with a Member.</v>
      </c>
      <c r="F72" s="121" t="str">
        <v>Pending</v>
      </c>
      <c r="G72" s="122" t="str"/>
      <c r="H72" s="121" t="str"/>
      <c r="I72" s="121" t="str"/>
      <c r="J72" s="122" t="str"/>
      <c r="K72" s="121" t="str"/>
      <c r="L72" s="121" t="str"/>
      <c r="M72" s="123" t="str"/>
      <c r="N72" s="121" t="str"/>
      <c r="O72" s="124" t="str"/>
      <c r="P72" s="125"/>
      <c r="Q72" s="112"/>
      <c r="R72" s="112"/>
      <c r="S72" s="112"/>
      <c r="T72" s="112"/>
      <c r="U72" s="112"/>
      <c r="V72" s="112"/>
      <c r="W72" s="112"/>
      <c r="X72" s="112"/>
      <c r="Y72" s="112"/>
    </row>
    <row r="73" ht="24" customHeight="1">
      <c r="A73" s="120" t="str">
        <v>GET /api/meetings/{id}/agenda</v>
      </c>
      <c r="B73" s="120"/>
      <c r="C73" s="120"/>
      <c r="D73" s="120"/>
      <c r="E73" s="120"/>
      <c r="F73" s="121"/>
      <c r="G73" s="122"/>
      <c r="H73" s="121"/>
      <c r="I73" s="121"/>
      <c r="J73" s="122"/>
      <c r="K73" s="121"/>
      <c r="L73" s="121"/>
      <c r="M73" s="123"/>
      <c r="N73" s="121"/>
      <c r="O73" s="124"/>
      <c r="P73" s="125"/>
      <c r="Q73" s="112"/>
      <c r="R73" s="112"/>
      <c r="S73" s="112"/>
      <c r="T73" s="112"/>
      <c r="U73" s="112"/>
      <c r="V73" s="112"/>
      <c r="W73" s="112"/>
      <c r="X73" s="112"/>
      <c r="Y73" s="112"/>
    </row>
    <row r="74" ht="80.5" customHeight="1">
      <c r="A74" s="120" t="str">
        <v>AGD_API_IT38</v>
      </c>
      <c r="B74" s="120" t="str">
        <v>Verify loading the agenda uses the same number of queries for 1 item or 50 items with documents.</v>
      </c>
      <c r="C74" s="120" t="str">
        <v>1. Enable SQL logging.
2. GET the agenda of a meeting with 1 item, then of a meeting with 50 items, 4 documents each and a guest presenter.</v>
      </c>
      <c r="D74" s="120" t="str">
        <v>1. Both reads return HTTP 200.
2. The number of SQL queries is the same for both.</v>
      </c>
      <c r="E74" s="120" t="str">
        <v>1. Backend is running.
2. Two meetings on PostgreSQL as described.</v>
      </c>
      <c r="F74" s="121" t="str">
        <v>Pending</v>
      </c>
      <c r="G74" s="122" t="str"/>
      <c r="H74" s="121" t="str"/>
      <c r="I74" s="121" t="str"/>
      <c r="J74" s="122" t="str"/>
      <c r="K74" s="121" t="str"/>
      <c r="L74" s="121" t="str"/>
      <c r="M74" s="123" t="str"/>
      <c r="N74" s="121" t="str"/>
      <c r="O74" s="124" t="str"/>
      <c r="P74" s="125"/>
      <c r="Q74" s="112"/>
      <c r="R74" s="112"/>
      <c r="S74" s="112"/>
      <c r="T74" s="112"/>
      <c r="U74" s="112"/>
      <c r="V74" s="112"/>
      <c r="W74" s="112"/>
      <c r="X74" s="112"/>
      <c r="Y74" s="112"/>
    </row>
    <row r="75" ht="138.5" customHeight="1">
      <c r="A75" s="120" t="str">
        <v>AGD_API_IT39</v>
      </c>
      <c r="B75" s="120" t="str">
        <v>Measure 100 active users reading the agenda and resynchronising in real time (not a deployment certification).</v>
      </c>
      <c r="C75" s="120" t="str">
        <v>1. Create 100 users on the roster of a meeting with 50 items.
2. Have each user read the agenda and join the hub (load script).
3. Make one agenda change and measure when every client has resynchronised.</v>
      </c>
      <c r="D75" s="120" t="str">
        <v>1. Every read succeeds.
2. All 100 clients receive the change; timings are recorded for information only.</v>
      </c>
      <c r="E75" s="120" t="str">
        <v>1. Backend is running.
2. A local PostgreSQL test database and a load script.</v>
      </c>
      <c r="F75" s="121" t="str">
        <v>Pending</v>
      </c>
      <c r="G75" s="122" t="str"/>
      <c r="H75" s="121" t="str"/>
      <c r="I75" s="121" t="str"/>
      <c r="J75" s="122" t="str"/>
      <c r="K75" s="121" t="str"/>
      <c r="L75" s="121" t="str"/>
      <c r="M75" s="123" t="str"/>
      <c r="N75" s="121" t="str"/>
      <c r="O75" s="124" t="str"/>
      <c r="P75" s="125"/>
      <c r="Q75" s="112"/>
      <c r="R75" s="112"/>
      <c r="S75" s="112"/>
      <c r="T75" s="112"/>
      <c r="U75" s="112"/>
      <c r="V75" s="112"/>
      <c r="W75" s="112"/>
      <c r="X75" s="112"/>
      <c r="Y75" s="112"/>
    </row>
    <row r="76" ht="24" customHeight="1">
      <c r="A76" s="120" t="str">
        <v>DELETE /api/meetings/{id}/participants/{participantId}</v>
      </c>
      <c r="B76" s="120"/>
      <c r="C76" s="120"/>
      <c r="D76" s="120"/>
      <c r="E76" s="120"/>
      <c r="F76" s="121"/>
      <c r="G76" s="122"/>
      <c r="H76" s="121"/>
      <c r="I76" s="121"/>
      <c r="J76" s="122"/>
      <c r="K76" s="121"/>
      <c r="L76" s="121"/>
      <c r="M76" s="123"/>
      <c r="N76" s="121"/>
      <c r="O76" s="124"/>
      <c r="P76" s="125"/>
      <c r="Q76" s="112"/>
      <c r="R76" s="112"/>
      <c r="S76" s="112"/>
      <c r="T76" s="112"/>
      <c r="U76" s="112"/>
      <c r="V76" s="112"/>
      <c r="W76" s="112"/>
      <c r="X76" s="112"/>
      <c r="Y76" s="112"/>
    </row>
    <row r="77" ht="109.5" customHeight="1">
      <c r="A77" s="120" t="str">
        <v>AGD_API_IT40</v>
      </c>
      <c r="B77" s="120" t="str">
        <v>Verify removing a participant clears them as presenter of every item at once or rolls back.</v>
      </c>
      <c r="C77" s="120" t="str">
        <v>1. Make the Member (or a guest) presenter of several items.
2. Remove the Member (or revoke the guest), once normally and once with a database failure.</v>
      </c>
      <c r="D77" s="120" t="str">
        <v>1. On success, every item loses that presenter in one change.
2. On failure, the participant and all presenters are unchanged.</v>
      </c>
      <c r="E77" s="120" t="str">
        <v>1. Backend is running.
2. A Published meeting with agenda items on PostgreSQL.</v>
      </c>
      <c r="F77" s="121" t="str">
        <v>Pending</v>
      </c>
      <c r="G77" s="122" t="str"/>
      <c r="H77" s="121" t="str"/>
      <c r="I77" s="121" t="str"/>
      <c r="J77" s="122" t="str"/>
      <c r="K77" s="121" t="str"/>
      <c r="L77" s="121" t="str"/>
      <c r="M77" s="123" t="str"/>
      <c r="N77" s="121" t="str"/>
      <c r="O77" s="124" t="str"/>
      <c r="P77" s="125"/>
      <c r="Q77" s="112"/>
      <c r="R77" s="112"/>
      <c r="S77" s="112"/>
      <c r="T77" s="112"/>
      <c r="U77" s="112"/>
      <c r="V77" s="112"/>
      <c r="W77" s="112"/>
      <c r="X77" s="112"/>
      <c r="Y77" s="112"/>
    </row>
    <row r="78" ht="24" customHeight="1">
      <c r="A78" s="120" t="str">
        <v>PUT /api/meetings/{id}/agenda/{itemId}/conclusion</v>
      </c>
      <c r="B78" s="120"/>
      <c r="C78" s="120"/>
      <c r="D78" s="120"/>
      <c r="E78" s="120"/>
      <c r="F78" s="121"/>
      <c r="G78" s="122"/>
      <c r="H78" s="121"/>
      <c r="I78" s="121"/>
      <c r="J78" s="122"/>
      <c r="K78" s="121"/>
      <c r="L78" s="121"/>
      <c r="M78" s="123"/>
      <c r="N78" s="121"/>
      <c r="O78" s="124"/>
      <c r="P78" s="125"/>
      <c r="Q78" s="112"/>
      <c r="R78" s="112"/>
      <c r="S78" s="112"/>
      <c r="T78" s="112"/>
      <c r="U78" s="112"/>
      <c r="V78" s="112"/>
      <c r="W78" s="112"/>
      <c r="X78" s="112"/>
      <c r="Y78" s="112"/>
    </row>
    <row r="79" ht="124.0" customHeight="1">
      <c r="A79" s="120" t="str">
        <v>AGD_API_IT41</v>
      </c>
      <c r="B79" s="120" t="str">
        <v>Verify a conclusion waiting for the meeting lock rechecks the minutes and the role.</v>
      </c>
      <c r="C79" s="120" t="str">
        <v>1. Lock the meeting row in psql.
2. As the Secretary, PUT /agenda/&lt;done item&gt;/conclusion.
3. Inside the lock: create minutes / change the Secretary's role / remove the Secretary; commit.</v>
      </c>
      <c r="D79" s="120" t="str">
        <v>1. With minutes: HTTP 409 with code "MSG273".
2. Role changed: HTTP 403 with code "MSG273".
3. Removed: HTTP 404.</v>
      </c>
      <c r="E79" s="120" t="str">
        <v>1. Backend is running.
2. An InProgress meeting with a Done item on PostgreSQL.</v>
      </c>
      <c r="F79" s="121" t="str">
        <v>Pending</v>
      </c>
      <c r="G79" s="122" t="str"/>
      <c r="H79" s="121" t="str"/>
      <c r="I79" s="121" t="str"/>
      <c r="J79" s="122" t="str"/>
      <c r="K79" s="121" t="str"/>
      <c r="L79" s="121" t="str"/>
      <c r="M79" s="123" t="str"/>
      <c r="N79" s="121" t="str"/>
      <c r="O79" s="124" t="str"/>
      <c r="P79" s="125"/>
      <c r="Q79" s="112"/>
      <c r="R79" s="112"/>
      <c r="S79" s="112"/>
      <c r="T79" s="112"/>
      <c r="U79" s="112"/>
      <c r="V79" s="112"/>
      <c r="W79" s="112"/>
      <c r="X79" s="112"/>
      <c r="Y79" s="112"/>
    </row>
    <row r="80" ht="24" customHeight="1">
      <c r="A80" s="120" t="str">
        <v>PUT /api/meetings/{id}/agenda/{itemId}</v>
      </c>
      <c r="B80" s="120"/>
      <c r="C80" s="120"/>
      <c r="D80" s="120"/>
      <c r="E80" s="120"/>
      <c r="F80" s="121"/>
      <c r="G80" s="122"/>
      <c r="H80" s="121"/>
      <c r="I80" s="121"/>
      <c r="J80" s="122"/>
      <c r="K80" s="121"/>
      <c r="L80" s="121"/>
      <c r="M80" s="123"/>
      <c r="N80" s="121"/>
      <c r="O80" s="124"/>
      <c r="P80" s="125"/>
      <c r="Q80" s="112"/>
      <c r="R80" s="112"/>
      <c r="S80" s="112"/>
      <c r="T80" s="112"/>
      <c r="U80" s="112"/>
      <c r="V80" s="112"/>
      <c r="W80" s="112"/>
      <c r="X80" s="112"/>
      <c r="Y80" s="112"/>
    </row>
    <row r="81" ht="124.0" customHeight="1">
      <c r="A81" s="120" t="str">
        <v>AGD_API_IT42</v>
      </c>
      <c r="B81" s="120" t="str">
        <v>Verify assigning a presenter waiting for the lock rechecks removal or revocation.</v>
      </c>
      <c r="C81" s="120" t="str">
        <v>1. Lock the meeting row in psql.
2. As the Secretary, set the guest (or Member) as presenter of item 1.
3. Inside the lock, revoke the guest (or remove the Member); commit.</v>
      </c>
      <c r="D81" s="120" t="str">
        <v>1. The assignment is refused with code "MSG66"; item 1 keeps its presenter.</v>
      </c>
      <c r="E81" s="120" t="str">
        <v>1. Backend is running.
2. A Published meeting with a guest and a Member on PostgreSQL.</v>
      </c>
      <c r="F81" s="121" t="str">
        <v>Pending</v>
      </c>
      <c r="G81" s="122" t="str"/>
      <c r="H81" s="121" t="str"/>
      <c r="I81" s="121" t="str"/>
      <c r="J81" s="122" t="str"/>
      <c r="K81" s="121" t="str"/>
      <c r="L81" s="121" t="str"/>
      <c r="M81" s="123" t="str"/>
      <c r="N81" s="121" t="str"/>
      <c r="O81" s="124" t="str"/>
      <c r="P81" s="125"/>
      <c r="Q81" s="112"/>
      <c r="R81" s="112"/>
      <c r="S81" s="112"/>
      <c r="T81" s="112"/>
      <c r="U81" s="112"/>
      <c r="V81" s="112"/>
      <c r="W81" s="112"/>
      <c r="X81" s="112"/>
      <c r="Y81" s="112"/>
    </row>
    <row r="82" ht="24" customHeight="1">
      <c r="A82" s="120" t="str">
        <v>PUT /api/meetings/{id}/agenda/{itemId}/conclusion</v>
      </c>
      <c r="B82" s="120"/>
      <c r="C82" s="120"/>
      <c r="D82" s="120"/>
      <c r="E82" s="120"/>
      <c r="F82" s="121"/>
      <c r="G82" s="122"/>
      <c r="H82" s="121"/>
      <c r="I82" s="121"/>
      <c r="J82" s="122"/>
      <c r="K82" s="121"/>
      <c r="L82" s="121"/>
      <c r="M82" s="123"/>
      <c r="N82" s="121"/>
      <c r="O82" s="124"/>
      <c r="P82" s="125"/>
      <c r="Q82" s="112"/>
      <c r="R82" s="112"/>
      <c r="S82" s="112"/>
      <c r="T82" s="112"/>
      <c r="U82" s="112"/>
      <c r="V82" s="112"/>
      <c r="W82" s="112"/>
      <c r="X82" s="112"/>
      <c r="Y82" s="112"/>
    </row>
    <row r="83" ht="80.5" customHeight="1">
      <c r="A83" s="120" t="str">
        <v>AGD_API_IT43</v>
      </c>
      <c r="B83" s="120" t="str">
        <v>Verify two simultaneous conclusions store one whole content, author and time.</v>
      </c>
      <c r="C83" s="120" t="str">
        <v>1. As the Chair and the Secretary at the same time, PUT the conclusion "Chair" and "Secretary" for the same Done item.</v>
      </c>
      <c r="D83" s="120" t="str">
        <v>1. Both requests succeed.
2. The stored conclusion is exactly one of the two, with that person as author and a matching time.</v>
      </c>
      <c r="E83" s="120" t="str">
        <v>1. Backend is running.
2. An InProgress meeting with a Done item.</v>
      </c>
      <c r="F83" s="121" t="str">
        <v>Pending</v>
      </c>
      <c r="G83" s="122" t="str"/>
      <c r="H83" s="121" t="str"/>
      <c r="I83" s="121" t="str"/>
      <c r="J83" s="122" t="str"/>
      <c r="K83" s="121" t="str"/>
      <c r="L83" s="121" t="str"/>
      <c r="M83" s="123" t="str"/>
      <c r="N83" s="121" t="str"/>
      <c r="O83" s="124" t="str"/>
      <c r="P83" s="125"/>
      <c r="Q83" s="112"/>
      <c r="R83" s="112"/>
      <c r="S83" s="112"/>
      <c r="T83" s="112"/>
      <c r="U83" s="112"/>
      <c r="V83" s="112"/>
      <c r="W83" s="112"/>
      <c r="X83" s="112"/>
      <c r="Y83" s="112"/>
    </row>
    <row r="84" ht="24" customHeight="1">
      <c r="A84" s="120" t="str">
        <v>Agenda database migration</v>
      </c>
      <c r="B84" s="120"/>
      <c r="C84" s="120"/>
      <c r="D84" s="120"/>
      <c r="E84" s="120"/>
      <c r="F84" s="121"/>
      <c r="G84" s="122"/>
      <c r="H84" s="121"/>
      <c r="I84" s="121"/>
      <c r="J84" s="122"/>
      <c r="K84" s="121"/>
      <c r="L84" s="121"/>
      <c r="M84" s="123"/>
      <c r="N84" s="121"/>
      <c r="O84" s="124"/>
      <c r="P84" s="125"/>
      <c r="Q84" s="112"/>
      <c r="R84" s="112"/>
      <c r="S84" s="112"/>
      <c r="T84" s="112"/>
      <c r="U84" s="112"/>
      <c r="V84" s="112"/>
      <c r="W84" s="112"/>
      <c r="X84" s="112"/>
      <c r="Y84" s="112"/>
    </row>
    <row r="85" ht="109.5" customHeight="1">
      <c r="A85" s="120" t="str">
        <v>AGD_API_IT44</v>
      </c>
      <c r="B85" s="120" t="str">
        <v>Verify the agenda migration keeps old data, adds constraints and refuses a lossy downgrade.</v>
      </c>
      <c r="C85" s="120" t="str">
        <v>1. Create a database at the migration before SynchronizeAgendaWithPoRequirements and insert legacy agenda data.
2. Upgrade to the latest migration.
3. Try to downgrade back.</v>
      </c>
      <c r="D85" s="120" t="str">
        <v>1. After upgrade the legacy data is kept and the new constraints exist.
2. The downgrade stops with an error instead of losing data.</v>
      </c>
      <c r="E85" s="120" t="str">
        <v>1. Backend is running.
2. A local PostgreSQL test database.</v>
      </c>
      <c r="F85" s="121" t="str">
        <v>Pending</v>
      </c>
      <c r="G85" s="122" t="str"/>
      <c r="H85" s="121" t="str"/>
      <c r="I85" s="121" t="str"/>
      <c r="J85" s="122" t="str"/>
      <c r="K85" s="121" t="str"/>
      <c r="L85" s="121" t="str"/>
      <c r="M85" s="123" t="str"/>
      <c r="N85" s="121" t="str"/>
      <c r="O85" s="124" t="str"/>
      <c r="P85" s="125"/>
      <c r="Q85" s="112"/>
      <c r="R85" s="112"/>
      <c r="S85" s="112"/>
      <c r="T85" s="112"/>
      <c r="U85" s="112"/>
      <c r="V85" s="112"/>
      <c r="W85" s="112"/>
      <c r="X85" s="112"/>
      <c r="Y85" s="112"/>
    </row>
    <row r="86" ht="24" customHeight="1">
      <c r="A86" s="120" t="str">
        <v>PUT /api/meetings/{id}/agenda/{itemId}</v>
      </c>
      <c r="B86" s="120"/>
      <c r="C86" s="120"/>
      <c r="D86" s="120"/>
      <c r="E86" s="120"/>
      <c r="F86" s="121"/>
      <c r="G86" s="122"/>
      <c r="H86" s="121"/>
      <c r="I86" s="121"/>
      <c r="J86" s="122"/>
      <c r="K86" s="121"/>
      <c r="L86" s="121"/>
      <c r="M86" s="123"/>
      <c r="N86" s="121"/>
      <c r="O86" s="124"/>
      <c r="P86" s="125"/>
      <c r="Q86" s="112"/>
      <c r="R86" s="112"/>
      <c r="S86" s="112"/>
      <c r="T86" s="112"/>
      <c r="U86" s="112"/>
      <c r="V86" s="112"/>
      <c r="W86" s="112"/>
      <c r="X86" s="112"/>
      <c r="Y86" s="112"/>
    </row>
    <row r="87" ht="80.5" customHeight="1">
      <c r="A87" s="120" t="str">
        <v>AGD_API_IT45</v>
      </c>
      <c r="B87" s="120" t="str">
        <v>Verify presenter and shared documents can be changed for Pending, InProgress and Done items.</v>
      </c>
      <c r="C87" s="120" t="str">
        <v>1. For item 1 in each status, as the Secretary, set a guest presenter and link a document; then switch to a member presenter.</v>
      </c>
      <c r="D87" s="120" t="str">
        <v>1. Each update returns HTTP 200 with code "MSG61".</v>
      </c>
      <c r="E87" s="120" t="str">
        <v>1. Backend is running.
2. A meeting with a guest invitation and documents.</v>
      </c>
      <c r="F87" s="121" t="str">
        <v>Pending</v>
      </c>
      <c r="G87" s="122" t="str"/>
      <c r="H87" s="121" t="str"/>
      <c r="I87" s="121" t="str"/>
      <c r="J87" s="122" t="str"/>
      <c r="K87" s="121" t="str"/>
      <c r="L87" s="121" t="str"/>
      <c r="M87" s="123" t="str"/>
      <c r="N87" s="121" t="str"/>
      <c r="O87" s="124" t="str"/>
      <c r="P87" s="125"/>
      <c r="Q87" s="112"/>
      <c r="R87" s="112"/>
      <c r="S87" s="112"/>
      <c r="T87" s="112"/>
      <c r="U87" s="112"/>
      <c r="V87" s="112"/>
      <c r="W87" s="112"/>
      <c r="X87" s="112"/>
      <c r="Y87" s="112"/>
    </row>
    <row r="88" ht="24" customHeight="1">
      <c r="A88" s="120" t="str">
        <v>PUT /api/meetings/{id}/agenda/{itemId}/conclusion</v>
      </c>
      <c r="B88" s="120"/>
      <c r="C88" s="120"/>
      <c r="D88" s="120"/>
      <c r="E88" s="120"/>
      <c r="F88" s="121"/>
      <c r="G88" s="122"/>
      <c r="H88" s="121"/>
      <c r="I88" s="121"/>
      <c r="J88" s="122"/>
      <c r="K88" s="121"/>
      <c r="L88" s="121"/>
      <c r="M88" s="123"/>
      <c r="N88" s="121"/>
      <c r="O88" s="124"/>
      <c r="P88" s="125"/>
      <c r="Q88" s="112"/>
      <c r="R88" s="112"/>
      <c r="S88" s="112"/>
      <c r="T88" s="112"/>
      <c r="U88" s="112"/>
      <c r="V88" s="112"/>
      <c r="W88" s="112"/>
      <c r="X88" s="112"/>
      <c r="Y88" s="112"/>
    </row>
    <row r="89" ht="124.0" customHeight="1">
      <c r="A89" s="120" t="str">
        <v>AGD_API_IT46</v>
      </c>
      <c r="B89" s="120" t="str">
        <v>Verify the server decides when a conclusion can be written.</v>
      </c>
      <c r="C89" s="120" t="str">
        <v>1. As the Chair and the Secretary, GET the agenda and PUT a conclusion for: InProgress meeting / InProgress item; InProgress / Done; Ended / Done; InProgress / Pending; Published / Done; and any meeting that already has minutes.</v>
      </c>
      <c r="D89" s="120" t="str">
        <v>1. The first three return HTTP 200 with code "MSG271" ("Lưu kết luận mục nghị sự thành công.").
2. The others return HTTP 409 with code "MSG273".
3. canEditConclusion in the agenda matches each result.</v>
      </c>
      <c r="E89" s="120" t="str">
        <v>1. Backend is running.
2. Meetings and items in those states.</v>
      </c>
      <c r="F89" s="121" t="str">
        <v>Pending</v>
      </c>
      <c r="G89" s="122" t="str"/>
      <c r="H89" s="121" t="str"/>
      <c r="I89" s="121" t="str"/>
      <c r="J89" s="122" t="str"/>
      <c r="K89" s="121" t="str"/>
      <c r="L89" s="121" t="str"/>
      <c r="M89" s="123" t="str"/>
      <c r="N89" s="121" t="str"/>
      <c r="O89" s="124" t="str"/>
      <c r="P89" s="125"/>
      <c r="Q89" s="112"/>
      <c r="R89" s="112"/>
      <c r="S89" s="112"/>
      <c r="T89" s="112"/>
      <c r="U89" s="112"/>
      <c r="V89" s="112"/>
      <c r="W89" s="112"/>
      <c r="X89" s="112"/>
      <c r="Y89" s="112"/>
    </row>
    <row r="90" ht="95.0" customHeight="1">
      <c r="A90" s="120" t="str">
        <v>AGD_API_IT47</v>
      </c>
      <c r="B90" s="120" t="str">
        <v>Verify the conclusion body rejects invalid or forged fields.</v>
      </c>
      <c r="C90" s="120" t="str">
        <v>1. As the Chair, PUT /agenda/&lt;item&gt;/conclusion with each body: {}; conclusion null; "  "; 3; "Conclusion"; conclusion twice; an extra conclusionUpdatedById; an extra title.</v>
      </c>
      <c r="D90" s="120" t="str">
        <v>1. Each request returns HTTP 400 with code "MSG272".
2. No conclusion is saved.</v>
      </c>
      <c r="E90" s="120" t="str">
        <v>1. Backend is running.
2. An InProgress meeting with a started item.</v>
      </c>
      <c r="F90" s="121" t="str">
        <v>Pending</v>
      </c>
      <c r="G90" s="122" t="str"/>
      <c r="H90" s="121" t="str"/>
      <c r="I90" s="121" t="str"/>
      <c r="J90" s="122" t="str"/>
      <c r="K90" s="121" t="str"/>
      <c r="L90" s="121" t="str"/>
      <c r="M90" s="123" t="str"/>
      <c r="N90" s="121" t="str"/>
      <c r="O90" s="124" t="str"/>
      <c r="P90" s="125"/>
      <c r="Q90" s="112"/>
      <c r="R90" s="112"/>
      <c r="S90" s="112"/>
      <c r="T90" s="112"/>
      <c r="U90" s="112"/>
      <c r="V90" s="112"/>
      <c r="W90" s="112"/>
      <c r="X90" s="112"/>
      <c r="Y90" s="112"/>
    </row>
    <row r="91" ht="153.0" customHeight="1">
      <c r="A91" s="120" t="str">
        <v>AGD_API_IT48</v>
      </c>
      <c r="B91" s="120" t="str">
        <v>Verify conclusion length, failure, permission and not-found answers.</v>
      </c>
      <c r="C91" s="120" t="str">
        <v>1. As the Chair, save conclusions "A", 2000 characters and 1000 emoji, each with spaces around.
2. Save 2001 characters.
3. Send a non-JSON body, then stop the database and save.
4. As the Member, save a conclusion; as the Chair, save for an unknown item.</v>
      </c>
      <c r="D91" s="120" t="str">
        <v>1. Valid lengths return HTTP 200 with code "MSG271" and are trimmed.
2. 2001 characters: HTTP 400 with code "MSG272".
3. Non-JSON: HTTP 415; database down: HTTP 503.
4. Member: HTTP 403 with code "MSG273"; unknown item: HTTP 404.</v>
      </c>
      <c r="E91" s="120" t="str">
        <v>1. Backend is running.
2. An InProgress meeting with a started item.</v>
      </c>
      <c r="F91" s="121" t="str">
        <v>Pending</v>
      </c>
      <c r="G91" s="122" t="str"/>
      <c r="H91" s="121" t="str"/>
      <c r="I91" s="121" t="str"/>
      <c r="J91" s="122" t="str"/>
      <c r="K91" s="121" t="str"/>
      <c r="L91" s="121" t="str"/>
      <c r="M91" s="123" t="str"/>
      <c r="N91" s="121" t="str"/>
      <c r="O91" s="124" t="str"/>
      <c r="P91" s="125"/>
      <c r="Q91" s="112"/>
      <c r="R91" s="112"/>
      <c r="S91" s="112"/>
      <c r="T91" s="112"/>
      <c r="U91" s="112"/>
      <c r="V91" s="112"/>
      <c r="W91" s="112"/>
      <c r="X91" s="112"/>
      <c r="Y91" s="112"/>
    </row>
    <row r="92" ht="24" customHeight="1">
      <c r="A92" s="120" t="str">
        <v>POST /api/meetings/{id}/agenda/{itemId}/current</v>
      </c>
      <c r="B92" s="120"/>
      <c r="C92" s="120"/>
      <c r="D92" s="120"/>
      <c r="E92" s="120"/>
      <c r="F92" s="121"/>
      <c r="G92" s="122"/>
      <c r="H92" s="121"/>
      <c r="I92" s="121"/>
      <c r="J92" s="122"/>
      <c r="K92" s="121"/>
      <c r="L92" s="121"/>
      <c r="M92" s="123"/>
      <c r="N92" s="121"/>
      <c r="O92" s="124"/>
      <c r="P92" s="125"/>
      <c r="Q92" s="112"/>
      <c r="R92" s="112"/>
      <c r="S92" s="112"/>
      <c r="T92" s="112"/>
      <c r="U92" s="112"/>
      <c r="V92" s="112"/>
      <c r="W92" s="112"/>
      <c r="X92" s="112"/>
      <c r="Y92" s="112"/>
    </row>
    <row r="93" ht="80.5" customHeight="1">
      <c r="A93" s="120" t="str">
        <v>AGD_API_IT49</v>
      </c>
      <c r="B93" s="120" t="str">
        <v>Verify any Pending item can be started and an old presenter name is not an assignment.</v>
      </c>
      <c r="C93" s="120" t="str">
        <v>1. Set a legacy presenter name "Historical name" on item 3.
2. As the Chair, GET the agenda and start item 3.</v>
      </c>
      <c r="D93" s="120" t="str">
        <v>1. Every Pending item shows canSetCurrent true.
2. Item 3 starts (HTTP 200, "MSG64"); the legacy name does not notify anyone.</v>
      </c>
      <c r="E93" s="120" t="str">
        <v>1. Backend is running.
2. An InProgress meeting with three Pending items.</v>
      </c>
      <c r="F93" s="121" t="str">
        <v>Pending</v>
      </c>
      <c r="G93" s="122" t="str"/>
      <c r="H93" s="121" t="str"/>
      <c r="I93" s="121" t="str"/>
      <c r="J93" s="122" t="str"/>
      <c r="K93" s="121" t="str"/>
      <c r="L93" s="121" t="str"/>
      <c r="M93" s="123" t="str"/>
      <c r="N93" s="121" t="str"/>
      <c r="O93" s="124" t="str"/>
      <c r="P93" s="125"/>
      <c r="Q93" s="112"/>
      <c r="R93" s="112"/>
      <c r="S93" s="112"/>
      <c r="T93" s="112"/>
      <c r="U93" s="112"/>
      <c r="V93" s="112"/>
      <c r="W93" s="112"/>
      <c r="X93" s="112"/>
      <c r="Y93" s="112"/>
    </row>
    <row r="94" ht="24" customHeight="1">
      <c r="A94" s="120" t="str">
        <v>PUT /api/meetings/{id}/agenda/{itemId}</v>
      </c>
      <c r="B94" s="120"/>
      <c r="C94" s="120"/>
      <c r="D94" s="120"/>
      <c r="E94" s="120"/>
      <c r="F94" s="121"/>
      <c r="G94" s="122"/>
      <c r="H94" s="121"/>
      <c r="I94" s="121"/>
      <c r="J94" s="122"/>
      <c r="K94" s="121"/>
      <c r="L94" s="121"/>
      <c r="M94" s="123"/>
      <c r="N94" s="121"/>
      <c r="O94" s="124"/>
      <c r="P94" s="125"/>
      <c r="Q94" s="112"/>
      <c r="R94" s="112"/>
      <c r="S94" s="112"/>
      <c r="T94" s="112"/>
      <c r="U94" s="112"/>
      <c r="V94" s="112"/>
      <c r="W94" s="112"/>
      <c r="X94" s="112"/>
      <c r="Y94" s="112"/>
    </row>
    <row r="95" ht="109.5" customHeight="1">
      <c r="A95" s="120" t="str">
        <v>AGD_API_IT50</v>
      </c>
      <c r="B95" s="120" t="str">
        <v>Verify presenter notifications use the right channel and only a presenter change notifies.</v>
      </c>
      <c r="C95" s="120" t="str">
        <v>1. For a Draft, Approved, Published and InProgress meeting: set the Member as presenter of item 1, then change only the title, then switch to a guest presenter.</v>
      </c>
      <c r="D95" s="120" t="str">
        <v>1. Every update returns HTTP 200 with code "MSG61".
2. In Draft and Approved no one is notified.
3. In Published and InProgress only the presenter changes notify the new presenter (the title change does not).</v>
      </c>
      <c r="E95" s="120" t="str">
        <v>1. Backend is running.
2. One meeting per status with a Member and a guest invitation.</v>
      </c>
      <c r="F95" s="121" t="str">
        <v>Pending</v>
      </c>
      <c r="G95" s="122" t="str"/>
      <c r="H95" s="121" t="str"/>
      <c r="I95" s="121" t="str"/>
      <c r="J95" s="122" t="str"/>
      <c r="K95" s="121" t="str"/>
      <c r="L95" s="121" t="str"/>
      <c r="M95" s="123" t="str"/>
      <c r="N95" s="121" t="str"/>
      <c r="O95" s="124" t="str"/>
      <c r="P95" s="125"/>
      <c r="Q95" s="112"/>
      <c r="R95" s="112"/>
      <c r="S95" s="112"/>
      <c r="T95" s="112"/>
      <c r="U95" s="112"/>
      <c r="V95" s="112"/>
      <c r="W95" s="112"/>
      <c r="X95" s="112"/>
      <c r="Y95" s="112"/>
    </row>
    <row r="96" ht="153.0" customHeight="1">
      <c r="A96" s="120" t="str">
        <v>AGD_API_IT51</v>
      </c>
      <c r="B96" s="120" t="str">
        <v>Verify a Secretary who makes themselves presenter is not notified.</v>
      </c>
      <c r="C96" s="120" t="str">
        <v>1. Send PUT request to /api/meetings/&lt;id&gt;/agenda/&lt;item 1&gt;.
2. Request headers: Content-Type: application/json; Authorization: Bearer &lt;access token of the meeting Secretary&gt;.
3. Query parameters: None.
4. Request JSON body: { "title": "Báo cáo", "presenterId": "&lt;id of the Secretary&gt;" }.</v>
      </c>
      <c r="D96" s="120" t="str">
        <v>1. HTTP 200 OK with code "MSG61".
2. The Secretary is the presenter.
3. No presenter notification is created.</v>
      </c>
      <c r="E96" s="120" t="str">
        <v>1. Backend is running.
2. A Published meeting with agenda items.</v>
      </c>
      <c r="F96" s="121" t="str">
        <v>Pending</v>
      </c>
      <c r="G96" s="122" t="str"/>
      <c r="H96" s="121" t="str"/>
      <c r="I96" s="121" t="str"/>
      <c r="J96" s="122" t="str"/>
      <c r="K96" s="121" t="str"/>
      <c r="L96" s="121" t="str"/>
      <c r="M96" s="123" t="str"/>
      <c r="N96" s="121" t="str"/>
      <c r="O96" s="124" t="str"/>
      <c r="P96" s="125"/>
      <c r="Q96" s="112"/>
      <c r="R96" s="112"/>
      <c r="S96" s="112"/>
      <c r="T96" s="112"/>
      <c r="U96" s="112"/>
      <c r="V96" s="112"/>
      <c r="W96" s="112"/>
      <c r="X96" s="112"/>
      <c r="Y96" s="112"/>
    </row>
    <row r="97" ht="109.5" customHeight="1">
      <c r="A97" s="120" t="str">
        <v>AGD_API_IT52</v>
      </c>
      <c r="B97" s="120" t="str">
        <v>Verify presenter notifications are not duplicated, recheck the recipient and a failure does not undo the change.</v>
      </c>
      <c r="C97" s="120" t="str">
        <v>1. Make the notifier fail, then assign the Member as presenter.
2. Send the same assignment notification twice.
3. Remove the Member, then trigger the notification.</v>
      </c>
      <c r="D97" s="120" t="str">
        <v>1. The assignment is saved even though the notification failed.
2. Only one notification is stored for the same assignment.
3. No notification goes to a removed member.</v>
      </c>
      <c r="E97" s="120" t="str">
        <v>1. Backend is running.
2. A Published meeting with a Member on PostgreSQL.</v>
      </c>
      <c r="F97" s="121" t="str">
        <v>Pending</v>
      </c>
      <c r="G97" s="122" t="str"/>
      <c r="H97" s="121" t="str"/>
      <c r="I97" s="121" t="str"/>
      <c r="J97" s="122" t="str"/>
      <c r="K97" s="121" t="str"/>
      <c r="L97" s="121" t="str"/>
      <c r="M97" s="123" t="str"/>
      <c r="N97" s="121" t="str"/>
      <c r="O97" s="124" t="str"/>
      <c r="P97" s="125"/>
      <c r="Q97" s="112"/>
      <c r="R97" s="112"/>
      <c r="S97" s="112"/>
      <c r="T97" s="112"/>
      <c r="U97" s="112"/>
      <c r="V97" s="112"/>
      <c r="W97" s="112"/>
      <c r="X97" s="112"/>
      <c r="Y97" s="112"/>
    </row>
    <row r="98" ht="95.0" customHeight="1">
      <c r="A98" s="120" t="str">
        <v>AGD_API_IT53</v>
      </c>
      <c r="B98" s="120" t="str">
        <v>Verify an invalid guest presenter rolls back the information and the links.</v>
      </c>
      <c r="C98" s="120" t="str">
        <v>1. As the Secretary, update item 1 with title "Must roll back", a document and a guest presenter that belongs to another meeting, is revoked, or does not exist.</v>
      </c>
      <c r="D98" s="120" t="str">
        <v>1. Each request returns HTTP 400 with code "MSG66".
2. Item 1 keeps its old title, presenter and documents.</v>
      </c>
      <c r="E98" s="120" t="str">
        <v>1. Backend is running.
2. Two meetings, one with a revoked guest invitation.</v>
      </c>
      <c r="F98" s="121" t="str">
        <v>Pending</v>
      </c>
      <c r="G98" s="122" t="str"/>
      <c r="H98" s="121" t="str"/>
      <c r="I98" s="121" t="str"/>
      <c r="J98" s="122" t="str"/>
      <c r="K98" s="121" t="str"/>
      <c r="L98" s="121" t="str"/>
      <c r="M98" s="123" t="str"/>
      <c r="N98" s="121" t="str"/>
      <c r="O98" s="124" t="str"/>
      <c r="P98" s="125"/>
      <c r="Q98" s="112"/>
      <c r="R98" s="112"/>
      <c r="S98" s="112"/>
      <c r="T98" s="112"/>
      <c r="U98" s="112"/>
      <c r="V98" s="112"/>
      <c r="W98" s="112"/>
      <c r="X98" s="112"/>
      <c r="Y98" s="112"/>
    </row>
    <row r="99" ht="24" customHeight="1">
      <c r="A99" s="120" t="str">
        <v>PUT /api/meetings/{id}/agenda/order</v>
      </c>
      <c r="B99" s="120"/>
      <c r="C99" s="120"/>
      <c r="D99" s="120"/>
      <c r="E99" s="120"/>
      <c r="F99" s="121"/>
      <c r="G99" s="122"/>
      <c r="H99" s="121"/>
      <c r="I99" s="121"/>
      <c r="J99" s="122"/>
      <c r="K99" s="121"/>
      <c r="L99" s="121"/>
      <c r="M99" s="123"/>
      <c r="N99" s="121"/>
      <c r="O99" s="124"/>
      <c r="P99" s="125"/>
      <c r="Q99" s="112"/>
      <c r="R99" s="112"/>
      <c r="S99" s="112"/>
      <c r="T99" s="112"/>
      <c r="U99" s="112"/>
      <c r="V99" s="112"/>
      <c r="W99" s="112"/>
      <c r="X99" s="112"/>
      <c r="Y99" s="112"/>
    </row>
    <row r="100" ht="124.0" customHeight="1">
      <c r="A100" s="120" t="str">
        <v>AGD_API_IT54</v>
      </c>
      <c r="B100" s="120" t="str">
        <v>Verify reorder needs at least two items and refuses the old body format.</v>
      </c>
      <c r="C100" s="120" t="str">
        <v>1. GET the agenda of a meeting with one item.
2. PUT /agenda/order with its orderVersion and the single id.
3. PUT /agenda/order with the old body format (a list of positions).</v>
      </c>
      <c r="D100" s="120" t="str">
        <v>1. permissions.canReorder is false.
2. Both requests return HTTP 400 with code "MSG143" ("Danh sách sắp xếp phải chứa đúng mỗi mục nghị sự một lần.").</v>
      </c>
      <c r="E100" s="120" t="str">
        <v>1. Backend is running.
2. A meeting with exactly one agenda item.</v>
      </c>
      <c r="F100" s="121" t="str">
        <v>Pending</v>
      </c>
      <c r="G100" s="122" t="str"/>
      <c r="H100" s="121" t="str"/>
      <c r="I100" s="121" t="str"/>
      <c r="J100" s="122" t="str"/>
      <c r="K100" s="121" t="str"/>
      <c r="L100" s="121" t="str"/>
      <c r="M100" s="123" t="str"/>
      <c r="N100" s="121" t="str"/>
      <c r="O100" s="124" t="str"/>
      <c r="P100" s="125"/>
      <c r="Q100" s="112"/>
      <c r="R100" s="112"/>
      <c r="S100" s="112"/>
      <c r="T100" s="112"/>
      <c r="U100" s="112"/>
      <c r="V100" s="112"/>
      <c r="W100" s="112"/>
      <c r="X100" s="112"/>
      <c r="Y100" s="112"/>
    </row>
    <row r="101" ht="24" customHeight="1">
      <c r="A101" s="120" t="str">
        <v>PUT /api/meetings/{id}/agenda/{itemId}/conclusion</v>
      </c>
      <c r="B101" s="120"/>
      <c r="C101" s="120"/>
      <c r="D101" s="120"/>
      <c r="E101" s="120"/>
      <c r="F101" s="121"/>
      <c r="G101" s="122"/>
      <c r="H101" s="121"/>
      <c r="I101" s="121"/>
      <c r="J101" s="122"/>
      <c r="K101" s="121"/>
      <c r="L101" s="121"/>
      <c r="M101" s="123"/>
      <c r="N101" s="121"/>
      <c r="O101" s="124"/>
      <c r="P101" s="125"/>
      <c r="Q101" s="112"/>
      <c r="R101" s="112"/>
      <c r="S101" s="112"/>
      <c r="T101" s="112"/>
      <c r="U101" s="112"/>
      <c r="V101" s="112"/>
      <c r="W101" s="112"/>
      <c r="X101" s="112"/>
      <c r="Y101" s="112"/>
    </row>
    <row r="102" ht="80.5" customHeight="1">
      <c r="A102" s="120" t="str">
        <v>AGD_API_IT55</v>
      </c>
      <c r="B102" s="120" t="str">
        <v>Verify minutes in any status lock the conclusion, even with empty content.</v>
      </c>
      <c r="C102" s="120" t="str">
        <v>1. Create empty minutes for the meeting.
2. For each minutes status, as the Secretary PUT the conclusion "Locked".</v>
      </c>
      <c r="D102" s="120" t="str">
        <v>1. Each request returns HTTP 409 with code "MSG273".
2. No conclusion is saved.</v>
      </c>
      <c r="E102" s="120" t="str">
        <v>1. Backend is running.
2. An InProgress meeting with a started item.</v>
      </c>
      <c r="F102" s="121" t="str">
        <v>Pending</v>
      </c>
      <c r="G102" s="122" t="str"/>
      <c r="H102" s="121" t="str"/>
      <c r="I102" s="121" t="str"/>
      <c r="J102" s="122" t="str"/>
      <c r="K102" s="121" t="str"/>
      <c r="L102" s="121" t="str"/>
      <c r="M102" s="123" t="str"/>
      <c r="N102" s="121" t="str"/>
      <c r="O102" s="124" t="str"/>
      <c r="P102" s="125"/>
      <c r="Q102" s="112"/>
      <c r="R102" s="112"/>
      <c r="S102" s="112"/>
      <c r="T102" s="112"/>
      <c r="U102" s="112"/>
      <c r="V102" s="112"/>
      <c r="W102" s="112"/>
      <c r="X102" s="112"/>
      <c r="Y102" s="112"/>
    </row>
    <row r="103" ht="24" customHeight="1">
      <c r="A103" s="120" t="str">
        <v>PUT /api/meetings/{id}/agenda/{itemId}</v>
      </c>
      <c r="B103" s="120"/>
      <c r="C103" s="120"/>
      <c r="D103" s="120"/>
      <c r="E103" s="120"/>
      <c r="F103" s="121"/>
      <c r="G103" s="122"/>
      <c r="H103" s="121"/>
      <c r="I103" s="121"/>
      <c r="J103" s="122"/>
      <c r="K103" s="121"/>
      <c r="L103" s="121"/>
      <c r="M103" s="123"/>
      <c r="N103" s="121"/>
      <c r="O103" s="124"/>
      <c r="P103" s="125"/>
      <c r="Q103" s="112"/>
      <c r="R103" s="112"/>
      <c r="S103" s="112"/>
      <c r="T103" s="112"/>
      <c r="U103" s="112"/>
      <c r="V103" s="112"/>
      <c r="W103" s="112"/>
      <c r="X103" s="112"/>
      <c r="Y103" s="112"/>
    </row>
    <row r="104" ht="211.0" customHeight="1">
      <c r="A104" s="120" t="str">
        <v>AGD_API_IT56</v>
      </c>
      <c r="B104" s="120" t="str">
        <v>Verify an update without documentIds keeps the links and an empty list clears them.</v>
      </c>
      <c r="C104" s="120" t="str">
        <v>1. As the Secretary, PUT /api/meetings/&lt;id&gt;/agenda/&lt;item&gt; linking one meeting document.
2. PUT with { "title": "Tiêu đề", "description": "Dòng 1\nDòng 2" } (no change).
3. PUT { "title": "Đổi tên" }, then { "title": "Đổi tên", "documentIds": null }.
4. PUT with "documentIds": [].
5. POST /api/meetings/&lt;id&gt;/agenda { "title": "Mới" } and GET the agenda.</v>
      </c>
      <c r="D104" s="120" t="str">
        <v>1. Every PUT returns HTTP 200 with code "MSG61" ("Cập nhật mục nghị sự thành công."); the unchanged update sends no realtime event.
2. Omitting documentIds, or sending null, keeps the document linked to the item.
3. An empty list unlinks it; the document itself stays in the meeting.
4. The new item returns HTTP 201 "MSG60" and has no documents.</v>
      </c>
      <c r="E104" s="120" t="str">
        <v>1. Backend is running.
2. A meeting with an agenda item and one meeting document; signed in as its Secretary.</v>
      </c>
      <c r="F104" s="121" t="str">
        <v>Pending</v>
      </c>
      <c r="G104" s="122" t="str"/>
      <c r="H104" s="121" t="str"/>
      <c r="I104" s="121" t="str"/>
      <c r="J104" s="122" t="str"/>
      <c r="K104" s="121" t="str"/>
      <c r="L104" s="121" t="str"/>
      <c r="M104" s="123" t="str"/>
      <c r="N104" s="121" t="str"/>
      <c r="O104" s="124" t="str"/>
      <c r="P104" s="125"/>
      <c r="Q104" s="112"/>
      <c r="R104" s="112"/>
      <c r="S104" s="112"/>
      <c r="T104" s="112"/>
      <c r="U104" s="112"/>
      <c r="V104" s="112"/>
      <c r="W104" s="112"/>
      <c r="X104" s="112"/>
      <c r="Y104" s="112"/>
    </row>
    <row r="105" ht="24" customHeight="1">
      <c r="A105" s="120" t="str">
        <v>GET /api/meetings/{id}/agenda</v>
      </c>
      <c r="B105" s="120"/>
      <c r="C105" s="120"/>
      <c r="D105" s="120"/>
      <c r="E105" s="120"/>
      <c r="F105" s="121"/>
      <c r="G105" s="122"/>
      <c r="H105" s="121"/>
      <c r="I105" s="121"/>
      <c r="J105" s="122"/>
      <c r="K105" s="121"/>
      <c r="L105" s="121"/>
      <c r="M105" s="123"/>
      <c r="N105" s="121"/>
      <c r="O105" s="124"/>
      <c r="P105" s="125"/>
      <c r="Q105" s="112"/>
      <c r="R105" s="112"/>
      <c r="S105" s="112"/>
      <c r="T105" s="112"/>
      <c r="U105" s="112"/>
      <c r="V105" s="112"/>
      <c r="W105" s="112"/>
      <c r="X105" s="112"/>
      <c r="Y105" s="112"/>
    </row>
    <row r="106" ht="124.0" customHeight="1">
      <c r="A106" s="120" t="str">
        <v>AGD_API_IT57</v>
      </c>
      <c r="B106" s="120" t="str">
        <v>Verify canLinkDocuments follows the document rules, not agenda planning (Published, InProgress, Ended).</v>
      </c>
      <c r="C106" s="120" t="str">
        <v>1. For a Published meeting, GET /api/meetings/&lt;id&gt;/agenda as the Chair, the Secretary, a Member and the organizer; read items[0].actions.canLinkDocuments.
2. Repeat for an InProgress and an Ended meeting.</v>
      </c>
      <c r="D106" s="120" t="str">
        <v>1. Published and InProgress: true for the Chair and the Secretary; false for the Member and the organizer.
2. Ended: false for everyone.</v>
      </c>
      <c r="E106" s="120" t="str">
        <v>1. Backend is running.
2. Meetings in each status with one agenda item; Chair, Secretary and Member on the roster; the organizer is not.</v>
      </c>
      <c r="F106" s="121" t="str">
        <v>Pending</v>
      </c>
      <c r="G106" s="122" t="str"/>
      <c r="H106" s="121" t="str"/>
      <c r="I106" s="121" t="str"/>
      <c r="J106" s="122" t="str"/>
      <c r="K106" s="121" t="str"/>
      <c r="L106" s="121" t="str"/>
      <c r="M106" s="123" t="str"/>
      <c r="N106" s="121" t="str"/>
      <c r="O106" s="124" t="str"/>
      <c r="P106" s="125"/>
      <c r="Q106" s="112"/>
      <c r="R106" s="112"/>
      <c r="S106" s="112"/>
      <c r="T106" s="112"/>
      <c r="U106" s="112"/>
      <c r="V106" s="112"/>
      <c r="W106" s="112"/>
      <c r="X106" s="112"/>
      <c r="Y106" s="112"/>
    </row>
  </sheetData>
  <mergeCells count="42">
    <mergeCell ref="B2:E2"/>
    <mergeCell ref="B3:E3"/>
    <mergeCell ref="B4:E4"/>
    <mergeCell ref="A11:O11"/>
    <mergeCell ref="A13:O13"/>
    <mergeCell ref="A15:O15"/>
    <mergeCell ref="A19:O19"/>
    <mergeCell ref="A21:O21"/>
    <mergeCell ref="A24:O24"/>
    <mergeCell ref="A26:O26"/>
    <mergeCell ref="A28:O28"/>
    <mergeCell ref="A30:O30"/>
    <mergeCell ref="A32:O32"/>
    <mergeCell ref="A34:O34"/>
    <mergeCell ref="A36:O36"/>
    <mergeCell ref="A38:O38"/>
    <mergeCell ref="A40:O40"/>
    <mergeCell ref="A42:O42"/>
    <mergeCell ref="A44:O44"/>
    <mergeCell ref="A46:O46"/>
    <mergeCell ref="A48:O48"/>
    <mergeCell ref="A50:O50"/>
    <mergeCell ref="A52:O52"/>
    <mergeCell ref="A54:O54"/>
    <mergeCell ref="A56:O56"/>
    <mergeCell ref="A58:O58"/>
    <mergeCell ref="A60:O60"/>
    <mergeCell ref="A67:O67"/>
    <mergeCell ref="A73:O73"/>
    <mergeCell ref="A76:O76"/>
    <mergeCell ref="A78:O78"/>
    <mergeCell ref="A80:O80"/>
    <mergeCell ref="A82:O82"/>
    <mergeCell ref="A84:O84"/>
    <mergeCell ref="A86:O86"/>
    <mergeCell ref="A88:O88"/>
    <mergeCell ref="A92:O92"/>
    <mergeCell ref="A94:O94"/>
    <mergeCell ref="A99:O99"/>
    <mergeCell ref="A101:O101"/>
    <mergeCell ref="A103:O103"/>
    <mergeCell ref="A105:O105"/>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Attendance</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attendance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12</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COUNTIF(F12:F27,"Passed")</f>
        <v>0</v>
      </c>
      <c r="C6" s="114" t="n">
        <f>COUNTIF(F12:F27,"Failed")</f>
        <v>0</v>
      </c>
      <c r="D6" s="114" t="n">
        <f>B4-B6-C6-E6</f>
        <v>12</v>
      </c>
      <c r="E6" s="114" t="n">
        <f>COUNTIF(F12:F27,"Skipped")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COUNTIF(I12:I27,"Passed")</f>
        <v>0</v>
      </c>
      <c r="C7" s="114" t="n">
        <f>COUNTIF(I12:I27,"Failed")</f>
        <v>0</v>
      </c>
      <c r="D7" s="114" t="n">
        <f>B4-B7-C7-E7</f>
        <v>12</v>
      </c>
      <c r="E7" s="114" t="n">
        <f>COUNTIF(I12:I27,"Skipped")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COUNTIF(L12:L27,"Passed")</f>
        <v>0</v>
      </c>
      <c r="C8" s="114" t="n">
        <f>COUNTIF(L12:L27,"Failed")</f>
        <v>0</v>
      </c>
      <c r="D8" s="114" t="n">
        <f>B4-B8-C8-E8</f>
        <v>12</v>
      </c>
      <c r="E8" s="114" t="n">
        <f>COUNTIF(L12:L27,"Skipped")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GET /api/meetings/{id}/attendance</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67.5" customHeight="1">
      <c r="A12" s="120" t="str">
        <v>ATT_API_IT01</v>
      </c>
      <c r="B12" s="120" t="str">
        <v>Verify attendance access and private fields are decided by the server.</v>
      </c>
      <c r="C12" s="120" t="str">
        <v>1. GET /api/meetings/&lt;id&gt;/attendance without authentication.
2. As an outsider, GET /attendance?page=-1.
3. As the Member, the Chair and the Secretary, GET /attendance.
4. As the Member and the Chair, POST /attendance with one entry.</v>
      </c>
      <c r="D12" s="120" t="str">
        <v>1. Anonymous: HTTP 401; outsider: HTTP 404.
2. Member, Chair and Secretary can read (HTTP 200); the Member sees no other person's private details.
3. Only the Secretary may record; the Member and the Chair get HTTP 403.</v>
      </c>
      <c r="E12" s="120" t="str">
        <v>1. Backend is running.
2. An InProgress meeting with Chair, Secretary, Member and one guest.</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24" customHeight="1">
      <c r="A13" s="120" t="str">
        <v>POST /api/meetings/{id}/attendance</v>
      </c>
      <c r="B13" s="120"/>
      <c r="C13" s="120"/>
      <c r="D13" s="120"/>
      <c r="E13" s="120"/>
      <c r="F13" s="121"/>
      <c r="G13" s="122"/>
      <c r="H13" s="121"/>
      <c r="I13" s="121"/>
      <c r="J13" s="122"/>
      <c r="K13" s="121"/>
      <c r="L13" s="121"/>
      <c r="M13" s="123"/>
      <c r="N13" s="121"/>
      <c r="O13" s="124"/>
      <c r="P13" s="125"/>
      <c r="Q13" s="112"/>
      <c r="R13" s="112"/>
      <c r="S13" s="112"/>
      <c r="T13" s="112"/>
      <c r="U13" s="112"/>
      <c r="V13" s="112"/>
      <c r="W13" s="112"/>
      <c r="X13" s="112"/>
      <c r="Y13" s="112"/>
    </row>
    <row r="14" ht="211.0" customHeight="1">
      <c r="A14" s="120" t="str">
        <v>ATT_API_IT02</v>
      </c>
      <c r="B14" s="120" t="str">
        <v>Verify a mixed batch saves each change with its own version and audit, and a no-op keeps the metadata.</v>
      </c>
      <c r="C14" s="120" t="str">
        <v>1. As the Secretary, GET /attendance.
2. POST /attendance with { "entries": [ { "id": "&lt;member seat id&gt;", "kind": "Internal", "attendance": "Present", "expectedVersion": "&lt;token from GET&gt;" }, { "id": "&lt;guest invitation id&gt;", "kind": "Guest", "attendance": "Absent", "expectedVersion": "&lt;token&gt;" } ] }.
3. Send an entry with the attendance it already has.</v>
      </c>
      <c r="D14" s="120" t="str">
        <v>1. Before saving, totals.unmarked is 4.
2. The save returns HTTP 200 with code "MSG147" ("Lưu điểm danh thành công.") and changedCount 2.
3. Each changed person has a new version, recorder and time, and an audit entry.
4. The no-op returns MSG147 and keeps the earlier recorder and time.</v>
      </c>
      <c r="E14" s="120" t="str">
        <v>1. Backend is running.
2. An InProgress meeting with Chair, Secretary, Member and one guest.</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138.5" customHeight="1">
      <c r="A15" s="120" t="str">
        <v>ATT_API_IT03</v>
      </c>
      <c r="B15" s="120" t="str">
        <v>Verify answering the invitation or changing role keeps the attendance token valid.</v>
      </c>
      <c r="C15" s="120" t="str">
        <v>1. As the Secretary, mark the Member Present.
2. As the Member, accept the invitation; as the Secretary, change the Member's role to Secretary.
3. Save the Member's attendance with the token from before these changes.</v>
      </c>
      <c r="D15" s="120" t="str">
        <v>1. The response and role changes succeed (MSG105, MSG100).
2. The attendance save with the earlier token is accepted (HTTP 200, MSG147).</v>
      </c>
      <c r="E15" s="120" t="str">
        <v>1. Backend is running.
2. An InProgress meeting with a Member.</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95.0" customHeight="1">
      <c r="A16" s="120" t="str">
        <v>ATT_API_IT04</v>
      </c>
      <c r="B16" s="120" t="str">
        <v>Verify the attendance body is validated strictly.</v>
      </c>
      <c r="C16" s="120" t="str">
        <v>1. As the Secretary, POST /attendance with each body: {}; entries []; entries [null]; entries null; entries twice; an extra actorId; []; an entry with id "invalid".</v>
      </c>
      <c r="D16" s="120" t="str">
        <v>1. Each request returns HTTP 400 with code "MSG148" ("Thông tin điểm danh không hợp lệ. Chọn Có mặt hoặc Vắng cho từng người ...").</v>
      </c>
      <c r="E16" s="120" t="str">
        <v>1. Backend is running.
2. An InProgress meeting and its Secretary signed in.</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95.0" customHeight="1">
      <c r="A17" s="120" t="str">
        <v>ATT_API_IT05</v>
      </c>
      <c r="B17" s="120" t="str">
        <v>Verify invalid entries are rejected.</v>
      </c>
      <c r="C17" s="120" t="str">
        <v>1. POST an entry with: kind "internal" (wrong case); attendance "Unknown"; the empty id; the same entry twice; no expectedVersion; attendance 1 (a number).</v>
      </c>
      <c r="D17" s="120" t="str">
        <v>1. Each request returns HTTP 400 with code "MSG148".
2. No attendance changes.</v>
      </c>
      <c r="E17" s="120" t="str">
        <v>1. Backend is running.
2. An InProgress meeting and its Secretary signed in.</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95.0" customHeight="1">
      <c r="A18" s="120" t="str">
        <v>ATT_API_IT06</v>
      </c>
      <c r="B18" s="120" t="str">
        <v>Verify attendance can be recorded only while the meeting is InProgress.</v>
      </c>
      <c r="C18" s="120" t="str">
        <v>1. For a Draft, WaitingApproval, Rejected, Approved, Published and Ended meeting, as the Secretary POST one attendance entry, then GET /attendance.</v>
      </c>
      <c r="D18" s="120" t="str">
        <v>1. Each save returns HTTP 409 with code "MSG149" ("Chỉ được điểm danh khi cuộc họp đang diễn ra.").
2. permissions.canRecordAttendance is false.</v>
      </c>
      <c r="E18" s="120" t="str">
        <v>1. Backend is running.
2. One meeting per status with a Secretary and a Member.</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24" customHeight="1">
      <c r="A19" s="120" t="str">
        <v>GET /api/meetings/{id}/attendance</v>
      </c>
      <c r="B19" s="120"/>
      <c r="C19" s="120"/>
      <c r="D19" s="120"/>
      <c r="E19" s="120"/>
      <c r="F19" s="121"/>
      <c r="G19" s="122"/>
      <c r="H19" s="121"/>
      <c r="I19" s="121"/>
      <c r="J19" s="122"/>
      <c r="K19" s="121"/>
      <c r="L19" s="121"/>
      <c r="M19" s="123"/>
      <c r="N19" s="121"/>
      <c r="O19" s="124"/>
      <c r="P19" s="125"/>
      <c r="Q19" s="112"/>
      <c r="R19" s="112"/>
      <c r="S19" s="112"/>
      <c r="T19" s="112"/>
      <c r="U19" s="112"/>
      <c r="V19" s="112"/>
      <c r="W19" s="112"/>
      <c r="X19" s="112"/>
      <c r="Y19" s="112"/>
    </row>
    <row r="20" ht="124.0" customHeight="1">
      <c r="A20" s="120" t="str">
        <v>ATT_API_IT07</v>
      </c>
      <c r="B20" s="120" t="str">
        <v>Verify legacy values are shown separately and can be corrected without rewriting others.</v>
      </c>
      <c r="C20" s="120" t="str">
        <v>1. Set the Member to Excused and the guest to Delegated (legacy values) and deactivate the Member.
2. GET /attendance?pageSize=1.
3. Correct the guest to Present.</v>
      </c>
      <c r="D20" s="120" t="str">
        <v>1. totals.legacy is 2 and the legacy values are shown as they are.
2. The correction saves only the guest; the Member keeps the legacy value.</v>
      </c>
      <c r="E20" s="120" t="str">
        <v>1. Backend is running.
2. An InProgress meeting with a Member and a guest.</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80.5" customHeight="1">
      <c r="A21" s="120" t="str">
        <v>ATT_API_IT08</v>
      </c>
      <c r="B21" s="120" t="str">
        <v>Verify a corrupt stored attendance is reported, not shown as unmarked.</v>
      </c>
      <c r="C21" s="120" t="str">
        <v>1. In psql set the Member's attendance to "Corrupt" (then "999", then "present").
2. As the Secretary, GET /attendance.</v>
      </c>
      <c r="D21" s="120" t="str">
        <v>1. HTTP 500 with code "MSG289" ("Không tải được dữ liệu điểm danh.").
2. The stored value is left as it is.</v>
      </c>
      <c r="E21" s="120" t="str">
        <v>1. Backend is running.
2. An InProgress meeting on PostgreSQL.</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24" customHeight="1">
      <c r="A22" s="120" t="str">
        <v>POST /api/meetings/{id}/attendance</v>
      </c>
      <c r="B22" s="120"/>
      <c r="C22" s="120"/>
      <c r="D22" s="120"/>
      <c r="E22" s="120"/>
      <c r="F22" s="121"/>
      <c r="G22" s="122"/>
      <c r="H22" s="121"/>
      <c r="I22" s="121"/>
      <c r="J22" s="122"/>
      <c r="K22" s="121"/>
      <c r="L22" s="121"/>
      <c r="M22" s="123"/>
      <c r="N22" s="121"/>
      <c r="O22" s="124"/>
      <c r="P22" s="125"/>
      <c r="Q22" s="112"/>
      <c r="R22" s="112"/>
      <c r="S22" s="112"/>
      <c r="T22" s="112"/>
      <c r="U22" s="112"/>
      <c r="V22" s="112"/>
      <c r="W22" s="112"/>
      <c r="X22" s="112"/>
      <c r="Y22" s="112"/>
    </row>
    <row r="23" ht="95.0" customHeight="1">
      <c r="A23" s="120" t="str">
        <v>ATT_API_IT09</v>
      </c>
      <c r="B23" s="120" t="str">
        <v>Verify a database failure at commit rolls back the updates, versions and audit together.</v>
      </c>
      <c r="C23" s="120" t="str">
        <v>1. Add a deferred trigger that fails when an attendance audit row is committed.
2. As the Secretary, save the Member and the guest as Present.</v>
      </c>
      <c r="D23" s="120" t="str">
        <v>1. HTTP 503 with code "MSG150".
2. Neither attendance, version nor audit row is saved.</v>
      </c>
      <c r="E23" s="120" t="str">
        <v>1. Backend is running.
2. An InProgress meeting with a guest on PostgreSQL.</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80.5" customHeight="1">
      <c r="A24" s="120" t="str">
        <v>ATT_API_IT10</v>
      </c>
      <c r="B24" s="120" t="str">
        <v>Verify a save failure rolls back the batch while a realtime failure keeps the commit.</v>
      </c>
      <c r="C24" s="120" t="str">
        <v>1. Make the save fail and record two entries.
2. Make only the realtime push fail and record them again.</v>
      </c>
      <c r="D24" s="120" t="str">
        <v>1. Save failure: HTTP 503 with code "MSG150"; versions stay 0 and no audit row exists.
2. Push failure: HTTP 200 with code "MSG147"; the attendance is saved.</v>
      </c>
      <c r="E24" s="120" t="str">
        <v>1. Backend is running.
2. An InProgress meeting with a Member and a guest.</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row r="25" ht="167.5" customHeight="1">
      <c r="A25" s="120" t="str">
        <v>ATT_API_IT11</v>
      </c>
      <c r="B25" s="120" t="str">
        <v>Verify a chunked request cannot bypass the body size limit.</v>
      </c>
      <c r="C25" s="120" t="str">
        <v>1. Send POST request to /api/meetings/&lt;id&gt;/attendance.
2. Request headers: Content-Type: application/json; Content-Type: application/json; Transfer-Encoding: chunked; Authorization: Bearer &lt;access token of the meeting Secretary&gt;.
3. Query parameters: None.
4. Request JSON body: &lt;more than 64 KiB sent in chunks&gt;.</v>
      </c>
      <c r="D25" s="120" t="str">
        <v>1. HTTP 413 with code "MSG87".</v>
      </c>
      <c r="E25" s="120" t="str">
        <v>1. Backend is running.
2. An InProgress meeting and its Secretary signed in.</v>
      </c>
      <c r="F25" s="121" t="str">
        <v>Pending</v>
      </c>
      <c r="G25" s="122" t="str"/>
      <c r="H25" s="121" t="str"/>
      <c r="I25" s="121" t="str"/>
      <c r="J25" s="122" t="str"/>
      <c r="K25" s="121" t="str"/>
      <c r="L25" s="121" t="str"/>
      <c r="M25" s="123" t="str"/>
      <c r="N25" s="121" t="str"/>
      <c r="O25" s="124" t="str"/>
      <c r="P25" s="125"/>
      <c r="Q25" s="112"/>
      <c r="R25" s="112"/>
      <c r="S25" s="112"/>
      <c r="T25" s="112"/>
      <c r="U25" s="112"/>
      <c r="V25" s="112"/>
      <c r="W25" s="112"/>
      <c r="X25" s="112"/>
      <c r="Y25" s="112"/>
    </row>
    <row r="26" ht="24" customHeight="1">
      <c r="A26" s="120" t="str">
        <v>GET /api/meetings/{id}/attendance</v>
      </c>
      <c r="B26" s="120"/>
      <c r="C26" s="120"/>
      <c r="D26" s="120"/>
      <c r="E26" s="120"/>
      <c r="F26" s="121"/>
      <c r="G26" s="122"/>
      <c r="H26" s="121"/>
      <c r="I26" s="121"/>
      <c r="J26" s="122"/>
      <c r="K26" s="121"/>
      <c r="L26" s="121"/>
      <c r="M26" s="123"/>
      <c r="N26" s="121"/>
      <c r="O26" s="124"/>
      <c r="P26" s="125"/>
      <c r="Q26" s="112"/>
      <c r="R26" s="112"/>
      <c r="S26" s="112"/>
      <c r="T26" s="112"/>
      <c r="U26" s="112"/>
      <c r="V26" s="112"/>
      <c r="W26" s="112"/>
      <c r="X26" s="112"/>
      <c r="Y26" s="112"/>
    </row>
    <row r="27" ht="153.0" customHeight="1">
      <c r="A27" s="120" t="str">
        <v>ATT_API_IT12</v>
      </c>
      <c r="B27" s="120" t="str">
        <v>Verify read failures, bad queries, media type, size and wrong ids have stable codes.</v>
      </c>
      <c r="C27" s="120" t="str">
        <v>1. Make the guest profile read fail and GET /attendance.
2. GET /attendance with page=0, page=1&amp;page=2, pageSize=101, q=x, page=-1, page=2147483648.
3. POST /attendance with a text/plain body, then with an oversized body, then with ids of another meeting.</v>
      </c>
      <c r="D27" s="120" t="str">
        <v>1. Read failure: HTTP 500 with code "MSG289".
2. Each bad query: HTTP 400 with code "MSG278" ("Tham số phân trang điểm danh không hợp lệ.").
3. text/plain: HTTP 415 with code "MSG34"; oversized: HTTP 413 with code "MSG87"; wrong ids: HTTP 400 with code "MSG148".</v>
      </c>
      <c r="E27" s="120" t="str">
        <v>1. Backend is running.
2. An InProgress meeting and its Secretary signed in.</v>
      </c>
      <c r="F27" s="121" t="str">
        <v>Pending</v>
      </c>
      <c r="G27" s="122" t="str"/>
      <c r="H27" s="121" t="str"/>
      <c r="I27" s="121" t="str"/>
      <c r="J27" s="122" t="str"/>
      <c r="K27" s="121" t="str"/>
      <c r="L27" s="121" t="str"/>
      <c r="M27" s="123" t="str"/>
      <c r="N27" s="121" t="str"/>
      <c r="O27" s="124" t="str"/>
      <c r="P27" s="125"/>
      <c r="Q27" s="112"/>
      <c r="R27" s="112"/>
      <c r="S27" s="112"/>
      <c r="T27" s="112"/>
      <c r="U27" s="112"/>
      <c r="V27" s="112"/>
      <c r="W27" s="112"/>
      <c r="X27" s="112"/>
      <c r="Y27" s="112"/>
    </row>
  </sheetData>
  <mergeCells count="8">
    <mergeCell ref="B2:E2"/>
    <mergeCell ref="B3:E3"/>
    <mergeCell ref="B4:E4"/>
    <mergeCell ref="A11:O11"/>
    <mergeCell ref="A13:O13"/>
    <mergeCell ref="A19:O19"/>
    <mergeCell ref="A22:O22"/>
    <mergeCell ref="A26:O26"/>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Authentication</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authentication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29</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COUNTIF(F12:F44,"Passed")</f>
        <v>0</v>
      </c>
      <c r="C6" s="114" t="n">
        <f>COUNTIF(F12:F44,"Failed")</f>
        <v>0</v>
      </c>
      <c r="D6" s="114" t="n">
        <f>B4-B6-C6-E6</f>
        <v>29</v>
      </c>
      <c r="E6" s="114" t="n">
        <f>COUNTIF(F12:F44,"Skipped")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COUNTIF(I12:I44,"Passed")</f>
        <v>0</v>
      </c>
      <c r="C7" s="114" t="n">
        <f>COUNTIF(I12:I44,"Failed")</f>
        <v>0</v>
      </c>
      <c r="D7" s="114" t="n">
        <f>B4-B7-C7-E7</f>
        <v>29</v>
      </c>
      <c r="E7" s="114" t="n">
        <f>COUNTIF(I12:I44,"Skipped")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COUNTIF(L12:L44,"Passed")</f>
        <v>0</v>
      </c>
      <c r="C8" s="114" t="n">
        <f>COUNTIF(L12:L44,"Failed")</f>
        <v>0</v>
      </c>
      <c r="D8" s="114" t="n">
        <f>B4-B8-C8-E8</f>
        <v>29</v>
      </c>
      <c r="E8" s="114" t="n">
        <f>COUNTIF(L12:L44,"Skipped")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POST /api/auth/login</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24.0" customHeight="1">
      <c r="A12" s="120" t="str">
        <v>AUTH_API_IT01</v>
      </c>
      <c r="B12" s="120" t="str">
        <v>Verify POST /api/auth/login signs in with a valid email and password and returns the user.</v>
      </c>
      <c r="C12" s="120" t="str">
        <v>1. Send POST request to /api/auth/login.
2. Request headers: Content-Type: application/json.
3. Request JSON body: { "email": "thuky@trustcabinet.local", "password": "TrustCabinet@2026" }.</v>
      </c>
      <c r="D12" s="120" t="str">
        <v>1. HTTP 200 OK response.
2. Response JSON body contains accessToken, accessTokenExpiresAt and user.
3. user.email is "thuky@trustcabinet.local", user.roleName is "Thư ký".
4. user.capabilities lists the capabilities of the Secretary role (for example MeetingCreator).</v>
      </c>
      <c r="E12" s="120" t="str">
        <v>1. Backend is running.
2. Account thuky@trustcabinet.local exists, is active and has the Secretary role.
3. User is not signed in.</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153.0" customHeight="1">
      <c r="A13" s="120" t="str">
        <v>AUTH_API_IT02</v>
      </c>
      <c r="B13" s="120" t="str">
        <v>Verify POST /api/auth/login never returns the password or its hash.</v>
      </c>
      <c r="C13" s="120" t="str">
        <v>1. Send POST request to /api/auth/login.
2. Request headers: Content-Type: application/json.
3. Request JSON body: { "email": "thuky@trustcabinet.local", "password": "TrustCabinet@2026" }.
4. Read the raw response body.</v>
      </c>
      <c r="D13" s="120" t="str">
        <v>1. HTTP 200 OK response.
2. The response body contains no field named password or passwordHash.
3. The response body does not contain the text TrustCabinet@2026.</v>
      </c>
      <c r="E13" s="120" t="str">
        <v>1. Backend is running.
2. Account thuky@trustcabinet.local exists and is active.</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240.0" customHeight="1">
      <c r="A14" s="120" t="str">
        <v>AUTH_API_IT03</v>
      </c>
      <c r="B14" s="120" t="str">
        <v>Verify POST /api/auth/login returns MSG01 for an unknown email, a wrong password or empty fields.</v>
      </c>
      <c r="C14" s="120" t="str">
        <v>1. Send POST request to /api/auth/login with body { "email": "khong-ton-tai@trustcabinet.local", "password": "TrustCabinet@2026" }.
2. Send POST request to /api/auth/login with body { "email": "thuky@trustcabinet.local", "password": "SaiMatKhau@2026" }.
3. Send POST request to /api/auth/login with body { "email": "", "password": "" }.
4. Request headers for each request: Content-Type: application/json.</v>
      </c>
      <c r="D14" s="120" t="str">
        <v>1. Each request returns HTTP 401 Unauthorized.
2. Each response JSON body has code "MSG01".
3. The three responses are identical, so they do not reveal whether the email exists.</v>
      </c>
      <c r="E14" s="120" t="str">
        <v>1. Backend is running.
2. Account thuky@trustcabinet.local exists and is active.
3. No account uses khong-ton-tai@trustcabinet.local.</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124.0" customHeight="1">
      <c r="A15" s="120" t="str">
        <v>AUTH_API_IT04</v>
      </c>
      <c r="B15" s="120" t="str">
        <v>Verify POST /api/auth/login returns MSG02 for a deactivated account.</v>
      </c>
      <c r="C15" s="120" t="str">
        <v>1. Send POST request to /api/auth/login.
2. Request headers: Content-Type: application/json.
3. Request JSON body: { "email": "thuky@trustcabinet.local", "password": "TrustCabinet@2026" }.</v>
      </c>
      <c r="D15" s="120" t="str">
        <v>1. HTTP 401 Unauthorized response.
2. Response JSON body: { "code": "MSG02", "message": "Tài khoản không khả dụng. Vui lòng liên hệ quản trị viên." }.
3. No tc_refresh_token cookie is set.</v>
      </c>
      <c r="E15" s="120" t="str">
        <v>1. Backend is running.
2. Account thuky@trustcabinet.local exists with the correct password but has been deactivated by an administrator.</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124.0" customHeight="1">
      <c r="A16" s="120" t="str">
        <v>AUTH_API_IT05</v>
      </c>
      <c r="B16" s="120" t="str">
        <v>Verify POST /api/auth/login succeeds for a role that grants no capability.</v>
      </c>
      <c r="C16" s="120" t="str">
        <v>1. Send POST request to /api/auth/login.
2. Request headers: Content-Type: application/json.
3. Request JSON body: { "email": "chutoa@trustcabinet.local", "password": "TrustCabinet@2026" }.</v>
      </c>
      <c r="D16" s="120" t="str">
        <v>1. HTTP 200 OK response.
2. Response JSON body contains an accessToken.
3. user.capabilities is an empty list.</v>
      </c>
      <c r="E16" s="120" t="str">
        <v>1. Backend is running.
2. Account chutoa@trustcabinet.local is active.
3. Its role has no capability ticked in the role matrix.</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124.0" customHeight="1">
      <c r="A17" s="120" t="str">
        <v>AUTH_API_IT06</v>
      </c>
      <c r="B17" s="120" t="str">
        <v>Verify a rejected sign-in carries its Vietnamese message.</v>
      </c>
      <c r="C17" s="120" t="str">
        <v>1. Send POST request to /api/auth/login.
2. Request headers: Content-Type: application/json.
3. Request JSON body: { "email": "thuky@trustcabinet.local", "password": "SaiMatKhau@2026" }.</v>
      </c>
      <c r="D17" s="120" t="str">
        <v>1. HTTP 401 Unauthorized response.
2. Response JSON body: { "code": "MSG01", "message": "Email hoặc mật khẩu không đúng." }.</v>
      </c>
      <c r="E17" s="120" t="str">
        <v>1. Backend is running.
2. Account thuky@trustcabinet.local exists and is active.</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167.5" customHeight="1">
      <c r="A18" s="120" t="str">
        <v>AUTH_API_IT07</v>
      </c>
      <c r="B18" s="120" t="str">
        <v>Verify POST /api/auth/login puts the refresh token in an HttpOnly cookie and not in the body.</v>
      </c>
      <c r="C18" s="120" t="str">
        <v>1. Send POST request to /api/auth/login.
2. Request headers: Content-Type: application/json.
3. Request JSON body: { "email": "thuky@trustcabinet.local", "password": "TrustCabinet@2026" }.
4. Inspect the Set-Cookie response header and the response body.</v>
      </c>
      <c r="D18" s="120" t="str">
        <v>1. HTTP 200 OK response.
2. Set-Cookie header sets tc_refresh_token with HttpOnly, Secure, SameSite=Strict, Path=/api/auth and Max-Age=604800 (7 days).
3. The response body has no refreshToken field and does not contain the cookie value.</v>
      </c>
      <c r="E18" s="120" t="str">
        <v>1. Backend is running.
2. Account thuky@trustcabinet.local exists and is active.</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24" customHeight="1">
      <c r="A19" s="120" t="str">
        <v>GET /api/auth/me</v>
      </c>
      <c r="B19" s="120"/>
      <c r="C19" s="120"/>
      <c r="D19" s="120"/>
      <c r="E19" s="120"/>
      <c r="F19" s="121"/>
      <c r="G19" s="122"/>
      <c r="H19" s="121"/>
      <c r="I19" s="121"/>
      <c r="J19" s="122"/>
      <c r="K19" s="121"/>
      <c r="L19" s="121"/>
      <c r="M19" s="123"/>
      <c r="N19" s="121"/>
      <c r="O19" s="124"/>
      <c r="P19" s="125"/>
      <c r="Q19" s="112"/>
      <c r="R19" s="112"/>
      <c r="S19" s="112"/>
      <c r="T19" s="112"/>
      <c r="U19" s="112"/>
      <c r="V19" s="112"/>
      <c r="W19" s="112"/>
      <c r="X19" s="112"/>
      <c r="Y19" s="112"/>
    </row>
    <row r="20" ht="153.0" customHeight="1">
      <c r="A20" s="120" t="str">
        <v>AUTH_API_IT08</v>
      </c>
      <c r="B20" s="120" t="str">
        <v>Verify GET /api/auth/me returns the signed-in user.</v>
      </c>
      <c r="C20" s="120" t="str">
        <v>1. Sign in with POST /api/auth/login as thuky@trustcabinet.local / TrustCabinet@2026 and copy accessToken.
2. Send GET request to /api/auth/me.
3. Request headers: Authorization: Bearer &lt;accessToken&gt;.
4. Request body: None (GET request).</v>
      </c>
      <c r="D20" s="120" t="str">
        <v>1. HTTP 200 OK response.
2. Response JSON body: email "thuky@trustcabinet.local", roleName "Thư ký" and the capabilities of the Secretary role.</v>
      </c>
      <c r="E20" s="120" t="str">
        <v>1. Backend is running.
2. Account thuky@trustcabinet.local exists and is active.</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95.0" customHeight="1">
      <c r="A21" s="120" t="str">
        <v>AUTH_API_IT09</v>
      </c>
      <c r="B21" s="120" t="str">
        <v>Verify GET /api/auth/me returns 401 when no access token is sent.</v>
      </c>
      <c r="C21" s="120" t="str">
        <v>1. Send GET request to /api/auth/me.
2. Request headers: None (no authentication).
3. Request body: None (GET request).</v>
      </c>
      <c r="D21" s="120" t="str">
        <v>1. HTTP 401 Unauthorized response.
2. No user information is returned.</v>
      </c>
      <c r="E21" s="120" t="str">
        <v>1. Backend is running.
2. Request is sent without authentication.</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167.5" customHeight="1">
      <c r="A22" s="120" t="str">
        <v>AUTH_API_IT10</v>
      </c>
      <c r="B22" s="120" t="str">
        <v>Verify GET /api/auth/me rejects a malformed or forged access token.</v>
      </c>
      <c r="C22" s="120" t="str">
        <v>1. Send GET request to /api/auth/me with header Authorization: Bearer khong-phai-token.
2. Send GET request to /api/auth/me with header Authorization: Bearer eyJhbGciOiJIUzI1NiJ9.eyJzdWIiOiJrZSB0cm9tIn0.giaMaoChuKy (a token not signed by the server).
3. Request body: None (GET request).</v>
      </c>
      <c r="D22" s="120" t="str">
        <v>1. Both requests return HTTP 401 Unauthorized.
2. No user information is returned.</v>
      </c>
      <c r="E22" s="120" t="str">
        <v>1. Backend is running.</v>
      </c>
      <c r="F22" s="121" t="str">
        <v>Pending</v>
      </c>
      <c r="G22" s="122" t="str"/>
      <c r="H22" s="121" t="str"/>
      <c r="I22" s="121" t="str"/>
      <c r="J22" s="122" t="str"/>
      <c r="K22" s="121" t="str"/>
      <c r="L22" s="121" t="str"/>
      <c r="M22" s="123" t="str"/>
      <c r="N22" s="121" t="str"/>
      <c r="O22" s="124" t="str"/>
      <c r="P22" s="125"/>
      <c r="Q22" s="112"/>
      <c r="R22" s="112"/>
      <c r="S22" s="112"/>
      <c r="T22" s="112"/>
      <c r="U22" s="112"/>
      <c r="V22" s="112"/>
      <c r="W22" s="112"/>
      <c r="X22" s="112"/>
      <c r="Y22" s="112"/>
    </row>
    <row r="23" ht="24" customHeight="1">
      <c r="A23" s="120" t="str">
        <v>POST /api/auth/refresh</v>
      </c>
      <c r="B23" s="120"/>
      <c r="C23" s="120"/>
      <c r="D23" s="120"/>
      <c r="E23" s="120"/>
      <c r="F23" s="121"/>
      <c r="G23" s="122"/>
      <c r="H23" s="121"/>
      <c r="I23" s="121"/>
      <c r="J23" s="122"/>
      <c r="K23" s="121"/>
      <c r="L23" s="121"/>
      <c r="M23" s="123"/>
      <c r="N23" s="121"/>
      <c r="O23" s="124"/>
      <c r="P23" s="125"/>
      <c r="Q23" s="112"/>
      <c r="R23" s="112"/>
      <c r="S23" s="112"/>
      <c r="T23" s="112"/>
      <c r="U23" s="112"/>
      <c r="V23" s="112"/>
      <c r="W23" s="112"/>
      <c r="X23" s="112"/>
      <c r="Y23" s="112"/>
    </row>
    <row r="24" ht="153.0" customHeight="1">
      <c r="A24" s="120" t="str">
        <v>AUTH_API_IT11</v>
      </c>
      <c r="B24" s="120" t="str">
        <v>Verify POST /api/auth/refresh exchanges the refresh token for a new token pair.</v>
      </c>
      <c r="C24" s="120" t="str">
        <v>1. Sign in with POST /api/auth/login as thuky@trustcabinet.local and keep the tc_refresh_token cookie.
2. Send POST request to /api/auth/refresh.
3. Request headers: Cookie: tc_refresh_token=&lt;refresh token from step 1&gt;.
4. Request body: None.</v>
      </c>
      <c r="D24" s="120" t="str">
        <v>1. HTTP 200 OK response.
2. Response JSON body contains a new accessToken.
3. Set-Cookie header sets tc_refresh_token to a value different from the one sent.</v>
      </c>
      <c r="E24" s="120" t="str">
        <v>1. Backend and Redis are running.
2. Account thuky@trustcabinet.local exists and is active.</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row r="25" ht="138.5" customHeight="1">
      <c r="A25" s="120" t="str">
        <v>AUTH_API_IT12</v>
      </c>
      <c r="B25" s="120" t="str">
        <v>Verify POST /api/auth/refresh rejects a refresh token that was already used.</v>
      </c>
      <c r="C25" s="120" t="str">
        <v>1. Sign in as thuky@trustcabinet.local and keep the tc_refresh_token cookie.
2. Send POST request to /api/auth/refresh with that cookie.
3. Send POST request to /api/auth/refresh again with the same, already used cookie.</v>
      </c>
      <c r="D25" s="120" t="str">
        <v>1. The first refresh returns HTTP 200 OK.
2. The second refresh returns HTTP 401 Unauthorized.</v>
      </c>
      <c r="E25" s="120" t="str">
        <v>1. Backend and Redis are running.
2. Account thuky@trustcabinet.local exists and is active.</v>
      </c>
      <c r="F25" s="121" t="str">
        <v>Pending</v>
      </c>
      <c r="G25" s="122" t="str"/>
      <c r="H25" s="121" t="str"/>
      <c r="I25" s="121" t="str"/>
      <c r="J25" s="122" t="str"/>
      <c r="K25" s="121" t="str"/>
      <c r="L25" s="121" t="str"/>
      <c r="M25" s="123" t="str"/>
      <c r="N25" s="121" t="str"/>
      <c r="O25" s="124" t="str"/>
      <c r="P25" s="125"/>
      <c r="Q25" s="112"/>
      <c r="R25" s="112"/>
      <c r="S25" s="112"/>
      <c r="T25" s="112"/>
      <c r="U25" s="112"/>
      <c r="V25" s="112"/>
      <c r="W25" s="112"/>
      <c r="X25" s="112"/>
      <c r="Y25" s="112"/>
    </row>
    <row r="26" ht="80.5" customHeight="1">
      <c r="A26" s="120" t="str">
        <v>AUTH_API_IT13</v>
      </c>
      <c r="B26" s="120" t="str">
        <v>Verify POST /api/auth/refresh without the cookie answers like an expired session.</v>
      </c>
      <c r="C26" s="120" t="str">
        <v>1. Send POST request to /api/auth/refresh.
2. Request headers: None (no tc_refresh_token cookie).
3. Request body: None.</v>
      </c>
      <c r="D26" s="120" t="str">
        <v>1. HTTP 401 Unauthorized response.
2. Response JSON body: { "code": "MSG01", "message": "Phiên đăng nhập đã hết hạn. Vui lòng đăng nhập lại." }.</v>
      </c>
      <c r="E26" s="120" t="str">
        <v>1. Backend is running.
2. Client holds no refresh token cookie.</v>
      </c>
      <c r="F26" s="121" t="str">
        <v>Pending</v>
      </c>
      <c r="G26" s="122" t="str"/>
      <c r="H26" s="121" t="str"/>
      <c r="I26" s="121" t="str"/>
      <c r="J26" s="122" t="str"/>
      <c r="K26" s="121" t="str"/>
      <c r="L26" s="121" t="str"/>
      <c r="M26" s="123" t="str"/>
      <c r="N26" s="121" t="str"/>
      <c r="O26" s="124" t="str"/>
      <c r="P26" s="125"/>
      <c r="Q26" s="112"/>
      <c r="R26" s="112"/>
      <c r="S26" s="112"/>
      <c r="T26" s="112"/>
      <c r="U26" s="112"/>
      <c r="V26" s="112"/>
      <c r="W26" s="112"/>
      <c r="X26" s="112"/>
      <c r="Y26" s="112"/>
    </row>
    <row r="27" ht="153.0" customHeight="1">
      <c r="A27" s="120" t="str">
        <v>AUTH_API_IT14</v>
      </c>
      <c r="B27" s="120" t="str">
        <v>Verify POST /api/auth/refresh returns MSG02 once the account has been deactivated.</v>
      </c>
      <c r="C27" s="120" t="str">
        <v>1. Sign in as thuky@trustcabinet.local and keep the tc_refresh_token cookie.
2. As quantri@trustcabinet.local, deactivate thuky@trustcabinet.local on the user management screen.
3. Send POST request to /api/auth/refresh with the cookie from step 1.</v>
      </c>
      <c r="D27" s="120" t="str">
        <v>1. HTTP 401 Unauthorized response.
2. Response JSON body has code "MSG02".
3. The refresh token can no longer be used.</v>
      </c>
      <c r="E27" s="120" t="str">
        <v>1. Backend and Redis are running.
2. Account thuky@trustcabinet.local is active at step 1.
3. Administrator quantri@trustcabinet.local is available.</v>
      </c>
      <c r="F27" s="121" t="str">
        <v>Pending</v>
      </c>
      <c r="G27" s="122" t="str"/>
      <c r="H27" s="121" t="str"/>
      <c r="I27" s="121" t="str"/>
      <c r="J27" s="122" t="str"/>
      <c r="K27" s="121" t="str"/>
      <c r="L27" s="121" t="str"/>
      <c r="M27" s="123" t="str"/>
      <c r="N27" s="121" t="str"/>
      <c r="O27" s="124" t="str"/>
      <c r="P27" s="125"/>
      <c r="Q27" s="112"/>
      <c r="R27" s="112"/>
      <c r="S27" s="112"/>
      <c r="T27" s="112"/>
      <c r="U27" s="112"/>
      <c r="V27" s="112"/>
      <c r="W27" s="112"/>
      <c r="X27" s="112"/>
      <c r="Y27" s="112"/>
    </row>
    <row r="28" ht="167.5" customHeight="1">
      <c r="A28" s="120" t="str">
        <v>AUTH_API_IT15</v>
      </c>
      <c r="B28" s="120" t="str">
        <v>Verify a refused refresh clears the refresh token cookie.</v>
      </c>
      <c r="C28" s="120" t="str">
        <v>1. Sign in as thuky@trustcabinet.local and keep the tc_refresh_token cookie.
2. Send POST request to /api/auth/refresh with that cookie.
3. Send POST request to /api/auth/refresh again with the same cookie.
4. Inspect the Set-Cookie header of the second response.</v>
      </c>
      <c r="D28" s="120" t="str">
        <v>1. The second refresh returns HTTP 401 Unauthorized.
2. Set-Cookie header clears tc_refresh_token (empty value, Max-Age=0).</v>
      </c>
      <c r="E28" s="120" t="str">
        <v>1. Backend and Redis are running.
2. Account thuky@trustcabinet.local exists and is active.</v>
      </c>
      <c r="F28" s="121" t="str">
        <v>Pending</v>
      </c>
      <c r="G28" s="122" t="str"/>
      <c r="H28" s="121" t="str"/>
      <c r="I28" s="121" t="str"/>
      <c r="J28" s="122" t="str"/>
      <c r="K28" s="121" t="str"/>
      <c r="L28" s="121" t="str"/>
      <c r="M28" s="123" t="str"/>
      <c r="N28" s="121" t="str"/>
      <c r="O28" s="124" t="str"/>
      <c r="P28" s="125"/>
      <c r="Q28" s="112"/>
      <c r="R28" s="112"/>
      <c r="S28" s="112"/>
      <c r="T28" s="112"/>
      <c r="U28" s="112"/>
      <c r="V28" s="112"/>
      <c r="W28" s="112"/>
      <c r="X28" s="112"/>
      <c r="Y28" s="112"/>
    </row>
    <row r="29" ht="167.5" customHeight="1">
      <c r="A29" s="120" t="str">
        <v>AUTH_API_IT16</v>
      </c>
      <c r="B29" s="120" t="str">
        <v>Verify POST /api/auth/refresh ignores a refresh token sent in the request body.</v>
      </c>
      <c r="C29" s="120" t="str">
        <v>1. Sign in as thuky@trustcabinet.local and copy the tc_refresh_token cookie value.
2. Send POST request to /api/auth/refresh without the cookie.
3. Request headers: Content-Type: application/json.
4. Request JSON body: { "refreshToken": "&lt;value from step 1&gt;" }.</v>
      </c>
      <c r="D29" s="120" t="str">
        <v>1. HTTP 401 Unauthorized response.
2. No new token pair is issued.</v>
      </c>
      <c r="E29" s="120" t="str">
        <v>1. Backend and Redis are running.
2. Account thuky@trustcabinet.local exists and is active.</v>
      </c>
      <c r="F29" s="121" t="str">
        <v>Pending</v>
      </c>
      <c r="G29" s="122" t="str"/>
      <c r="H29" s="121" t="str"/>
      <c r="I29" s="121" t="str"/>
      <c r="J29" s="122" t="str"/>
      <c r="K29" s="121" t="str"/>
      <c r="L29" s="121" t="str"/>
      <c r="M29" s="123" t="str"/>
      <c r="N29" s="121" t="str"/>
      <c r="O29" s="124" t="str"/>
      <c r="P29" s="125"/>
      <c r="Q29" s="112"/>
      <c r="R29" s="112"/>
      <c r="S29" s="112"/>
      <c r="T29" s="112"/>
      <c r="U29" s="112"/>
      <c r="V29" s="112"/>
      <c r="W29" s="112"/>
      <c r="X29" s="112"/>
      <c r="Y29" s="112"/>
    </row>
    <row r="30" ht="24" customHeight="1">
      <c r="A30" s="120" t="str">
        <v>POST /api/auth/logout</v>
      </c>
      <c r="B30" s="120"/>
      <c r="C30" s="120"/>
      <c r="D30" s="120"/>
      <c r="E30" s="120"/>
      <c r="F30" s="121"/>
      <c r="G30" s="122"/>
      <c r="H30" s="121"/>
      <c r="I30" s="121"/>
      <c r="J30" s="122"/>
      <c r="K30" s="121"/>
      <c r="L30" s="121"/>
      <c r="M30" s="123"/>
      <c r="N30" s="121"/>
      <c r="O30" s="124"/>
      <c r="P30" s="125"/>
      <c r="Q30" s="112"/>
      <c r="R30" s="112"/>
      <c r="S30" s="112"/>
      <c r="T30" s="112"/>
      <c r="U30" s="112"/>
      <c r="V30" s="112"/>
      <c r="W30" s="112"/>
      <c r="X30" s="112"/>
      <c r="Y30" s="112"/>
    </row>
    <row r="31" ht="124.0" customHeight="1">
      <c r="A31" s="120" t="str">
        <v>AUTH_API_IT17</v>
      </c>
      <c r="B31" s="120" t="str">
        <v>Verify POST /api/auth/logout ends the session on the server and clears the cookie.</v>
      </c>
      <c r="C31" s="120" t="str">
        <v>1. Sign in as thuky@trustcabinet.local and keep the tc_refresh_token cookie.
2. Send POST request to /api/auth/logout with that cookie.
3. Send POST request to /api/auth/refresh with the same cookie.</v>
      </c>
      <c r="D31" s="120" t="str">
        <v>1. Logout returns HTTP 204 No Content.
2. Logout response clears tc_refresh_token (Max-Age=0).
3. The refresh after logout returns HTTP 401 Unauthorized.</v>
      </c>
      <c r="E31" s="120" t="str">
        <v>1. Backend and Redis are running.
2. Account thuky@trustcabinet.local exists and is active.</v>
      </c>
      <c r="F31" s="121" t="str">
        <v>Pending</v>
      </c>
      <c r="G31" s="122" t="str"/>
      <c r="H31" s="121" t="str"/>
      <c r="I31" s="121" t="str"/>
      <c r="J31" s="122" t="str"/>
      <c r="K31" s="121" t="str"/>
      <c r="L31" s="121" t="str"/>
      <c r="M31" s="123" t="str"/>
      <c r="N31" s="121" t="str"/>
      <c r="O31" s="124" t="str"/>
      <c r="P31" s="125"/>
      <c r="Q31" s="112"/>
      <c r="R31" s="112"/>
      <c r="S31" s="112"/>
      <c r="T31" s="112"/>
      <c r="U31" s="112"/>
      <c r="V31" s="112"/>
      <c r="W31" s="112"/>
      <c r="X31" s="112"/>
      <c r="Y31" s="112"/>
    </row>
    <row r="32" ht="124.0" customHeight="1">
      <c r="A32" s="120" t="str">
        <v>AUTH_API_IT18</v>
      </c>
      <c r="B32" s="120" t="str">
        <v>Verify signing out twice is not an error.</v>
      </c>
      <c r="C32" s="120" t="str">
        <v>1. Sign in as thuky@trustcabinet.local and keep the tc_refresh_token cookie.
2. Send POST request to /api/auth/logout with that cookie.
3. Send POST request to /api/auth/logout again with the same cookie.</v>
      </c>
      <c r="D32" s="120" t="str">
        <v>1. Both requests return HTTP 204 No Content.
2. The second response does not reveal that the session had already ended.</v>
      </c>
      <c r="E32" s="120" t="str">
        <v>1. Backend and Redis are running.
2. Account thuky@trustcabinet.local exists and is active.</v>
      </c>
      <c r="F32" s="121" t="str">
        <v>Pending</v>
      </c>
      <c r="G32" s="122" t="str"/>
      <c r="H32" s="121" t="str"/>
      <c r="I32" s="121" t="str"/>
      <c r="J32" s="122" t="str"/>
      <c r="K32" s="121" t="str"/>
      <c r="L32" s="121" t="str"/>
      <c r="M32" s="123" t="str"/>
      <c r="N32" s="121" t="str"/>
      <c r="O32" s="124" t="str"/>
      <c r="P32" s="125"/>
      <c r="Q32" s="112"/>
      <c r="R32" s="112"/>
      <c r="S32" s="112"/>
      <c r="T32" s="112"/>
      <c r="U32" s="112"/>
      <c r="V32" s="112"/>
      <c r="W32" s="112"/>
      <c r="X32" s="112"/>
      <c r="Y32" s="112"/>
    </row>
    <row r="33" ht="80.5" customHeight="1">
      <c r="A33" s="120" t="str">
        <v>AUTH_API_IT19</v>
      </c>
      <c r="B33" s="120" t="str">
        <v>Verify POST /api/auth/logout clears the cookie even without a valid refresh token.</v>
      </c>
      <c r="C33" s="120" t="str">
        <v>1. Send POST request to /api/auth/logout.
2. Request headers: None (no cookie).
3. Request body: None.</v>
      </c>
      <c r="D33" s="120" t="str">
        <v>1. HTTP 204 No Content response.
2. Set-Cookie header clears tc_refresh_token (Max-Age=0).</v>
      </c>
      <c r="E33" s="120" t="str">
        <v>1. Backend is running.
2. Client holds no refresh token.</v>
      </c>
      <c r="F33" s="121" t="str">
        <v>Pending</v>
      </c>
      <c r="G33" s="122" t="str"/>
      <c r="H33" s="121" t="str"/>
      <c r="I33" s="121" t="str"/>
      <c r="J33" s="122" t="str"/>
      <c r="K33" s="121" t="str"/>
      <c r="L33" s="121" t="str"/>
      <c r="M33" s="123" t="str"/>
      <c r="N33" s="121" t="str"/>
      <c r="O33" s="124" t="str"/>
      <c r="P33" s="125"/>
      <c r="Q33" s="112"/>
      <c r="R33" s="112"/>
      <c r="S33" s="112"/>
      <c r="T33" s="112"/>
      <c r="U33" s="112"/>
      <c r="V33" s="112"/>
      <c r="W33" s="112"/>
      <c r="X33" s="112"/>
      <c r="Y33" s="112"/>
    </row>
    <row r="34" ht="24" customHeight="1">
      <c r="A34" s="120" t="str">
        <v>POST /api/auth/google</v>
      </c>
      <c r="B34" s="120"/>
      <c r="C34" s="120"/>
      <c r="D34" s="120"/>
      <c r="E34" s="120"/>
      <c r="F34" s="121"/>
      <c r="G34" s="122"/>
      <c r="H34" s="121"/>
      <c r="I34" s="121"/>
      <c r="J34" s="122"/>
      <c r="K34" s="121"/>
      <c r="L34" s="121"/>
      <c r="M34" s="123"/>
      <c r="N34" s="121"/>
      <c r="O34" s="124"/>
      <c r="P34" s="125"/>
      <c r="Q34" s="112"/>
      <c r="R34" s="112"/>
      <c r="S34" s="112"/>
      <c r="T34" s="112"/>
      <c r="U34" s="112"/>
      <c r="V34" s="112"/>
      <c r="W34" s="112"/>
      <c r="X34" s="112"/>
      <c r="Y34" s="112"/>
    </row>
    <row r="35" ht="167.5" customHeight="1">
      <c r="A35" s="120" t="str">
        <v>AUTH_API_IT20</v>
      </c>
      <c r="B35" s="120" t="str">
        <v>Verify POST /api/auth/google signs in a linked, active account.</v>
      </c>
      <c r="C35" s="120" t="str">
        <v>1. Sign in to Google in the browser with the Gmail account linked to thuky@trustcabinet.local and obtain its ID token from the login page.
2. Send POST request to /api/auth/google.
3. Request headers: Content-Type: application/json.
4. Request JSON body: { "idToken": "&lt;Google ID token&gt;" }.</v>
      </c>
      <c r="D35" s="120" t="str">
        <v>1. HTTP 200 OK response.
2. Response JSON body contains accessToken and user with email thuky@trustcabinet.local and roleName "Thư ký".
3. Set-Cookie header sets tc_refresh_token.</v>
      </c>
      <c r="E35" s="120" t="str">
        <v>1. Backend is running with Google sign-in enabled.
2. The Google account is linked to thuky@trustcabinet.local, which is active.</v>
      </c>
      <c r="F35" s="121" t="str">
        <v>Pending</v>
      </c>
      <c r="G35" s="122" t="str"/>
      <c r="H35" s="121" t="str"/>
      <c r="I35" s="121" t="str"/>
      <c r="J35" s="122" t="str"/>
      <c r="K35" s="121" t="str"/>
      <c r="L35" s="121" t="str"/>
      <c r="M35" s="123" t="str"/>
      <c r="N35" s="121" t="str"/>
      <c r="O35" s="124" t="str"/>
      <c r="P35" s="125"/>
      <c r="Q35" s="112"/>
      <c r="R35" s="112"/>
      <c r="S35" s="112"/>
      <c r="T35" s="112"/>
      <c r="U35" s="112"/>
      <c r="V35" s="112"/>
      <c r="W35" s="112"/>
      <c r="X35" s="112"/>
      <c r="Y35" s="112"/>
    </row>
    <row r="36" ht="124.0" customHeight="1">
      <c r="A36" s="120" t="str">
        <v>AUTH_API_IT21</v>
      </c>
      <c r="B36" s="120" t="str">
        <v>Verify POST /api/auth/google returns the same response shape as password sign-in.</v>
      </c>
      <c r="C36" s="120" t="str">
        <v>1. Obtain a Google ID token for the linked account.
2. Send POST request to /api/auth/google with body { "idToken": "&lt;Google ID token&gt;" }.
3. Compare the response body with the body of POST /api/auth/login.</v>
      </c>
      <c r="D36" s="120" t="str">
        <v>1. HTTP 200 OK response.
2. Response JSON body has the fields accessToken, accessTokenExpiresAt and user, as /api/auth/login does.
3. The body has no refreshToken field.</v>
      </c>
      <c r="E36" s="120" t="str">
        <v>1. Backend is running with Google sign-in enabled.
2. The Google account is linked to an active internal account.</v>
      </c>
      <c r="F36" s="121" t="str">
        <v>Pending</v>
      </c>
      <c r="G36" s="122" t="str"/>
      <c r="H36" s="121" t="str"/>
      <c r="I36" s="121" t="str"/>
      <c r="J36" s="122" t="str"/>
      <c r="K36" s="121" t="str"/>
      <c r="L36" s="121" t="str"/>
      <c r="M36" s="123" t="str"/>
      <c r="N36" s="121" t="str"/>
      <c r="O36" s="124" t="str"/>
      <c r="P36" s="125"/>
      <c r="Q36" s="112"/>
      <c r="R36" s="112"/>
      <c r="S36" s="112"/>
      <c r="T36" s="112"/>
      <c r="U36" s="112"/>
      <c r="V36" s="112"/>
      <c r="W36" s="112"/>
      <c r="X36" s="112"/>
      <c r="Y36" s="112"/>
    </row>
    <row r="37" ht="153.0" customHeight="1">
      <c r="A37" s="120" t="str">
        <v>AUTH_API_IT22</v>
      </c>
      <c r="B37" s="120" t="str">
        <v>Verify POST /api/auth/google returns MSG03 for an empty or invalid ID token.</v>
      </c>
      <c r="C37" s="120" t="str">
        <v>1. Send POST request to /api/auth/google with body { "idToken": "" }.
2. Send POST request to /api/auth/google with body { "idToken": "khong-phai-id-token" }.
3. Request headers for each request: Content-Type: application/json.</v>
      </c>
      <c r="D37" s="120" t="str">
        <v>1. Each request returns HTTP 401 Unauthorized.
2. Each response JSON body: { "code": "MSG03", "message": "Đăng nhập bằng Google không thành công." }.</v>
      </c>
      <c r="E37" s="120" t="str">
        <v>1. Backend is running with Google sign-in enabled.</v>
      </c>
      <c r="F37" s="121" t="str">
        <v>Pending</v>
      </c>
      <c r="G37" s="122" t="str"/>
      <c r="H37" s="121" t="str"/>
      <c r="I37" s="121" t="str"/>
      <c r="J37" s="122" t="str"/>
      <c r="K37" s="121" t="str"/>
      <c r="L37" s="121" t="str"/>
      <c r="M37" s="123" t="str"/>
      <c r="N37" s="121" t="str"/>
      <c r="O37" s="124" t="str"/>
      <c r="P37" s="125"/>
      <c r="Q37" s="112"/>
      <c r="R37" s="112"/>
      <c r="S37" s="112"/>
      <c r="T37" s="112"/>
      <c r="U37" s="112"/>
      <c r="V37" s="112"/>
      <c r="W37" s="112"/>
      <c r="X37" s="112"/>
      <c r="Y37" s="112"/>
    </row>
    <row r="38" ht="124.0" customHeight="1">
      <c r="A38" s="120" t="str">
        <v>AUTH_API_IT23</v>
      </c>
      <c r="B38" s="120" t="str">
        <v>Verify POST /api/auth/google returns MSG05 for a Google account no internal account uses.</v>
      </c>
      <c r="C38" s="120" t="str">
        <v>1. Sign in to Google with a Gmail account that has no TrustCabinet account (for example nguoi.la@gmail.com) and obtain its ID token.
2. Send POST request to /api/auth/google with body { "idToken": "&lt;Google ID token&gt;" }.</v>
      </c>
      <c r="D38" s="120" t="str">
        <v>1. HTTP 401 Unauthorized response.
2. Response JSON body has code "MSG05".
3. No account is created.</v>
      </c>
      <c r="E38" s="120" t="str">
        <v>1. Backend is running with Google sign-in enabled.
2. No internal account is linked to, or has the email of, that Google account.</v>
      </c>
      <c r="F38" s="121" t="str">
        <v>Pending</v>
      </c>
      <c r="G38" s="122" t="str"/>
      <c r="H38" s="121" t="str"/>
      <c r="I38" s="121" t="str"/>
      <c r="J38" s="122" t="str"/>
      <c r="K38" s="121" t="str"/>
      <c r="L38" s="121" t="str"/>
      <c r="M38" s="123" t="str"/>
      <c r="N38" s="121" t="str"/>
      <c r="O38" s="124" t="str"/>
      <c r="P38" s="125"/>
      <c r="Q38" s="112"/>
      <c r="R38" s="112"/>
      <c r="S38" s="112"/>
      <c r="T38" s="112"/>
      <c r="U38" s="112"/>
      <c r="V38" s="112"/>
      <c r="W38" s="112"/>
      <c r="X38" s="112"/>
      <c r="Y38" s="112"/>
    </row>
    <row r="39" ht="153.0" customHeight="1">
      <c r="A39" s="120" t="str">
        <v>AUTH_API_IT24</v>
      </c>
      <c r="B39" s="120" t="str">
        <v>Verify an account an administrator created with a Gmail address signs in with Google without manual linking.</v>
      </c>
      <c r="C39" s="120" t="str">
        <v>1. As quantri@trustcabinet.local, create an account whose email is the tester's Gmail address.
2. Sign in to Google with that Gmail account and obtain its ID token.
3. Send POST request to /api/auth/google with body { "idToken": "&lt;Google ID token&gt;" }.</v>
      </c>
      <c r="D39" s="120" t="str">
        <v>1. HTTP 200 OK response with an access token.
2. The account is now linked to the Google account.
3. The audit log records one user.google_linked entry.</v>
      </c>
      <c r="E39" s="120" t="str">
        <v>1. Backend is running with Google sign-in enabled.
2. The new account is active and not yet linked to any Google account.</v>
      </c>
      <c r="F39" s="121" t="str">
        <v>Pending</v>
      </c>
      <c r="G39" s="122" t="str"/>
      <c r="H39" s="121" t="str"/>
      <c r="I39" s="121" t="str"/>
      <c r="J39" s="122" t="str"/>
      <c r="K39" s="121" t="str"/>
      <c r="L39" s="121" t="str"/>
      <c r="M39" s="123" t="str"/>
      <c r="N39" s="121" t="str"/>
      <c r="O39" s="124" t="str"/>
      <c r="P39" s="125"/>
      <c r="Q39" s="112"/>
      <c r="R39" s="112"/>
      <c r="S39" s="112"/>
      <c r="T39" s="112"/>
      <c r="U39" s="112"/>
      <c r="V39" s="112"/>
      <c r="W39" s="112"/>
      <c r="X39" s="112"/>
      <c r="Y39" s="112"/>
    </row>
    <row r="40" ht="109.5" customHeight="1">
      <c r="A40" s="120" t="str">
        <v>AUTH_API_IT25</v>
      </c>
      <c r="B40" s="120" t="str">
        <v>Verify POST /api/auth/google returns MSG02 for a deactivated linked account.</v>
      </c>
      <c r="C40" s="120" t="str">
        <v>1. Obtain a Google ID token for the Google account linked to a deactivated account.
2. Send POST request to /api/auth/google with body { "idToken": "&lt;Google ID token&gt;" }.</v>
      </c>
      <c r="D40" s="120" t="str">
        <v>1. HTTP 401 Unauthorized response.
2. Response JSON body has code "MSG02".</v>
      </c>
      <c r="E40" s="120" t="str">
        <v>1. Backend is running with Google sign-in enabled.
2. The Google account is linked to an internal account that has been deactivated.</v>
      </c>
      <c r="F40" s="121" t="str">
        <v>Pending</v>
      </c>
      <c r="G40" s="122" t="str"/>
      <c r="H40" s="121" t="str"/>
      <c r="I40" s="121" t="str"/>
      <c r="J40" s="122" t="str"/>
      <c r="K40" s="121" t="str"/>
      <c r="L40" s="121" t="str"/>
      <c r="M40" s="123" t="str"/>
      <c r="N40" s="121" t="str"/>
      <c r="O40" s="124" t="str"/>
      <c r="P40" s="125"/>
      <c r="Q40" s="112"/>
      <c r="R40" s="112"/>
      <c r="S40" s="112"/>
      <c r="T40" s="112"/>
      <c r="U40" s="112"/>
      <c r="V40" s="112"/>
      <c r="W40" s="112"/>
      <c r="X40" s="112"/>
      <c r="Y40" s="112"/>
    </row>
    <row r="41" ht="124.0" customHeight="1">
      <c r="A41" s="120" t="str">
        <v>AUTH_API_IT26</v>
      </c>
      <c r="B41" s="120" t="str">
        <v>Verify an account deactivated before its first Google sign-in returns MSG02.</v>
      </c>
      <c r="C41" s="120" t="str">
        <v>1. Obtain a Google ID token for the Gmail address of the deactivated, unlinked account.
2. Send POST request to /api/auth/google with body { "idToken": "&lt;Google ID token&gt;" }.</v>
      </c>
      <c r="D41" s="120" t="str">
        <v>1. HTTP 401 Unauthorized response.
2. Response JSON body: { "code": "MSG02", "message": "Tài khoản không khả dụng. Vui lòng liên hệ quản trị viên." }.
3. The account is not linked to the Google account.</v>
      </c>
      <c r="E41" s="120" t="str">
        <v>1. Backend is running with Google sign-in enabled.
2. An internal account with that Gmail address exists, is deactivated and has never been linked to Google.</v>
      </c>
      <c r="F41" s="121" t="str">
        <v>Pending</v>
      </c>
      <c r="G41" s="122" t="str"/>
      <c r="H41" s="121" t="str"/>
      <c r="I41" s="121" t="str"/>
      <c r="J41" s="122" t="str"/>
      <c r="K41" s="121" t="str"/>
      <c r="L41" s="121" t="str"/>
      <c r="M41" s="123" t="str"/>
      <c r="N41" s="121" t="str"/>
      <c r="O41" s="124" t="str"/>
      <c r="P41" s="125"/>
      <c r="Q41" s="112"/>
      <c r="R41" s="112"/>
      <c r="S41" s="112"/>
      <c r="T41" s="112"/>
      <c r="U41" s="112"/>
      <c r="V41" s="112"/>
      <c r="W41" s="112"/>
      <c r="X41" s="112"/>
      <c r="Y41" s="112"/>
    </row>
    <row r="42" ht="95.0" customHeight="1">
      <c r="A42" s="120" t="str">
        <v>AUTH_API_IT27</v>
      </c>
      <c r="B42" s="120" t="str">
        <v>Verify Google sign-in succeeds for a role that grants no capability.</v>
      </c>
      <c r="C42" s="120" t="str">
        <v>1. Obtain a Google ID token for the Google account linked to chutoa@trustcabinet.local.
2. Send POST request to /api/auth/google with body { "idToken": "&lt;Google ID token&gt;" }.</v>
      </c>
      <c r="D42" s="120" t="str">
        <v>1. HTTP 200 OK response.
2. user.capabilities is an empty list.</v>
      </c>
      <c r="E42" s="120" t="str">
        <v>1. Backend is running with Google sign-in enabled.
2. The linked account is active and its role has no capability.</v>
      </c>
      <c r="F42" s="121" t="str">
        <v>Pending</v>
      </c>
      <c r="G42" s="122" t="str"/>
      <c r="H42" s="121" t="str"/>
      <c r="I42" s="121" t="str"/>
      <c r="J42" s="122" t="str"/>
      <c r="K42" s="121" t="str"/>
      <c r="L42" s="121" t="str"/>
      <c r="M42" s="123" t="str"/>
      <c r="N42" s="121" t="str"/>
      <c r="O42" s="124" t="str"/>
      <c r="P42" s="125"/>
      <c r="Q42" s="112"/>
      <c r="R42" s="112"/>
      <c r="S42" s="112"/>
      <c r="T42" s="112"/>
      <c r="U42" s="112"/>
      <c r="V42" s="112"/>
      <c r="W42" s="112"/>
      <c r="X42" s="112"/>
      <c r="Y42" s="112"/>
    </row>
    <row r="43" ht="95.0" customHeight="1">
      <c r="A43" s="120" t="str">
        <v>AUTH_API_IT28</v>
      </c>
      <c r="B43" s="120" t="str">
        <v>Verify a rejected Google sign-in carries its Vietnamese message.</v>
      </c>
      <c r="C43" s="120" t="str">
        <v>1. Obtain a Google ID token for a Gmail account with no TrustCabinet account.
2. Send POST request to /api/auth/google with body { "idToken": "&lt;Google ID token&gt;" }.</v>
      </c>
      <c r="D43" s="120" t="str">
        <v>1. HTTP 401 Unauthorized response.
2. Response JSON body: { "code": "MSG05", "message": "Tài khoản Google này chưa được cấp quyền truy cập hệ thống." }.</v>
      </c>
      <c r="E43" s="120" t="str">
        <v>1. Backend is running with Google sign-in enabled.</v>
      </c>
      <c r="F43" s="121" t="str">
        <v>Pending</v>
      </c>
      <c r="G43" s="122" t="str"/>
      <c r="H43" s="121" t="str"/>
      <c r="I43" s="121" t="str"/>
      <c r="J43" s="122" t="str"/>
      <c r="K43" s="121" t="str"/>
      <c r="L43" s="121" t="str"/>
      <c r="M43" s="123" t="str"/>
      <c r="N43" s="121" t="str"/>
      <c r="O43" s="124" t="str"/>
      <c r="P43" s="125"/>
      <c r="Q43" s="112"/>
      <c r="R43" s="112"/>
      <c r="S43" s="112"/>
      <c r="T43" s="112"/>
      <c r="U43" s="112"/>
      <c r="V43" s="112"/>
      <c r="W43" s="112"/>
      <c r="X43" s="112"/>
      <c r="Y43" s="112"/>
    </row>
    <row r="44" ht="109.5" customHeight="1">
      <c r="A44" s="120" t="str">
        <v>AUTH_API_IT29</v>
      </c>
      <c r="B44" s="120" t="str">
        <v>Verify POST /api/auth/google is not available when Google sign-in is switched off.</v>
      </c>
      <c r="C44" s="120" t="str">
        <v>1. Set Authentication:Google:Enabled to false and restart the backend.
2. Send POST request to /api/auth/google with body { "idToken": "&lt;a valid Google ID token&gt;" }.</v>
      </c>
      <c r="D44" s="120" t="str">
        <v>1. HTTP 404 Not Found response.
2. No token is issued, even for a valid ID token.
3. POST /api/auth/login still works.</v>
      </c>
      <c r="E44" s="120" t="str">
        <v>1. Backend is running with Google sign-in disabled.</v>
      </c>
      <c r="F44" s="121" t="str">
        <v>Pending</v>
      </c>
      <c r="G44" s="122" t="str"/>
      <c r="H44" s="121" t="str"/>
      <c r="I44" s="121" t="str"/>
      <c r="J44" s="122" t="str"/>
      <c r="K44" s="121" t="str"/>
      <c r="L44" s="121" t="str"/>
      <c r="M44" s="123" t="str"/>
      <c r="N44" s="121" t="str"/>
      <c r="O44" s="124" t="str"/>
      <c r="P44" s="125"/>
      <c r="Q44" s="112"/>
      <c r="R44" s="112"/>
      <c r="S44" s="112"/>
      <c r="T44" s="112"/>
      <c r="U44" s="112"/>
      <c r="V44" s="112"/>
      <c r="W44" s="112"/>
      <c r="X44" s="112"/>
      <c r="Y44" s="112"/>
    </row>
  </sheetData>
  <mergeCells count="8">
    <mergeCell ref="B2:E2"/>
    <mergeCell ref="B3:E3"/>
    <mergeCell ref="B4:E4"/>
    <mergeCell ref="A11:O11"/>
    <mergeCell ref="A19:O19"/>
    <mergeCell ref="A23:O23"/>
    <mergeCell ref="A30:O30"/>
    <mergeCell ref="A34:O34"/>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Calls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calls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10</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COUNTIF(F12:F24,"Passed")</f>
        <v>0</v>
      </c>
      <c r="C6" s="114" t="n">
        <f>COUNTIF(F12:F24,"Failed")</f>
        <v>0</v>
      </c>
      <c r="D6" s="114" t="n">
        <f>B4-B6-C6-E6</f>
        <v>10</v>
      </c>
      <c r="E6" s="114" t="n">
        <f>COUNTIF(F12:F24,"Skipped")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COUNTIF(I12:I24,"Passed")</f>
        <v>0</v>
      </c>
      <c r="C7" s="114" t="n">
        <f>COUNTIF(I12:I24,"Failed")</f>
        <v>0</v>
      </c>
      <c r="D7" s="114" t="n">
        <f>B4-B7-C7-E7</f>
        <v>10</v>
      </c>
      <c r="E7" s="114" t="n">
        <f>COUNTIF(I12:I24,"Skipped")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COUNTIF(L12:L24,"Passed")</f>
        <v>0</v>
      </c>
      <c r="C8" s="114" t="n">
        <f>COUNTIF(L12:L24,"Failed")</f>
        <v>0</v>
      </c>
      <c r="D8" s="114" t="n">
        <f>B4-B8-C8-E8</f>
        <v>10</v>
      </c>
      <c r="E8" s="114" t="n">
        <f>COUNTIF(L12:L24,"Skipped")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POST /api/meetings/{id}/call/join</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95.0" customHeight="1">
      <c r="A12" s="120" t="str">
        <v>CALL_API_IT01</v>
      </c>
      <c r="B12" s="120" t="str">
        <v>Verify an invited member sees the open room and gets a join token.</v>
      </c>
      <c r="C12" s="120" t="str">
        <v>1. As the invited Member, GET /api/meetings/&lt;id&gt;/call.
2. POST /api/meetings/&lt;id&gt;/call/join.</v>
      </c>
      <c r="D12" s="120" t="str">
        <v>1. The room has status "Open" and myRole "Member".
2. Join returns HTTP 200 with the room name of the meeting, the member's id as identity and a LiveKit token.</v>
      </c>
      <c r="E12" s="120" t="str">
        <v>1. Backend is running.
2. An InProgress Online meeting with the Member invited.
3. LiveKit is configured.</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66.0" customHeight="1">
      <c r="A13" s="120" t="str">
        <v>CALL_API_IT02</v>
      </c>
      <c r="B13" s="120" t="str">
        <v>Verify someone not invited gets the same empty 404 as for an unknown meeting.</v>
      </c>
      <c r="C13" s="120" t="str">
        <v>1. As an outsider, GET /api/meetings/&lt;id&gt;/call and POST /api/meetings/&lt;id&gt;/call/join.</v>
      </c>
      <c r="D13" s="120" t="str">
        <v>1. Both return HTTP 404 Not Found with an empty body.</v>
      </c>
      <c r="E13" s="120" t="str">
        <v>1. Backend is running.
2. An InProgress Online meeting; the outsider is not on the roster.</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95.0" customHeight="1">
      <c r="A14" s="120" t="str">
        <v>CALL_API_IT03</v>
      </c>
      <c r="B14" s="120" t="str">
        <v>Verify anonymous callers cannot join a call.</v>
      </c>
      <c r="C14" s="120" t="str">
        <v>1. Send POST request to /api/meetings/&lt;id&gt;/call/join.
2. Request headers: None (no authentication).
3. Query parameters: None.
4. Request body: None.</v>
      </c>
      <c r="D14" s="120" t="str">
        <v>1. HTTP 401 Unauthorized.</v>
      </c>
      <c r="E14" s="120" t="str">
        <v>1. Backend is running.
2. Request is sent without authentication.</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95.0" customHeight="1">
      <c r="A15" s="120" t="str">
        <v>CALL_API_IT04</v>
      </c>
      <c r="B15" s="120" t="str">
        <v>Verify join refusals carry their own code.</v>
      </c>
      <c r="C15" s="120" t="str">
        <v>1. As the invited Member, join a Published (not started) Online meeting.
2. Join an InProgress InPerson meeting.</v>
      </c>
      <c r="D15" s="120" t="str">
        <v>1. Not started: HTTP 409 with code "MSG117" (the room opens only while the meeting is in progress).
2. In person: HTTP 409 with code "MSG280" (this meeting is held in person, so it has no online room).</v>
      </c>
      <c r="E15" s="120" t="str">
        <v>1. Backend is running.
2. Both meetings have the Member invited.</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124.0" customHeight="1">
      <c r="A16" s="120" t="str">
        <v>CALL_API_IT05</v>
      </c>
      <c r="B16" s="120" t="str">
        <v>Verify joining returns 503 when LiveKit is not configured.</v>
      </c>
      <c r="C16" s="120" t="str">
        <v>1. Send POST request to /api/meetings/&lt;id&gt;/call/join.
2. Request headers: Authorization: Bearer &lt;access token of thanhvien@trustcabinet.local&gt; (Member, no capability).
3. Query parameters: None.
4. Request body: None.</v>
      </c>
      <c r="D16" s="120" t="str">
        <v>1. HTTP 503 with code "MSG281" ("Phòng họp trực tuyến chưa sẵn sàng. Vui lòng liên hệ quản trị viên.").</v>
      </c>
      <c r="E16" s="120" t="str">
        <v>1. Backend is running.
2. An InProgress Online meeting with thanhvien invited.
3. LiveKit settings are removed from the backend configuration.</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24" customHeight="1">
      <c r="A17" s="120" t="str">
        <v>GET /api/meetings/{id}/call</v>
      </c>
      <c r="B17" s="120"/>
      <c r="C17" s="120"/>
      <c r="D17" s="120"/>
      <c r="E17" s="120"/>
      <c r="F17" s="121"/>
      <c r="G17" s="122"/>
      <c r="H17" s="121"/>
      <c r="I17" s="121"/>
      <c r="J17" s="122"/>
      <c r="K17" s="121"/>
      <c r="L17" s="121"/>
      <c r="M17" s="123"/>
      <c r="N17" s="121"/>
      <c r="O17" s="124"/>
      <c r="P17" s="125"/>
      <c r="Q17" s="112"/>
      <c r="R17" s="112"/>
      <c r="S17" s="112"/>
      <c r="T17" s="112"/>
      <c r="U17" s="112"/>
      <c r="V17" s="112"/>
      <c r="W17" s="112"/>
      <c r="X17" s="112"/>
      <c r="Y17" s="112"/>
    </row>
    <row r="18" ht="124.0" customHeight="1">
      <c r="A18" s="120" t="str">
        <v>CALL_API_IT06</v>
      </c>
      <c r="B18" s="120" t="str">
        <v>Verify database failures have their own codes.</v>
      </c>
      <c r="C18" s="120" t="str">
        <v>1. Stop PostgreSQL.
2. As the Member, GET /call, POST /call/join and POST /call/participants/&lt;id&gt;/mute.</v>
      </c>
      <c r="D18" s="120" t="str">
        <v>1. GET returns HTTP 500 with code "MSG283".
2. Join returns HTTP 500 with code "MSG118" ("Không thể vào phòng họp. Vui lòng thử lại.").
3. Mute returns HTTP 500 with code "MSG284" ("Không thể tắt micro. Vui lòng thử lại.").</v>
      </c>
      <c r="E18" s="120" t="str">
        <v>1. Backend is running.
2. Signed in as a member of an InProgress Online meeting.</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24" customHeight="1">
      <c r="A19" s="120" t="str">
        <v>POST /api/meetings/{id}/call/participants/{userId}/mute</v>
      </c>
      <c r="B19" s="120"/>
      <c r="C19" s="120"/>
      <c r="D19" s="120"/>
      <c r="E19" s="120"/>
      <c r="F19" s="121"/>
      <c r="G19" s="122"/>
      <c r="H19" s="121"/>
      <c r="I19" s="121"/>
      <c r="J19" s="122"/>
      <c r="K19" s="121"/>
      <c r="L19" s="121"/>
      <c r="M19" s="123"/>
      <c r="N19" s="121"/>
      <c r="O19" s="124"/>
      <c r="P19" s="125"/>
      <c r="Q19" s="112"/>
      <c r="R19" s="112"/>
      <c r="S19" s="112"/>
      <c r="T19" s="112"/>
      <c r="U19" s="112"/>
      <c r="V19" s="112"/>
      <c r="W19" s="112"/>
      <c r="X19" s="112"/>
      <c r="Y19" s="112"/>
    </row>
    <row r="20" ht="109.5" customHeight="1">
      <c r="A20" s="120" t="str">
        <v>CALL_API_IT07</v>
      </c>
      <c r="B20" s="120" t="str">
        <v>Verify only the Chair can mute, and only someone in the room with a microphone.</v>
      </c>
      <c r="C20" s="120" t="str">
        <v>1. As the Member, mute the Chair.
2. As the Chair, mute the Member before they join.
3. The Member joins with the microphone on; the Chair mutes them.</v>
      </c>
      <c r="D20" s="120" t="str">
        <v>1. Member muting: HTTP 403 with code "MSG123" (only the Chair can mute).
2. Not in the room: HTTP 409 with code "MSG282".
3. In the room: HTTP 200 and the Member's microphone is muted.</v>
      </c>
      <c r="E20" s="120" t="str">
        <v>1. Backend is running.
2. An InProgress Online meeting with Chair and Member; LiveKit configured.</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138.5" customHeight="1">
      <c r="A21" s="120" t="str">
        <v>CALL_API_IT08</v>
      </c>
      <c r="B21" s="120" t="str">
        <v>Verify muting in a room that is not open returns MSG117.</v>
      </c>
      <c r="C21" s="120" t="str">
        <v>1. Send POST request to /api/meetings/&lt;id of the Ended meeting&gt;/call/participants/&lt;any user id&gt;/mute.
2. Request headers: Authorization: Bearer &lt;access token of the meeting Chair&gt;.
3. Query parameters: None.
4. Request body: None.</v>
      </c>
      <c r="D21" s="120" t="str">
        <v>1. HTTP 409 with code "MSG117".</v>
      </c>
      <c r="E21" s="120" t="str">
        <v>1. Backend is running.
2. An Ended Online meeting whose Chair is signed in.</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24" customHeight="1">
      <c r="A22" s="120" t="str">
        <v>POST /api/livekit/webhook</v>
      </c>
      <c r="B22" s="120"/>
      <c r="C22" s="120"/>
      <c r="D22" s="120"/>
      <c r="E22" s="120"/>
      <c r="F22" s="121"/>
      <c r="G22" s="122"/>
      <c r="H22" s="121"/>
      <c r="I22" s="121"/>
      <c r="J22" s="122"/>
      <c r="K22" s="121"/>
      <c r="L22" s="121"/>
      <c r="M22" s="123"/>
      <c r="N22" s="121"/>
      <c r="O22" s="124"/>
      <c r="P22" s="125"/>
      <c r="Q22" s="112"/>
      <c r="R22" s="112"/>
      <c r="S22" s="112"/>
      <c r="T22" s="112"/>
      <c r="U22" s="112"/>
      <c r="V22" s="112"/>
      <c r="W22" s="112"/>
      <c r="X22" s="112"/>
      <c r="Y22" s="112"/>
    </row>
    <row r="23" ht="95.0" customHeight="1">
      <c r="A23" s="120" t="str">
        <v>CALL_API_IT09</v>
      </c>
      <c r="B23" s="120" t="str">
        <v>Verify a webhook with a bad signature is refused and a signed one is handled.</v>
      </c>
      <c r="C23" s="120" t="str">
        <v>1. POST /api/livekit/webhook with body {} and no valid signature.
2. POST a participant_joined event signed with the LiveKit API secret.</v>
      </c>
      <c r="D23" s="120" t="str">
        <v>1. Unsigned: HTTP 401 Unauthorized.
2. Signed: HTTP 200 OK and the participant's join is recorded for the meeting.</v>
      </c>
      <c r="E23" s="120" t="str">
        <v>1. Backend is running.
2. LiveKit is configured with an API key and secret.</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109.5" customHeight="1">
      <c r="A24" s="120" t="str">
        <v>CALL_API_IT10</v>
      </c>
      <c r="B24" s="120" t="str">
        <v>Verify the LiveKit webhook returns 503 when LiveKit is not configured.</v>
      </c>
      <c r="C24" s="120" t="str">
        <v>1. Send POST request to /api/livekit/webhook.
2. Request headers: Content-Type: application/json; None (no authentication).
3. Query parameters: None.
4. Request JSON body: {}.</v>
      </c>
      <c r="D24" s="120" t="str">
        <v>1. HTTP 503 Service Unavailable.</v>
      </c>
      <c r="E24" s="120" t="str">
        <v>1. Backend is running.
2. LiveKit settings are removed from the backend configuration.</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sheetData>
  <mergeCells count="7">
    <mergeCell ref="B2:E2"/>
    <mergeCell ref="B3:E3"/>
    <mergeCell ref="B4:E4"/>
    <mergeCell ref="A11:O11"/>
    <mergeCell ref="A17:O17"/>
    <mergeCell ref="A19:O19"/>
    <mergeCell ref="A22:O22"/>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Core</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core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5</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COUNTIF(F12:F17,"Passed")</f>
        <v>0</v>
      </c>
      <c r="C6" s="114" t="n">
        <f>COUNTIF(F12:F17,"Failed")</f>
        <v>0</v>
      </c>
      <c r="D6" s="114" t="n">
        <f>B4-B6-C6-E6</f>
        <v>5</v>
      </c>
      <c r="E6" s="114" t="n">
        <f>COUNTIF(F12:F17,"Skipped")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COUNTIF(I12:I17,"Passed")</f>
        <v>0</v>
      </c>
      <c r="C7" s="114" t="n">
        <f>COUNTIF(I12:I17,"Failed")</f>
        <v>0</v>
      </c>
      <c r="D7" s="114" t="n">
        <f>B4-B7-C7-E7</f>
        <v>5</v>
      </c>
      <c r="E7" s="114" t="n">
        <f>COUNTIF(I12:I17,"Skipped")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COUNTIF(L12:L17,"Passed")</f>
        <v>0</v>
      </c>
      <c r="C8" s="114" t="n">
        <f>COUNTIF(L12:L17,"Failed")</f>
        <v>0</v>
      </c>
      <c r="D8" s="114" t="n">
        <f>B4-B8-C8-E8</f>
        <v>5</v>
      </c>
      <c r="E8" s="114" t="n">
        <f>COUNTIF(L12:L17,"Skipped")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GET /api/health</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09.5" customHeight="1">
      <c r="A12" s="120" t="str">
        <v>SYS_API_IT05</v>
      </c>
      <c r="B12" s="120" t="str">
        <v>Verify GET /api/health answers ok with the service name.</v>
      </c>
      <c r="C12" s="120" t="str">
        <v>1. Send GET request to /api/health.
2. Request headers: None (no authentication).
3. Query parameters: None.
4. Request body: None (GET request).</v>
      </c>
      <c r="D12" s="120" t="str">
        <v>1. HTTP 200 OK.
2. Response JSON body: { "status": "ok", "service": "TrustCabinet.Web" }.</v>
      </c>
      <c r="E12" s="120" t="str">
        <v>1. Backend is running.</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80.5" customHeight="1">
      <c r="A13" s="120" t="str">
        <v>SYS_API_IT06</v>
      </c>
      <c r="B13" s="120" t="str">
        <v>Verify /api/health still answers JSON when the frontend is built into the backend.</v>
      </c>
      <c r="C13" s="120" t="str">
        <v>1. Build the frontend (npm run build) and start the backend.
2. Send GET request to /api/health.</v>
      </c>
      <c r="D13" s="120" t="str">
        <v>1. HTTP 200 OK with Content-Type application/json.</v>
      </c>
      <c r="E13" s="120" t="str">
        <v>1. Backend is running.
2. The frontend has been built into wwwroot.</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24" customHeight="1">
      <c r="A14" s="120" t="str">
        <v>Frontend fallback</v>
      </c>
      <c r="B14" s="120"/>
      <c r="C14" s="120"/>
      <c r="D14" s="120"/>
      <c r="E14" s="120"/>
      <c r="F14" s="121"/>
      <c r="G14" s="122"/>
      <c r="H14" s="121"/>
      <c r="I14" s="121"/>
      <c r="J14" s="122"/>
      <c r="K14" s="121"/>
      <c r="L14" s="121"/>
      <c r="M14" s="123"/>
      <c r="N14" s="121"/>
      <c r="O14" s="124"/>
      <c r="P14" s="125"/>
      <c r="Q14" s="112"/>
      <c r="R14" s="112"/>
      <c r="S14" s="112"/>
      <c r="T14" s="112"/>
      <c r="U14" s="112"/>
      <c r="V14" s="112"/>
      <c r="W14" s="112"/>
      <c r="X14" s="112"/>
      <c r="Y14" s="112"/>
    </row>
    <row r="15" ht="66.0" customHeight="1">
      <c r="A15" s="120" t="str">
        <v>SYS_API_IT07</v>
      </c>
      <c r="B15" s="120" t="str">
        <v>Verify unknown API and hub paths return 404, not the web page.</v>
      </c>
      <c r="C15" s="120" t="str">
        <v>1. With the frontend built, GET /api/duong-dan-khong-ton-tai, /api/users/notaguid and /hubs/khong-ton-tai.</v>
      </c>
      <c r="D15" s="120" t="str">
        <v>1. Each returns HTTP 404 Not Found.
2. None returns the HTML of the web application.</v>
      </c>
      <c r="E15" s="120" t="str">
        <v>1. Backend is running.
2. The frontend has been built into wwwroot.</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95.0" customHeight="1">
      <c r="A16" s="120" t="str">
        <v>SYS_API_IT08</v>
      </c>
      <c r="B16" s="120" t="str">
        <v>Verify a real API route is not hidden by the web page fallback.</v>
      </c>
      <c r="C16" s="120" t="str">
        <v>1. Send POST request to /api/users.
2. Request headers: None (no authentication).
3. Query parameters: None.
4. Request body: None.</v>
      </c>
      <c r="D16" s="120" t="str">
        <v>1. HTTP 401 Unauthorized (the API answers, not the web page).</v>
      </c>
      <c r="E16" s="120" t="str">
        <v>1. Backend is running.
2. The frontend has been built into wwwroot.</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60" customHeight="1">
      <c r="A17" s="120" t="str">
        <v>SYS_API_IT09</v>
      </c>
      <c r="B17" s="120" t="str">
        <v>Verify a page route of the web application still serves index.html.</v>
      </c>
      <c r="C17" s="120" t="str">
        <v>1. With the frontend built, open http://localhost:5225/meetings in the browser.</v>
      </c>
      <c r="D17" s="120" t="str">
        <v>1. HTTP 200 OK and the TrustCabinet web application loads.</v>
      </c>
      <c r="E17" s="120" t="str">
        <v>1. Backend is running.
2. The frontend has been built into wwwroot.</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sheetData>
  <mergeCells count="5">
    <mergeCell ref="B2:E2"/>
    <mergeCell ref="B3:E3"/>
    <mergeCell ref="B4:E4"/>
    <mergeCell ref="A11:O11"/>
    <mergeCell ref="A14:O14"/>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Documents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documents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91</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COUNTIF(F12:F130,"Passed")</f>
        <v>0</v>
      </c>
      <c r="C6" s="114" t="n">
        <f>COUNTIF(F12:F130,"Failed")</f>
        <v>0</v>
      </c>
      <c r="D6" s="114" t="n">
        <f>B4-B6-C6-E6</f>
        <v>91</v>
      </c>
      <c r="E6" s="114" t="n">
        <f>COUNTIF(F12:F130,"Skipped")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COUNTIF(I12:I130,"Passed")</f>
        <v>0</v>
      </c>
      <c r="C7" s="114" t="n">
        <f>COUNTIF(I12:I130,"Failed")</f>
        <v>0</v>
      </c>
      <c r="D7" s="114" t="n">
        <f>B4-B7-C7-E7</f>
        <v>91</v>
      </c>
      <c r="E7" s="114" t="n">
        <f>COUNTIF(I12:I130,"Skipped")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COUNTIF(L12:L130,"Passed")</f>
        <v>0</v>
      </c>
      <c r="C8" s="114" t="n">
        <f>COUNTIF(L12:L130,"Failed")</f>
        <v>0</v>
      </c>
      <c r="D8" s="114" t="n">
        <f>B4-B8-C8-E8</f>
        <v>91</v>
      </c>
      <c r="E8" s="114" t="n">
        <f>COUNTIF(L12:L130,"Skipped")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POST /api/meetings/{id}/documents/upload</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38.5" customHeight="1">
      <c r="A12" s="120" t="str">
        <v>DOC_API_IT01</v>
      </c>
      <c r="B12" s="120" t="str">
        <v>Verify the Secretary uploads three PDFs and a DOCX into the meeting and their library folder.</v>
      </c>
      <c r="C12" s="120" t="str">
        <v>1. As the Secretary, POST /api/meetings/&lt;id&gt;/documents/upload as multipart/form-data with files "Báo cáo Q3.pdf" (pageCounts 12), "Tờ trình.pdf" (3), "Phụ lục.pdf" (no count) and "Dự thảo.docx" (7).
2. Open the Secretary's personal library.</v>
      </c>
      <c r="D12" s="120" t="str">
        <v>1. HTTP 201 Created with code "MSG161" ("Đã thêm tài liệu vào cuộc họp.") and addedCount 4.
2. The four documents appear in the meeting with their names and page counts.
3. The same four are in the Secretary's library, in a folder named after the meeting.</v>
      </c>
      <c r="E12" s="120" t="str">
        <v>1. Backend is running.
2. A Published meeting and its Secretary signed in.
3. File storage (SeaweedFS or R2) is configured.</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60" customHeight="1">
      <c r="A13" s="120" t="str">
        <v>DOC_API_IT02</v>
      </c>
      <c r="B13" s="120" t="str">
        <v>Verify the Chair may upload documents too.</v>
      </c>
      <c r="C13" s="120" t="str">
        <v>1. As the Chair of a Draft meeting, upload a.pdf.</v>
      </c>
      <c r="D13" s="120" t="str">
        <v>1. HTTP 201 with code "MSG161".</v>
      </c>
      <c r="E13" s="120" t="str">
        <v>1. Backend is running.
2. A Draft meeting and its Chair signed in.</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95.0" customHeight="1">
      <c r="A14" s="120" t="str">
        <v>DOC_API_IT03</v>
      </c>
      <c r="B14" s="120" t="str">
        <v>Verify a file that is not really a PDF or DOCX rejects the whole submission.</v>
      </c>
      <c r="C14" s="120" t="str">
        <v>1. Upload ok.pdf together with: anh.pdf (a PNG image renamed); then macro.docx (a macro-enabled Word file); then broken.docx (a DOCX without its document part).</v>
      </c>
      <c r="D14" s="120" t="str">
        <v>1. Each upload returns HTTP 400 with code "MSG164" and an error for the bad file.
2. ok.pdf is not added either; storage is unchanged.</v>
      </c>
      <c r="E14" s="120" t="str">
        <v>1. Backend is running.
2. A Published meeting and its Secretary signed in.</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66.0" customHeight="1">
      <c r="A15" s="120" t="str">
        <v>DOC_API_IT04</v>
      </c>
      <c r="B15" s="120" t="str">
        <v>Verify eleven files are over the submission limit.</v>
      </c>
      <c r="C15" s="120" t="str">
        <v>1. Upload 11 PDF files in one request.</v>
      </c>
      <c r="D15" s="120" t="str">
        <v>1. HTTP 400 with code "MSG288" ("Mỗi lần tải tối đa 10 tệp, tổng dung lượng không quá 200 MB.").
2. Nothing is added.</v>
      </c>
      <c r="E15" s="120" t="str">
        <v>1. Backend is running.
2. A Published meeting and its Secretary signed in.</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66.0" customHeight="1">
      <c r="A16" s="120" t="str">
        <v>DOC_API_IT05</v>
      </c>
      <c r="B16" s="120" t="str">
        <v>Verify a request declaring more than 200 MB is refused before it is read.</v>
      </c>
      <c r="C16" s="120" t="str">
        <v>1. Upload one file big.pdf of 202 MB.</v>
      </c>
      <c r="D16" s="120" t="str">
        <v>1. HTTP 400 with code "MSG288".
2. Nothing is stored.</v>
      </c>
      <c r="E16" s="120" t="str">
        <v>1. Backend is running.
2. A Published meeting and its Secretary signed in.</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66.0" customHeight="1">
      <c r="A17" s="120" t="str">
        <v>DOC_API_IT06</v>
      </c>
      <c r="B17" s="120" t="str">
        <v>Verify a single file over 50 MB is invalid.</v>
      </c>
      <c r="C17" s="120" t="str">
        <v>1. Upload lon.pdf of 50 MB + 1 byte.</v>
      </c>
      <c r="D17" s="120" t="str">
        <v>1. HTTP 400 with code "MSG164".
2. errors.files[0] mentions "50 MB".</v>
      </c>
      <c r="E17" s="120" t="str">
        <v>1. Backend is running.
2. A Published meeting and its Secretary signed in.</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66.0" customHeight="1">
      <c r="A18" s="120" t="str">
        <v>DOC_API_IT07</v>
      </c>
      <c r="B18" s="120" t="str">
        <v>Verify an upload with no file or a body that is not multipart is invalid.</v>
      </c>
      <c r="C18" s="120" t="str">
        <v>1. POST a multipart body with only a pageCounts field.
2. POST a JSON body {}.</v>
      </c>
      <c r="D18" s="120" t="str">
        <v>1. Both return HTTP 400 with code "MSG164".</v>
      </c>
      <c r="E18" s="120" t="str">
        <v>1. Backend is running.
2. A Published meeting and its Secretary signed in.</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80.5" customHeight="1">
      <c r="A19" s="120" t="str">
        <v>DOC_API_IT08</v>
      </c>
      <c r="B19" s="120" t="str">
        <v>Verify a Member or an organizer without a managing role is refused and an outsider gets 404.</v>
      </c>
      <c r="C19" s="120" t="str">
        <v>1. Upload a.pdf as the Member, as the organizer (not Chair or Secretary) and as an outsider.</v>
      </c>
      <c r="D19" s="120" t="str">
        <v>1. Member and organizer: HTTP 403 with code "MSG162" ("Bạn không còn quyền thêm tài liệu ...").
2. Outsider: HTTP 404 with code "MSG156".</v>
      </c>
      <c r="E19" s="120" t="str">
        <v>1. Backend is running.
2. A Published meeting with organizer, Chair, Secretary and Member.</v>
      </c>
      <c r="F19" s="121" t="str">
        <v>Pending</v>
      </c>
      <c r="G19" s="122" t="str"/>
      <c r="H19" s="121" t="str"/>
      <c r="I19" s="121" t="str"/>
      <c r="J19" s="122" t="str"/>
      <c r="K19" s="121" t="str"/>
      <c r="L19" s="121" t="str"/>
      <c r="M19" s="123" t="str"/>
      <c r="N19" s="121" t="str"/>
      <c r="O19" s="124" t="str"/>
      <c r="P19" s="125"/>
      <c r="Q19" s="112"/>
      <c r="R19" s="112"/>
      <c r="S19" s="112"/>
      <c r="T19" s="112"/>
      <c r="U19" s="112"/>
      <c r="V19" s="112"/>
      <c r="W19" s="112"/>
      <c r="X19" s="112"/>
      <c r="Y19" s="112"/>
    </row>
    <row r="20" ht="66.0" customHeight="1">
      <c r="A20" s="120" t="str">
        <v>DOC_API_IT09</v>
      </c>
      <c r="B20" s="120" t="str">
        <v>Verify a removed Secretary loses access and a deactivated Chair is refused.</v>
      </c>
      <c r="C20" s="120" t="str">
        <v>1. Remove the Secretary from the roster and deactivate the Chair.
2. Upload a file as each.</v>
      </c>
      <c r="D20" s="120" t="str">
        <v>1. The removed Secretary gets HTTP 404 (or 403 "MSG162").
2. The deactivated Chair gets HTTP 403.</v>
      </c>
      <c r="E20" s="120" t="str">
        <v>1. Backend is running.
2. A Draft meeting with Chair and Secretary.</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66.0" customHeight="1">
      <c r="A21" s="120" t="str">
        <v>DOC_API_IT10</v>
      </c>
      <c r="B21" s="120" t="str">
        <v>Verify an Ended meeting refuses uploads.</v>
      </c>
      <c r="C21" s="120" t="str">
        <v>1. As the Secretary of an Ended meeting, upload a.pdf.</v>
      </c>
      <c r="D21" s="120" t="str">
        <v>1. HTTP 409 with code "MSG172" ("Không thể thêm tài liệu sau khi cuộc họp đã kết thúc.").
2. Nothing is stored.</v>
      </c>
      <c r="E21" s="120" t="str">
        <v>1. Backend is running.
2. An Ended meeting and its Secretary signed in.</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66.0" customHeight="1">
      <c r="A22" s="120" t="str">
        <v>DOC_API_IT11</v>
      </c>
      <c r="B22" s="120" t="str">
        <v>Verify a Cancelled meeting refuses uploads.</v>
      </c>
      <c r="C22" s="120" t="str">
        <v>1. As the Secretary of a Cancelled meeting, upload a.pdf.</v>
      </c>
      <c r="D22" s="120" t="str">
        <v>1. HTTP 409 with code "MSG349" ("Cuộc họp đã huỷ nên không thay đổi được nữa.").
2. Nothing is stored.</v>
      </c>
      <c r="E22" s="120" t="str">
        <v>1. Backend is running.
2. A Cancelled meeting and its Secretary signed in.</v>
      </c>
      <c r="F22" s="121" t="str">
        <v>Pending</v>
      </c>
      <c r="G22" s="122" t="str"/>
      <c r="H22" s="121" t="str"/>
      <c r="I22" s="121" t="str"/>
      <c r="J22" s="122" t="str"/>
      <c r="K22" s="121" t="str"/>
      <c r="L22" s="121" t="str"/>
      <c r="M22" s="123" t="str"/>
      <c r="N22" s="121" t="str"/>
      <c r="O22" s="124" t="str"/>
      <c r="P22" s="125"/>
      <c r="Q22" s="112"/>
      <c r="R22" s="112"/>
      <c r="S22" s="112"/>
      <c r="T22" s="112"/>
      <c r="U22" s="112"/>
      <c r="V22" s="112"/>
      <c r="W22" s="112"/>
      <c r="X22" s="112"/>
      <c r="Y22" s="112"/>
    </row>
    <row r="23" ht="66.0" customHeight="1">
      <c r="A23" s="120" t="str">
        <v>DOC_API_IT12</v>
      </c>
      <c r="B23" s="120" t="str">
        <v>Verify a meeting that ends while files upload refuses them and deletes the stored objects.</v>
      </c>
      <c r="C23" s="120" t="str">
        <v>1. Start a large upload as the Secretary.
2. While it is uploading, end the meeting as the Chair.</v>
      </c>
      <c r="D23" s="120" t="str">
        <v>1. The upload returns HTTP 409 with code "MSG172".
2. The objects written to storage are deleted; nothing is added.</v>
      </c>
      <c r="E23" s="120" t="str">
        <v>1. Backend is running.
2. An InProgress meeting with Chair and Secretary.</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66.0" customHeight="1">
      <c r="A24" s="120" t="str">
        <v>DOC_API_IT13</v>
      </c>
      <c r="B24" s="120" t="str">
        <v>Verify a Secretary who loses the role during an upload is refused and the objects are deleted.</v>
      </c>
      <c r="C24" s="120" t="str">
        <v>1. Start a large upload as the Secretary.
2. Meanwhile change the Secretary's seat to Member.</v>
      </c>
      <c r="D24" s="120" t="str">
        <v>1. The upload returns HTTP 403 with code "MSG162".
2. The written objects are deleted; nothing is added.</v>
      </c>
      <c r="E24" s="120" t="str">
        <v>1. Backend is running.
2. A Published meeting with Secretary.</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row r="25" ht="60" customHeight="1">
      <c r="A25" s="120" t="str">
        <v>DOC_API_IT14</v>
      </c>
      <c r="B25" s="120" t="str">
        <v>Verify a Member sending an invalid file is refused for the role, not the file.</v>
      </c>
      <c r="C25" s="120" t="str">
        <v>1. As the Member, upload anh.pdf (a PNG image renamed).</v>
      </c>
      <c r="D25" s="120" t="str">
        <v>1. HTTP 403 with code "MSG162" (not MSG164).</v>
      </c>
      <c r="E25" s="120" t="str">
        <v>1. Backend is running.
2. A Published meeting with a Member.</v>
      </c>
      <c r="F25" s="121" t="str">
        <v>Pending</v>
      </c>
      <c r="G25" s="122" t="str"/>
      <c r="H25" s="121" t="str"/>
      <c r="I25" s="121" t="str"/>
      <c r="J25" s="122" t="str"/>
      <c r="K25" s="121" t="str"/>
      <c r="L25" s="121" t="str"/>
      <c r="M25" s="123" t="str"/>
      <c r="N25" s="121" t="str"/>
      <c r="O25" s="124" t="str"/>
      <c r="P25" s="125"/>
      <c r="Q25" s="112"/>
      <c r="R25" s="112"/>
      <c r="S25" s="112"/>
      <c r="T25" s="112"/>
      <c r="U25" s="112"/>
      <c r="V25" s="112"/>
      <c r="W25" s="112"/>
      <c r="X25" s="112"/>
      <c r="Y25" s="112"/>
    </row>
    <row r="26" ht="80.5" customHeight="1">
      <c r="A26" s="120" t="str">
        <v>DOC_API_IT15</v>
      </c>
      <c r="B26" s="120" t="str">
        <v>Verify HTML disguised with a PDF marker and a mismatched file name are rejected.</v>
      </c>
      <c r="C26" s="120" t="str">
        <v>1. Upload poly.pdf whose content is HTML with a script and a %PDF comment, together with that.html that is really a PDF.</v>
      </c>
      <c r="D26" s="120" t="str">
        <v>1. HTTP 400 with code "MSG164" with errors for files[0] and files[1].
2. Nothing is stored.</v>
      </c>
      <c r="E26" s="120" t="str">
        <v>1. Backend is running.
2. A Published meeting and its Secretary signed in.</v>
      </c>
      <c r="F26" s="121" t="str">
        <v>Pending</v>
      </c>
      <c r="G26" s="122" t="str"/>
      <c r="H26" s="121" t="str"/>
      <c r="I26" s="121" t="str"/>
      <c r="J26" s="122" t="str"/>
      <c r="K26" s="121" t="str"/>
      <c r="L26" s="121" t="str"/>
      <c r="M26" s="123" t="str"/>
      <c r="N26" s="121" t="str"/>
      <c r="O26" s="124" t="str"/>
      <c r="P26" s="125"/>
      <c r="Q26" s="112"/>
      <c r="R26" s="112"/>
      <c r="S26" s="112"/>
      <c r="T26" s="112"/>
      <c r="U26" s="112"/>
      <c r="V26" s="112"/>
      <c r="W26" s="112"/>
      <c r="X26" s="112"/>
      <c r="Y26" s="112"/>
    </row>
    <row r="27" ht="66.0" customHeight="1">
      <c r="A27" s="120" t="str">
        <v>DOC_API_IT16</v>
      </c>
      <c r="B27" s="120" t="str">
        <v>Verify a storage failure on the second file deletes the first and adds nothing.</v>
      </c>
      <c r="C27" s="120" t="str">
        <v>1. Make the storage fail on the second write (stop SeaweedFS after the first file).
2. Upload a.pdf and b.pdf.</v>
      </c>
      <c r="D27" s="120" t="str">
        <v>1. HTTP 503 with code "MSG166".
2. a.pdf is removed from storage; no document is added.</v>
      </c>
      <c r="E27" s="120" t="str">
        <v>1. Backend is running.
2. A Published meeting and its Secretary signed in.</v>
      </c>
      <c r="F27" s="121" t="str">
        <v>Pending</v>
      </c>
      <c r="G27" s="122" t="str"/>
      <c r="H27" s="121" t="str"/>
      <c r="I27" s="121" t="str"/>
      <c r="J27" s="122" t="str"/>
      <c r="K27" s="121" t="str"/>
      <c r="L27" s="121" t="str"/>
      <c r="M27" s="123" t="str"/>
      <c r="N27" s="121" t="str"/>
      <c r="O27" s="124" t="str"/>
      <c r="P27" s="125"/>
      <c r="Q27" s="112"/>
      <c r="R27" s="112"/>
      <c r="S27" s="112"/>
      <c r="T27" s="112"/>
      <c r="U27" s="112"/>
      <c r="V27" s="112"/>
      <c r="W27" s="112"/>
      <c r="X27" s="112"/>
      <c r="Y27" s="112"/>
    </row>
    <row r="28" ht="66.0" customHeight="1">
      <c r="A28" s="120" t="str">
        <v>DOC_API_IT17</v>
      </c>
      <c r="B28" s="120" t="str">
        <v>Verify a database failure after the files are stored deletes every stored file.</v>
      </c>
      <c r="C28" s="120" t="str">
        <v>1. Stop PostgreSQL right after the files reach storage.
2. Upload a.pdf and b.docx.</v>
      </c>
      <c r="D28" s="120" t="str">
        <v>1. HTTP 503 with code "MSG166".
2. Both objects are deleted from storage; no document is added.</v>
      </c>
      <c r="E28" s="120" t="str">
        <v>1. Backend is running.
2. A Published meeting and its Secretary signed in.</v>
      </c>
      <c r="F28" s="121" t="str">
        <v>Pending</v>
      </c>
      <c r="G28" s="122" t="str"/>
      <c r="H28" s="121" t="str"/>
      <c r="I28" s="121" t="str"/>
      <c r="J28" s="122" t="str"/>
      <c r="K28" s="121" t="str"/>
      <c r="L28" s="121" t="str"/>
      <c r="M28" s="123" t="str"/>
      <c r="N28" s="121" t="str"/>
      <c r="O28" s="124" t="str"/>
      <c r="P28" s="125"/>
      <c r="Q28" s="112"/>
      <c r="R28" s="112"/>
      <c r="S28" s="112"/>
      <c r="T28" s="112"/>
      <c r="U28" s="112"/>
      <c r="V28" s="112"/>
      <c r="W28" s="112"/>
      <c r="X28" s="112"/>
      <c r="Y28" s="112"/>
    </row>
    <row r="29" ht="66.0" customHeight="1">
      <c r="A29" s="120" t="str">
        <v>DOC_API_IT18</v>
      </c>
      <c r="B29" s="120" t="str">
        <v>Verify MSG166 is still returned when the cleanup cannot delete the files.</v>
      </c>
      <c r="C29" s="120" t="str">
        <v>1. Make both the database save and the storage delete fail.
2. Upload a.pdf.</v>
      </c>
      <c r="D29" s="120" t="str">
        <v>1. HTTP 503 with code "MSG166".
2. No meeting document row exists; the left-over object is marked for the orphan purge.</v>
      </c>
      <c r="E29" s="120" t="str">
        <v>1. Backend is running.
2. A Published meeting and its Secretary signed in.</v>
      </c>
      <c r="F29" s="121" t="str">
        <v>Pending</v>
      </c>
      <c r="G29" s="122" t="str"/>
      <c r="H29" s="121" t="str"/>
      <c r="I29" s="121" t="str"/>
      <c r="J29" s="122" t="str"/>
      <c r="K29" s="121" t="str"/>
      <c r="L29" s="121" t="str"/>
      <c r="M29" s="123" t="str"/>
      <c r="N29" s="121" t="str"/>
      <c r="O29" s="124" t="str"/>
      <c r="P29" s="125"/>
      <c r="Q29" s="112"/>
      <c r="R29" s="112"/>
      <c r="S29" s="112"/>
      <c r="T29" s="112"/>
      <c r="U29" s="112"/>
      <c r="V29" s="112"/>
      <c r="W29" s="112"/>
      <c r="X29" s="112"/>
      <c r="Y29" s="112"/>
    </row>
    <row r="30" ht="60" customHeight="1">
      <c r="A30" s="120" t="str">
        <v>DOC_API_IT19</v>
      </c>
      <c r="B30" s="120" t="str">
        <v>Verify every stored object already has its database row when it is written.</v>
      </c>
      <c r="C30" s="120" t="str">
        <v>1. Upload a.pdf and b.pdf while watching the stored_files table.</v>
      </c>
      <c r="D30" s="120" t="str">
        <v>1. HTTP 201.
2. Both stored_files rows exist before their objects are written.</v>
      </c>
      <c r="E30" s="120" t="str">
        <v>1. Backend is running.
2. A Published meeting on PostgreSQL.</v>
      </c>
      <c r="F30" s="121" t="str">
        <v>Pending</v>
      </c>
      <c r="G30" s="122" t="str"/>
      <c r="H30" s="121" t="str"/>
      <c r="I30" s="121" t="str"/>
      <c r="J30" s="122" t="str"/>
      <c r="K30" s="121" t="str"/>
      <c r="L30" s="121" t="str"/>
      <c r="M30" s="123" t="str"/>
      <c r="N30" s="121" t="str"/>
      <c r="O30" s="124" t="str"/>
      <c r="P30" s="125"/>
      <c r="Q30" s="112"/>
      <c r="R30" s="112"/>
      <c r="S30" s="112"/>
      <c r="T30" s="112"/>
      <c r="U30" s="112"/>
      <c r="V30" s="112"/>
      <c r="W30" s="112"/>
      <c r="X30" s="112"/>
      <c r="Y30" s="112"/>
    </row>
    <row r="31" ht="109.5" customHeight="1">
      <c r="A31" s="120" t="str">
        <v>DOC_API_IT20</v>
      </c>
      <c r="B31" s="120" t="str">
        <v>Verify a page-count part longer than a number is malformed and other parts are skipped.</v>
      </c>
      <c r="C31" s="120" t="str">
        <v>1. Upload a.pdf with an extra 1 MB text part "notes" and an extra file part "attachment".
2. Upload a.pdf with a pageCounts value longer than a number.</v>
      </c>
      <c r="D31" s="120" t="str">
        <v>1. The first upload returns HTTP 201 with addedCount 1 (extra parts are ignored).
2. The second returns HTTP 400 with code "MSG164".</v>
      </c>
      <c r="E31" s="120" t="str">
        <v>1. Backend is running.
2. A Published meeting and its Secretary signed in.</v>
      </c>
      <c r="F31" s="121" t="str">
        <v>Pending</v>
      </c>
      <c r="G31" s="122" t="str"/>
      <c r="H31" s="121" t="str"/>
      <c r="I31" s="121" t="str"/>
      <c r="J31" s="122" t="str"/>
      <c r="K31" s="121" t="str"/>
      <c r="L31" s="121" t="str"/>
      <c r="M31" s="123" t="str"/>
      <c r="N31" s="121" t="str"/>
      <c r="O31" s="124" t="str"/>
      <c r="P31" s="125"/>
      <c r="Q31" s="112"/>
      <c r="R31" s="112"/>
      <c r="S31" s="112"/>
      <c r="T31" s="112"/>
      <c r="U31" s="112"/>
      <c r="V31" s="112"/>
      <c r="W31" s="112"/>
      <c r="X31" s="112"/>
      <c r="Y31" s="112"/>
    </row>
    <row r="32" ht="66.0" customHeight="1">
      <c r="A32" s="120" t="str">
        <v>DOC_API_IT21</v>
      </c>
      <c r="B32" s="120" t="str">
        <v>Verify a body with more parts than any real upload is malformed.</v>
      </c>
      <c r="C32" s="120" t="str">
        <v>1. POST a multipart body with 65 empty pageCounts parts.</v>
      </c>
      <c r="D32" s="120" t="str">
        <v>1. HTTP 400 with code "MSG164".</v>
      </c>
      <c r="E32" s="120" t="str">
        <v>1. Backend is running.
2. A Published meeting and its Secretary signed in.</v>
      </c>
      <c r="F32" s="121" t="str">
        <v>Pending</v>
      </c>
      <c r="G32" s="122" t="str"/>
      <c r="H32" s="121" t="str"/>
      <c r="I32" s="121" t="str"/>
      <c r="J32" s="122" t="str"/>
      <c r="K32" s="121" t="str"/>
      <c r="L32" s="121" t="str"/>
      <c r="M32" s="123" t="str"/>
      <c r="N32" s="121" t="str"/>
      <c r="O32" s="124" t="str"/>
      <c r="P32" s="125"/>
      <c r="Q32" s="112"/>
      <c r="R32" s="112"/>
      <c r="S32" s="112"/>
      <c r="T32" s="112"/>
      <c r="U32" s="112"/>
      <c r="V32" s="112"/>
      <c r="W32" s="112"/>
      <c r="X32" s="112"/>
      <c r="Y32" s="112"/>
    </row>
    <row r="33" ht="66.0" customHeight="1">
      <c r="A33" s="120" t="str">
        <v>DOC_API_IT22</v>
      </c>
      <c r="B33" s="120" t="str">
        <v>Verify uploads return MSG166 when no file storage is configured.</v>
      </c>
      <c r="C33" s="120" t="str">
        <v>1. Remove the FileStorage settings and restart the backend.
2. Upload a.pdf.</v>
      </c>
      <c r="D33" s="120" t="str">
        <v>1. HTTP 503 with code "MSG166".</v>
      </c>
      <c r="E33" s="120" t="str">
        <v>1. Backend is running.
2. A Published meeting and its Secretary signed in.</v>
      </c>
      <c r="F33" s="121" t="str">
        <v>Pending</v>
      </c>
      <c r="G33" s="122" t="str"/>
      <c r="H33" s="121" t="str"/>
      <c r="I33" s="121" t="str"/>
      <c r="J33" s="122" t="str"/>
      <c r="K33" s="121" t="str"/>
      <c r="L33" s="121" t="str"/>
      <c r="M33" s="123" t="str"/>
      <c r="N33" s="121" t="str"/>
      <c r="O33" s="124" t="str"/>
      <c r="P33" s="125"/>
      <c r="Q33" s="112"/>
      <c r="R33" s="112"/>
      <c r="S33" s="112"/>
      <c r="T33" s="112"/>
      <c r="U33" s="112"/>
      <c r="V33" s="112"/>
      <c r="W33" s="112"/>
      <c r="X33" s="112"/>
      <c r="Y33" s="112"/>
    </row>
    <row r="34" ht="80.5" customHeight="1">
      <c r="A34" s="120" t="str">
        <v>DOC_API_IT23</v>
      </c>
      <c r="B34" s="120" t="str">
        <v>Verify later uploads reuse the meeting folder even renamed or moved, and recreate it once deleted.</v>
      </c>
      <c r="C34" s="120" t="str">
        <v>1. Upload a.pdf; rename and move the meeting folder in the library; upload again.
2. Delete the folder (after emptying it) and upload again.</v>
      </c>
      <c r="D34" s="120" t="str">
        <v>1. The second upload goes into the same (renamed, moved) folder.
2. After deletion a new meeting folder is created once.</v>
      </c>
      <c r="E34" s="120" t="str">
        <v>1. Backend is running.
2. A Published meeting and its Secretary signed in.</v>
      </c>
      <c r="F34" s="121" t="str">
        <v>Pending</v>
      </c>
      <c r="G34" s="122" t="str"/>
      <c r="H34" s="121" t="str"/>
      <c r="I34" s="121" t="str"/>
      <c r="J34" s="122" t="str"/>
      <c r="K34" s="121" t="str"/>
      <c r="L34" s="121" t="str"/>
      <c r="M34" s="123" t="str"/>
      <c r="N34" s="121" t="str"/>
      <c r="O34" s="124" t="str"/>
      <c r="P34" s="125"/>
      <c r="Q34" s="112"/>
      <c r="R34" s="112"/>
      <c r="S34" s="112"/>
      <c r="T34" s="112"/>
      <c r="U34" s="112"/>
      <c r="V34" s="112"/>
      <c r="W34" s="112"/>
      <c r="X34" s="112"/>
      <c r="Y34" s="112"/>
    </row>
    <row r="35" ht="66.0" customHeight="1">
      <c r="A35" s="120" t="str">
        <v>DOC_API_IT24</v>
      </c>
      <c r="B35" s="120" t="str">
        <v>Verify the agenda editor lists uploaded documents for linking.</v>
      </c>
      <c r="C35" s="120" t="str">
        <v>1. Upload a.pdf to a Draft meeting.
2. GET /api/meetings/&lt;id&gt;/agenda/editor-options.</v>
      </c>
      <c r="D35" s="120" t="str">
        <v>1. The uploaded document is listed among the documents that can be linked to an agenda item.</v>
      </c>
      <c r="E35" s="120" t="str">
        <v>1. Backend is running.
2. A Draft meeting and its Secretary signed in.</v>
      </c>
      <c r="F35" s="121" t="str">
        <v>Pending</v>
      </c>
      <c r="G35" s="122" t="str"/>
      <c r="H35" s="121" t="str"/>
      <c r="I35" s="121" t="str"/>
      <c r="J35" s="122" t="str"/>
      <c r="K35" s="121" t="str"/>
      <c r="L35" s="121" t="str"/>
      <c r="M35" s="123" t="str"/>
      <c r="N35" s="121" t="str"/>
      <c r="O35" s="124" t="str"/>
      <c r="P35" s="125"/>
      <c r="Q35" s="112"/>
      <c r="R35" s="112"/>
      <c r="S35" s="112"/>
      <c r="T35" s="112"/>
      <c r="U35" s="112"/>
      <c r="V35" s="112"/>
      <c r="W35" s="112"/>
      <c r="X35" s="112"/>
      <c r="Y35" s="112"/>
    </row>
    <row r="36" ht="24" customHeight="1">
      <c r="A36" s="120" t="str">
        <v>GET /api/meetings/{id}/documents</v>
      </c>
      <c r="B36" s="120"/>
      <c r="C36" s="120"/>
      <c r="D36" s="120"/>
      <c r="E36" s="120"/>
      <c r="F36" s="121"/>
      <c r="G36" s="122"/>
      <c r="H36" s="121"/>
      <c r="I36" s="121"/>
      <c r="J36" s="122"/>
      <c r="K36" s="121"/>
      <c r="L36" s="121"/>
      <c r="M36" s="123"/>
      <c r="N36" s="121"/>
      <c r="O36" s="124"/>
      <c r="P36" s="125"/>
      <c r="Q36" s="112"/>
      <c r="R36" s="112"/>
      <c r="S36" s="112"/>
      <c r="T36" s="112"/>
      <c r="U36" s="112"/>
      <c r="V36" s="112"/>
      <c r="W36" s="112"/>
      <c r="X36" s="112"/>
      <c r="Y36" s="112"/>
    </row>
    <row r="37" ht="138.5" customHeight="1">
      <c r="A37" s="120" t="str">
        <v>DOC_API_IT25</v>
      </c>
      <c r="B37" s="120" t="str">
        <v>Verify a Member sees documents grouped by agenda item in order, with general documents and without removed ones.</v>
      </c>
      <c r="C37" s="120" t="str">
        <v>1. As the Member, GET /api/meetings/&lt;id&gt;/documents.</v>
      </c>
      <c r="D37" s="120" t="str">
        <v>1. HTTP 200 OK.
2. agendaItems are in agenda order; "Tờ trình.pdf" appears under items 1 and 3 with 12 pages and 2 comments; "Báo cáo.pdf" under item 2.
3. general lists documents not linked to any item.
4. Removed documents are not listed; currentAgendaItemId is item 2.</v>
      </c>
      <c r="E37" s="120" t="str">
        <v>1. Backend is running.
2. A Published meeting with three agenda items (Done, InProgress, Pending) and documents as described, one of them removed.</v>
      </c>
      <c r="F37" s="121" t="str">
        <v>Pending</v>
      </c>
      <c r="G37" s="122" t="str"/>
      <c r="H37" s="121" t="str"/>
      <c r="I37" s="121" t="str"/>
      <c r="J37" s="122" t="str"/>
      <c r="K37" s="121" t="str"/>
      <c r="L37" s="121" t="str"/>
      <c r="M37" s="123" t="str"/>
      <c r="N37" s="121" t="str"/>
      <c r="O37" s="124" t="str"/>
      <c r="P37" s="125"/>
      <c r="Q37" s="112"/>
      <c r="R37" s="112"/>
      <c r="S37" s="112"/>
      <c r="T37" s="112"/>
      <c r="U37" s="112"/>
      <c r="V37" s="112"/>
      <c r="W37" s="112"/>
      <c r="X37" s="112"/>
      <c r="Y37" s="112"/>
    </row>
    <row r="38" ht="138.5" customHeight="1">
      <c r="A38" s="120" t="str">
        <v>DOC_API_IT26</v>
      </c>
      <c r="B38" s="120" t="str">
        <v>Verify a meeting without documents returns empty groups and no current item.</v>
      </c>
      <c r="C38" s="120" t="str">
        <v>1. Send GET request to /api/meetings/&lt;id&gt;/documents.
2. Request headers: Authorization: Bearer &lt;access token of thanhvien@trustcabinet.local&gt; (Member, no capability).
3. Query parameters: None.
4. Request body: None (GET request).</v>
      </c>
      <c r="D38" s="120" t="str">
        <v>1. HTTP 200 OK.
2. currentAgendaItemId is null; agendaItems and general are empty.</v>
      </c>
      <c r="E38" s="120" t="str">
        <v>1. Backend is running.
2. A Published meeting with no agenda and no documents; thanhvien is invited.</v>
      </c>
      <c r="F38" s="121" t="str">
        <v>Pending</v>
      </c>
      <c r="G38" s="122" t="str"/>
      <c r="H38" s="121" t="str"/>
      <c r="I38" s="121" t="str"/>
      <c r="J38" s="122" t="str"/>
      <c r="K38" s="121" t="str"/>
      <c r="L38" s="121" t="str"/>
      <c r="M38" s="123" t="str"/>
      <c r="N38" s="121" t="str"/>
      <c r="O38" s="124" t="str"/>
      <c r="P38" s="125"/>
      <c r="Q38" s="112"/>
      <c r="R38" s="112"/>
      <c r="S38" s="112"/>
      <c r="T38" s="112"/>
      <c r="U38" s="112"/>
      <c r="V38" s="112"/>
      <c r="W38" s="112"/>
      <c r="X38" s="112"/>
      <c r="Y38" s="112"/>
    </row>
    <row r="39" ht="60" customHeight="1">
      <c r="A39" s="120" t="str">
        <v>DOC_API_IT27</v>
      </c>
      <c r="B39" s="120" t="str">
        <v>Verify the documents of an Ended meeting stay readable.</v>
      </c>
      <c r="C39" s="120" t="str">
        <v>1. As the Member, GET the document list and the content of "Biên bản.pdf".</v>
      </c>
      <c r="D39" s="120" t="str">
        <v>1. The list contains the document.
2. The content is returned byte for byte.</v>
      </c>
      <c r="E39" s="120" t="str">
        <v>1. Backend is running.
2. An Ended meeting with "Biên bản.pdf".</v>
      </c>
      <c r="F39" s="121" t="str">
        <v>Pending</v>
      </c>
      <c r="G39" s="122" t="str"/>
      <c r="H39" s="121" t="str"/>
      <c r="I39" s="121" t="str"/>
      <c r="J39" s="122" t="str"/>
      <c r="K39" s="121" t="str"/>
      <c r="L39" s="121" t="str"/>
      <c r="M39" s="123" t="str"/>
      <c r="N39" s="121" t="str"/>
      <c r="O39" s="124" t="str"/>
      <c r="P39" s="125"/>
      <c r="Q39" s="112"/>
      <c r="R39" s="112"/>
      <c r="S39" s="112"/>
      <c r="T39" s="112"/>
      <c r="U39" s="112"/>
      <c r="V39" s="112"/>
      <c r="W39" s="112"/>
      <c r="X39" s="112"/>
      <c r="Y39" s="112"/>
    </row>
    <row r="40" ht="95.0" customHeight="1">
      <c r="A40" s="120" t="str">
        <v>DOC_API_IT28</v>
      </c>
      <c r="B40" s="120" t="str">
        <v>Verify a caller who cannot view the meeting gets the same 404 as for a missing meeting.</v>
      </c>
      <c r="C40" s="120" t="str">
        <v>1. As an outsider, GET the document list and the content of "Mật.pdf", and the list of a random meeting id.
2. As a Member of a Draft meeting, GET its document list.</v>
      </c>
      <c r="D40" s="120" t="str">
        <v>1. Every request returns HTTP 404 with code "MSG156" and the same body.</v>
      </c>
      <c r="E40" s="120" t="str">
        <v>1. Backend is running.
2. A Published meeting with "Mật.pdf" and a Draft meeting with a Member.</v>
      </c>
      <c r="F40" s="121" t="str">
        <v>Pending</v>
      </c>
      <c r="G40" s="122" t="str"/>
      <c r="H40" s="121" t="str"/>
      <c r="I40" s="121" t="str"/>
      <c r="J40" s="122" t="str"/>
      <c r="K40" s="121" t="str"/>
      <c r="L40" s="121" t="str"/>
      <c r="M40" s="123" t="str"/>
      <c r="N40" s="121" t="str"/>
      <c r="O40" s="124" t="str"/>
      <c r="P40" s="125"/>
      <c r="Q40" s="112"/>
      <c r="R40" s="112"/>
      <c r="S40" s="112"/>
      <c r="T40" s="112"/>
      <c r="U40" s="112"/>
      <c r="V40" s="112"/>
      <c r="W40" s="112"/>
      <c r="X40" s="112"/>
      <c r="Y40" s="112"/>
    </row>
    <row r="41" ht="138.5" customHeight="1">
      <c r="A41" s="120" t="str">
        <v>DOC_API_IT29</v>
      </c>
      <c r="B41" s="120" t="str">
        <v>Verify a list read failure returns MSG157, not an empty list.</v>
      </c>
      <c r="C41" s="120" t="str">
        <v>1. Send GET request to /api/meetings/&lt;id&gt;/documents.
2. Request headers: Authorization: Bearer &lt;access token of thanhvien@trustcabinet.local&gt; (Member, no capability).
3. Query parameters: None.
4. Request body: None (GET request).</v>
      </c>
      <c r="D41" s="120" t="str">
        <v>1. HTTP 500 with code "MSG157" ("Không tải được danh sách tài liệu. Vui lòng thử lại.").</v>
      </c>
      <c r="E41" s="120" t="str">
        <v>1. Backend is running.
2. thanhvien is invited to a Published meeting.
3. The PostgreSQL container is stopped after sign-in.</v>
      </c>
      <c r="F41" s="121" t="str">
        <v>Pending</v>
      </c>
      <c r="G41" s="122" t="str"/>
      <c r="H41" s="121" t="str"/>
      <c r="I41" s="121" t="str"/>
      <c r="J41" s="122" t="str"/>
      <c r="K41" s="121" t="str"/>
      <c r="L41" s="121" t="str"/>
      <c r="M41" s="123" t="str"/>
      <c r="N41" s="121" t="str"/>
      <c r="O41" s="124" t="str"/>
      <c r="P41" s="125"/>
      <c r="Q41" s="112"/>
      <c r="R41" s="112"/>
      <c r="S41" s="112"/>
      <c r="T41" s="112"/>
      <c r="U41" s="112"/>
      <c r="V41" s="112"/>
      <c r="W41" s="112"/>
      <c r="X41" s="112"/>
      <c r="Y41" s="112"/>
    </row>
    <row r="42" ht="24" customHeight="1">
      <c r="A42" s="120" t="str">
        <v>GET /api/meetings/{id}/documents/{documentId}/content</v>
      </c>
      <c r="B42" s="120"/>
      <c r="C42" s="120"/>
      <c r="D42" s="120"/>
      <c r="E42" s="120"/>
      <c r="F42" s="121"/>
      <c r="G42" s="122"/>
      <c r="H42" s="121"/>
      <c r="I42" s="121"/>
      <c r="J42" s="122"/>
      <c r="K42" s="121"/>
      <c r="L42" s="121"/>
      <c r="M42" s="123"/>
      <c r="N42" s="121"/>
      <c r="O42" s="124"/>
      <c r="P42" s="125"/>
      <c r="Q42" s="112"/>
      <c r="R42" s="112"/>
      <c r="S42" s="112"/>
      <c r="T42" s="112"/>
      <c r="U42" s="112"/>
      <c r="V42" s="112"/>
      <c r="W42" s="112"/>
      <c r="X42" s="112"/>
      <c r="Y42" s="112"/>
    </row>
    <row r="43" ht="167.5" customHeight="1">
      <c r="A43" s="120" t="str">
        <v>DOC_API_IT30</v>
      </c>
      <c r="B43" s="120" t="str">
        <v>Verify viewing streams the stored bytes unchanged as an attachment.</v>
      </c>
      <c r="C43" s="120" t="str">
        <v>1. Send GET request to /api/meetings/&lt;id&gt;/documents/&lt;id of "Báo cáo quý 3.pdf"&gt;/content.
2. Request headers: Authorization: Bearer &lt;access token of thanhvien@trustcabinet.local&gt; (Member, no capability).
3. Query parameters: None.
4. Request body: None (GET request).</v>
      </c>
      <c r="D43" s="120" t="str">
        <v>1. HTTP 200 OK.
2. The body is exactly the uploaded file.
3. Content-Type is application/pdf and Content-Disposition names "Báo cáo quý 3.pdf".</v>
      </c>
      <c r="E43" s="120" t="str">
        <v>1. Backend is running.
2. A Published meeting with "Báo cáo quý 3.pdf"; thanhvien is invited.</v>
      </c>
      <c r="F43" s="121" t="str">
        <v>Pending</v>
      </c>
      <c r="G43" s="122" t="str"/>
      <c r="H43" s="121" t="str"/>
      <c r="I43" s="121" t="str"/>
      <c r="J43" s="122" t="str"/>
      <c r="K43" s="121" t="str"/>
      <c r="L43" s="121" t="str"/>
      <c r="M43" s="123" t="str"/>
      <c r="N43" s="121" t="str"/>
      <c r="O43" s="124" t="str"/>
      <c r="P43" s="125"/>
      <c r="Q43" s="112"/>
      <c r="R43" s="112"/>
      <c r="S43" s="112"/>
      <c r="T43" s="112"/>
      <c r="U43" s="112"/>
      <c r="V43" s="112"/>
      <c r="W43" s="112"/>
      <c r="X43" s="112"/>
      <c r="Y43" s="112"/>
    </row>
    <row r="44" ht="66.0" customHeight="1">
      <c r="A44" s="120" t="str">
        <v>DOC_API_IT31</v>
      </c>
      <c r="B44" s="120" t="str">
        <v>Verify documents of a Secret meeting can be viewed and are audited but cannot be downloaded.</v>
      </c>
      <c r="C44" s="120" t="str">
        <v>1. As the Member, GET the content of "Tuyệt mật.pdf".
2. GET it with ?download=true.</v>
      </c>
      <c r="D44" s="120" t="str">
        <v>1. Viewing returns the bytes and writes one document.viewed audit entry.
2. Downloading is refused (HTTP 403) and nothing is downloaded.</v>
      </c>
      <c r="E44" s="120" t="str">
        <v>1. Backend is running.
2. A Secret meeting with "Tuyệt mật.pdf"; the Member is invited.</v>
      </c>
      <c r="F44" s="121" t="str">
        <v>Pending</v>
      </c>
      <c r="G44" s="122" t="str"/>
      <c r="H44" s="121" t="str"/>
      <c r="I44" s="121" t="str"/>
      <c r="J44" s="122" t="str"/>
      <c r="K44" s="121" t="str"/>
      <c r="L44" s="121" t="str"/>
      <c r="M44" s="123" t="str"/>
      <c r="N44" s="121" t="str"/>
      <c r="O44" s="124" t="str"/>
      <c r="P44" s="125"/>
      <c r="Q44" s="112"/>
      <c r="R44" s="112"/>
      <c r="S44" s="112"/>
      <c r="T44" s="112"/>
      <c r="U44" s="112"/>
      <c r="V44" s="112"/>
      <c r="W44" s="112"/>
      <c r="X44" s="112"/>
      <c r="Y44" s="112"/>
    </row>
    <row r="45" ht="60" customHeight="1">
      <c r="A45" s="120" t="str">
        <v>DOC_API_IT32</v>
      </c>
      <c r="B45" s="120" t="str">
        <v>Verify downloading a document of a Confidential meeting is audited.</v>
      </c>
      <c r="C45" s="120" t="str">
        <v>1. As the organizer, GET the content of "Hạn chế.pdf" with ?download=true.</v>
      </c>
      <c r="D45" s="120" t="str">
        <v>1. The file is downloaded unchanged.
2. One document.downloaded audit entry is written.</v>
      </c>
      <c r="E45" s="120" t="str">
        <v>1. Backend is running.
2. A Confidential meeting with "Hạn chế.pdf".</v>
      </c>
      <c r="F45" s="121" t="str">
        <v>Pending</v>
      </c>
      <c r="G45" s="122" t="str"/>
      <c r="H45" s="121" t="str"/>
      <c r="I45" s="121" t="str"/>
      <c r="J45" s="122" t="str"/>
      <c r="K45" s="121" t="str"/>
      <c r="L45" s="121" t="str"/>
      <c r="M45" s="123" t="str"/>
      <c r="N45" s="121" t="str"/>
      <c r="O45" s="124" t="str"/>
      <c r="P45" s="125"/>
      <c r="Q45" s="112"/>
      <c r="R45" s="112"/>
      <c r="S45" s="112"/>
      <c r="T45" s="112"/>
      <c r="U45" s="112"/>
      <c r="V45" s="112"/>
      <c r="W45" s="112"/>
      <c r="X45" s="112"/>
      <c r="Y45" s="112"/>
    </row>
    <row r="46" ht="95.0" customHeight="1">
      <c r="A46" s="120" t="str">
        <v>DOC_API_IT33</v>
      </c>
      <c r="B46" s="120" t="str">
        <v>Verify a removed document and a document of another meeting return MSG156.</v>
      </c>
      <c r="C46" s="120" t="str">
        <v>1. As the Member, GET the content of the removed "Đã gỡ.pdf".
2. GET this meeting's URL with the id of "Họp khác.pdf" from another meeting.</v>
      </c>
      <c r="D46" s="120" t="str">
        <v>1. Both return HTTP 404 with code "MSG156".</v>
      </c>
      <c r="E46" s="120" t="str">
        <v>1. Backend is running.
2. Two Published meetings as described.</v>
      </c>
      <c r="F46" s="121" t="str">
        <v>Pending</v>
      </c>
      <c r="G46" s="122" t="str"/>
      <c r="H46" s="121" t="str"/>
      <c r="I46" s="121" t="str"/>
      <c r="J46" s="122" t="str"/>
      <c r="K46" s="121" t="str"/>
      <c r="L46" s="121" t="str"/>
      <c r="M46" s="123" t="str"/>
      <c r="N46" s="121" t="str"/>
      <c r="O46" s="124" t="str"/>
      <c r="P46" s="125"/>
      <c r="Q46" s="112"/>
      <c r="R46" s="112"/>
      <c r="S46" s="112"/>
      <c r="T46" s="112"/>
      <c r="U46" s="112"/>
      <c r="V46" s="112"/>
      <c r="W46" s="112"/>
      <c r="X46" s="112"/>
      <c r="Y46" s="112"/>
    </row>
    <row r="47" ht="95.0" customHeight="1">
      <c r="A47" s="120" t="str">
        <v>DOC_API_IT34</v>
      </c>
      <c r="B47" s="120" t="str">
        <v>Verify a Secret download checks the document belongs here before refusing, and refuses before touching storage.</v>
      </c>
      <c r="C47" s="120" t="str">
        <v>1. With ?download=true, as the Member GET: a removed document, a document of another Secret meeting, a document whose file is missing from storage, and a normal document.</v>
      </c>
      <c r="D47" s="120" t="str">
        <v>1. Removed and foreign documents return HTTP 404 with code "MSG156".
2. The other two are refused as Secret downloads without reading storage.</v>
      </c>
      <c r="E47" s="120" t="str">
        <v>1. Backend is running.
2. Two Secret meetings with documents as described.</v>
      </c>
      <c r="F47" s="121" t="str">
        <v>Pending</v>
      </c>
      <c r="G47" s="122" t="str"/>
      <c r="H47" s="121" t="str"/>
      <c r="I47" s="121" t="str"/>
      <c r="J47" s="122" t="str"/>
      <c r="K47" s="121" t="str"/>
      <c r="L47" s="121" t="str"/>
      <c r="M47" s="123" t="str"/>
      <c r="N47" s="121" t="str"/>
      <c r="O47" s="124" t="str"/>
      <c r="P47" s="125"/>
      <c r="Q47" s="112"/>
      <c r="R47" s="112"/>
      <c r="S47" s="112"/>
      <c r="T47" s="112"/>
      <c r="U47" s="112"/>
      <c r="V47" s="112"/>
      <c r="W47" s="112"/>
      <c r="X47" s="112"/>
      <c r="Y47" s="112"/>
    </row>
    <row r="48" ht="80.5" customHeight="1">
      <c r="A48" s="120" t="str">
        <v>DOC_API_IT35</v>
      </c>
      <c r="B48" s="120" t="str">
        <v>Verify a lookup failure returns MSG158 when viewing and MSG160 when downloading.</v>
      </c>
      <c r="C48" s="120" t="str">
        <v>1. Stop PostgreSQL.
2. GET the content of "Báo cáo.pdf", then with ?download=true.</v>
      </c>
      <c r="D48" s="120" t="str">
        <v>1. Viewing returns HTTP 503 with code "MSG158".
2. Downloading returns HTTP 503 with code "MSG160" ("Không tải về được tài liệu. Vui lòng thử lại.").</v>
      </c>
      <c r="E48" s="120" t="str">
        <v>1. Backend is running.
2. A Published meeting with "Báo cáo.pdf"; the Member is signed in.</v>
      </c>
      <c r="F48" s="121" t="str">
        <v>Pending</v>
      </c>
      <c r="G48" s="122" t="str"/>
      <c r="H48" s="121" t="str"/>
      <c r="I48" s="121" t="str"/>
      <c r="J48" s="122" t="str"/>
      <c r="K48" s="121" t="str"/>
      <c r="L48" s="121" t="str"/>
      <c r="M48" s="123" t="str"/>
      <c r="N48" s="121" t="str"/>
      <c r="O48" s="124" t="str"/>
      <c r="P48" s="125"/>
      <c r="Q48" s="112"/>
      <c r="R48" s="112"/>
      <c r="S48" s="112"/>
      <c r="T48" s="112"/>
      <c r="U48" s="112"/>
      <c r="V48" s="112"/>
      <c r="W48" s="112"/>
      <c r="X48" s="112"/>
      <c r="Y48" s="112"/>
    </row>
    <row r="49" ht="95.0" customHeight="1">
      <c r="A49" s="120" t="str">
        <v>DOC_API_IT36</v>
      </c>
      <c r="B49" s="120" t="str">
        <v>Verify a missing stored file returns MSG158 / MSG160 and is not audited.</v>
      </c>
      <c r="C49" s="120" t="str">
        <v>1. Delete the object of "Mất.pdf" from storage.
2. GET its content, then with ?download=true.
3. Remove the storage configuration and GET again.</v>
      </c>
      <c r="D49" s="120" t="str">
        <v>1. Each request returns HTTP 503 with code "MSG158" (view) or "MSG160" (download).
2. No audit entry is written.</v>
      </c>
      <c r="E49" s="120" t="str">
        <v>1. Backend is running.
2. A Confidential meeting with "Mất.pdf".</v>
      </c>
      <c r="F49" s="121" t="str">
        <v>Pending</v>
      </c>
      <c r="G49" s="122" t="str"/>
      <c r="H49" s="121" t="str"/>
      <c r="I49" s="121" t="str"/>
      <c r="J49" s="122" t="str"/>
      <c r="K49" s="121" t="str"/>
      <c r="L49" s="121" t="str"/>
      <c r="M49" s="123" t="str"/>
      <c r="N49" s="121" t="str"/>
      <c r="O49" s="124" t="str"/>
      <c r="P49" s="125"/>
      <c r="Q49" s="112"/>
      <c r="R49" s="112"/>
      <c r="S49" s="112"/>
      <c r="T49" s="112"/>
      <c r="U49" s="112"/>
      <c r="V49" s="112"/>
      <c r="W49" s="112"/>
      <c r="X49" s="112"/>
      <c r="Y49" s="112"/>
    </row>
    <row r="50" ht="66.0" customHeight="1">
      <c r="A50" s="120" t="str">
        <v>DOC_API_IT37</v>
      </c>
      <c r="B50" s="120" t="str">
        <v>Verify the content is withheld when the audit entry cannot be written.</v>
      </c>
      <c r="C50" s="120" t="str">
        <v>1. Make writing the audit log fail.
2. As the Member, GET the content of "Mật.pdf".</v>
      </c>
      <c r="D50" s="120" t="str">
        <v>1. HTTP 503 with code "MSG158".
2. No content is returned and no audit entry exists.</v>
      </c>
      <c r="E50" s="120" t="str">
        <v>1. Backend is running.
2. A Secret meeting with "Mật.pdf".</v>
      </c>
      <c r="F50" s="121" t="str">
        <v>Pending</v>
      </c>
      <c r="G50" s="122" t="str"/>
      <c r="H50" s="121" t="str"/>
      <c r="I50" s="121" t="str"/>
      <c r="J50" s="122" t="str"/>
      <c r="K50" s="121" t="str"/>
      <c r="L50" s="121" t="str"/>
      <c r="M50" s="123" t="str"/>
      <c r="N50" s="121" t="str"/>
      <c r="O50" s="124" t="str"/>
      <c r="P50" s="125"/>
      <c r="Q50" s="112"/>
      <c r="R50" s="112"/>
      <c r="S50" s="112"/>
      <c r="T50" s="112"/>
      <c r="U50" s="112"/>
      <c r="V50" s="112"/>
      <c r="W50" s="112"/>
      <c r="X50" s="112"/>
      <c r="Y50" s="112"/>
    </row>
    <row r="51" ht="24" customHeight="1">
      <c r="A51" s="120" t="str">
        <v>Realtime /hubs/meetings</v>
      </c>
      <c r="B51" s="120"/>
      <c r="C51" s="120"/>
      <c r="D51" s="120"/>
      <c r="E51" s="120"/>
      <c r="F51" s="121"/>
      <c r="G51" s="122"/>
      <c r="H51" s="121"/>
      <c r="I51" s="121"/>
      <c r="J51" s="122"/>
      <c r="K51" s="121"/>
      <c r="L51" s="121"/>
      <c r="M51" s="123"/>
      <c r="N51" s="121"/>
      <c r="O51" s="124"/>
      <c r="P51" s="125"/>
      <c r="Q51" s="112"/>
      <c r="R51" s="112"/>
      <c r="S51" s="112"/>
      <c r="T51" s="112"/>
      <c r="U51" s="112"/>
      <c r="V51" s="112"/>
      <c r="W51" s="112"/>
      <c r="X51" s="112"/>
      <c r="Y51" s="112"/>
    </row>
    <row r="52" ht="109.5" customHeight="1">
      <c r="A52" s="120" t="str">
        <v>DOC_API_IT38</v>
      </c>
      <c r="B52" s="120" t="str">
        <v>Verify an upload notifies only readers who joined this meeting.</v>
      </c>
      <c r="C52" s="120" t="str">
        <v>1. The Member joins this meeting's hub; a member of another meeting joins theirs; the Chair connects but does not join.
2. As the Secretary, upload a document.</v>
      </c>
      <c r="D52" s="120" t="str">
        <v>1. Only the Member receives documentsChanged.</v>
      </c>
      <c r="E52" s="120" t="str">
        <v>1. Backend is running.
2. Two Published meetings.</v>
      </c>
      <c r="F52" s="121" t="str">
        <v>Pending</v>
      </c>
      <c r="G52" s="122" t="str"/>
      <c r="H52" s="121" t="str"/>
      <c r="I52" s="121" t="str"/>
      <c r="J52" s="122" t="str"/>
      <c r="K52" s="121" t="str"/>
      <c r="L52" s="121" t="str"/>
      <c r="M52" s="123" t="str"/>
      <c r="N52" s="121" t="str"/>
      <c r="O52" s="124" t="str"/>
      <c r="P52" s="125"/>
      <c r="Q52" s="112"/>
      <c r="R52" s="112"/>
      <c r="S52" s="112"/>
      <c r="T52" s="112"/>
      <c r="U52" s="112"/>
      <c r="V52" s="112"/>
      <c r="W52" s="112"/>
      <c r="X52" s="112"/>
      <c r="Y52" s="112"/>
    </row>
    <row r="53" ht="24" customHeight="1">
      <c r="A53" s="120" t="str">
        <v>POST /api/meetings/{id}/documents</v>
      </c>
      <c r="B53" s="120"/>
      <c r="C53" s="120"/>
      <c r="D53" s="120"/>
      <c r="E53" s="120"/>
      <c r="F53" s="121"/>
      <c r="G53" s="122"/>
      <c r="H53" s="121"/>
      <c r="I53" s="121"/>
      <c r="J53" s="122"/>
      <c r="K53" s="121"/>
      <c r="L53" s="121"/>
      <c r="M53" s="123"/>
      <c r="N53" s="121"/>
      <c r="O53" s="124"/>
      <c r="P53" s="125"/>
      <c r="Q53" s="112"/>
      <c r="R53" s="112"/>
      <c r="S53" s="112"/>
      <c r="T53" s="112"/>
      <c r="U53" s="112"/>
      <c r="V53" s="112"/>
      <c r="W53" s="112"/>
      <c r="X53" s="112"/>
      <c r="Y53" s="112"/>
    </row>
    <row r="54" ht="167.5" customHeight="1">
      <c r="A54" s="120" t="str">
        <v>DOC_API_IT39</v>
      </c>
      <c r="B54" s="120" t="str">
        <v>Verify the Secretary adds own library documents as general documents under their current name.</v>
      </c>
      <c r="C54" s="120" t="str">
        <v>1. Send POST request to /api/meetings/&lt;id&gt;/documents.
2. Request headers: Content-Type: application/json; Authorization: Bearer &lt;access token of the meeting Secretary&gt;.
3. Query parameters: None.
4. Request JSON body: { "documentIds": ["&lt;id of Tờ trình.pdf&gt;", "&lt;id of Phụ lục.docx&gt;", "&lt;id of Tờ trình.pdf&gt;"] }.</v>
      </c>
      <c r="D54" s="120" t="str">
        <v>1. HTTP 201 with code "MSG161" and addedCount 2 (the duplicate is ignored).
2. Both appear as general documents under their current library names.</v>
      </c>
      <c r="E54" s="120" t="str">
        <v>1. Backend is running.
2. The Secretary's library holds "Tờ trình.pdf" and "Phụ lục.docx".</v>
      </c>
      <c r="F54" s="121" t="str">
        <v>Pending</v>
      </c>
      <c r="G54" s="122" t="str"/>
      <c r="H54" s="121" t="str"/>
      <c r="I54" s="121" t="str"/>
      <c r="J54" s="122" t="str"/>
      <c r="K54" s="121" t="str"/>
      <c r="L54" s="121" t="str"/>
      <c r="M54" s="123" t="str"/>
      <c r="N54" s="121" t="str"/>
      <c r="O54" s="124" t="str"/>
      <c r="P54" s="125"/>
      <c r="Q54" s="112"/>
      <c r="R54" s="112"/>
      <c r="S54" s="112"/>
      <c r="T54" s="112"/>
      <c r="U54" s="112"/>
      <c r="V54" s="112"/>
      <c r="W54" s="112"/>
      <c r="X54" s="112"/>
      <c r="Y54" s="112"/>
    </row>
    <row r="55" ht="80.5" customHeight="1">
      <c r="A55" s="120" t="str">
        <v>DOC_API_IT40</v>
      </c>
      <c r="B55" s="120" t="str">
        <v>Verify the library selection must be the actor's own, available and not yet in the meeting.</v>
      </c>
      <c r="C55" s="120" t="str">
        <v>1. As the Chair, POST /documents with documentIds []; with the Member's a.pdf; with own a.pdf twice in a row; with a deleted library document.</v>
      </c>
      <c r="D55" s="120" t="str">
        <v>1. Empty, someone else's or deleted documents return HTTP 400 with code "MSG249".
2. A document already in the meeting is not added again.</v>
      </c>
      <c r="E55" s="120" t="str">
        <v>1. Backend is running.
2. The Chair's library holds a.pdf; the Member's holds b.pdf.</v>
      </c>
      <c r="F55" s="121" t="str">
        <v>Pending</v>
      </c>
      <c r="G55" s="122" t="str"/>
      <c r="H55" s="121" t="str"/>
      <c r="I55" s="121" t="str"/>
      <c r="J55" s="122" t="str"/>
      <c r="K55" s="121" t="str"/>
      <c r="L55" s="121" t="str"/>
      <c r="M55" s="123" t="str"/>
      <c r="N55" s="121" t="str"/>
      <c r="O55" s="124" t="str"/>
      <c r="P55" s="125"/>
      <c r="Q55" s="112"/>
      <c r="R55" s="112"/>
      <c r="S55" s="112"/>
      <c r="T55" s="112"/>
      <c r="U55" s="112"/>
      <c r="V55" s="112"/>
      <c r="W55" s="112"/>
      <c r="X55" s="112"/>
      <c r="Y55" s="112"/>
    </row>
    <row r="56" ht="95.0" customHeight="1">
      <c r="A56" s="120" t="str">
        <v>DOC_API_IT41</v>
      </c>
      <c r="B56" s="120" t="str">
        <v>Verify adding from the library is for the current Chair or Secretary until the meeting ends.</v>
      </c>
      <c r="C56" s="120" t="str">
        <v>1. As the Member, add their a.pdf.
2. As an outsider, add b.pdf.
3. As the Secretary, add c.pdf; end the meeting and try again.</v>
      </c>
      <c r="D56" s="120" t="str">
        <v>1. Member: HTTP 403 with code "MSG162"; outsider: HTTP 404.
2. Secretary before the end: HTTP 201 with code "MSG161"; after the end: HTTP 409 with code "MSG172".</v>
      </c>
      <c r="E56" s="120" t="str">
        <v>1. Backend is running.
2. A Published meeting; each user has one library document.</v>
      </c>
      <c r="F56" s="121" t="str">
        <v>Pending</v>
      </c>
      <c r="G56" s="122" t="str"/>
      <c r="H56" s="121" t="str"/>
      <c r="I56" s="121" t="str"/>
      <c r="J56" s="122" t="str"/>
      <c r="K56" s="121" t="str"/>
      <c r="L56" s="121" t="str"/>
      <c r="M56" s="123" t="str"/>
      <c r="N56" s="121" t="str"/>
      <c r="O56" s="124" t="str"/>
      <c r="P56" s="125"/>
      <c r="Q56" s="112"/>
      <c r="R56" s="112"/>
      <c r="S56" s="112"/>
      <c r="T56" s="112"/>
      <c r="U56" s="112"/>
      <c r="V56" s="112"/>
      <c r="W56" s="112"/>
      <c r="X56" s="112"/>
      <c r="Y56" s="112"/>
    </row>
    <row r="57" ht="24" customHeight="1">
      <c r="A57" s="120" t="str">
        <v>DELETE /api/meetings/{id}/documents/{documentId}</v>
      </c>
      <c r="B57" s="120"/>
      <c r="C57" s="120"/>
      <c r="D57" s="120"/>
      <c r="E57" s="120"/>
      <c r="F57" s="121"/>
      <c r="G57" s="122"/>
      <c r="H57" s="121"/>
      <c r="I57" s="121"/>
      <c r="J57" s="122"/>
      <c r="K57" s="121"/>
      <c r="L57" s="121"/>
      <c r="M57" s="123"/>
      <c r="N57" s="121"/>
      <c r="O57" s="124"/>
      <c r="P57" s="125"/>
      <c r="Q57" s="112"/>
      <c r="R57" s="112"/>
      <c r="S57" s="112"/>
      <c r="T57" s="112"/>
      <c r="U57" s="112"/>
      <c r="V57" s="112"/>
      <c r="W57" s="112"/>
      <c r="X57" s="112"/>
      <c r="Y57" s="112"/>
    </row>
    <row r="58" ht="109.5" customHeight="1">
      <c r="A58" s="120" t="str">
        <v>DOC_API_IT42</v>
      </c>
      <c r="B58" s="120" t="str">
        <v>Verify the Chair removes a document, keeping its comments, and it leaves every list.</v>
      </c>
      <c r="C58" s="120" t="str">
        <v>1. The Member joins the meeting hub.
2. As the Chair, DELETE /api/meetings/&lt;id&gt;/documents/&lt;document id&gt;.
3. GET the document list and the agenda.</v>
      </c>
      <c r="D58" s="120" t="str">
        <v>1. The removal succeeds.
2. The document is gone from the list and from the agenda item; its comment "Góp ý" is kept in the database.
3. The Member receives documentsChanged.</v>
      </c>
      <c r="E58" s="120" t="str">
        <v>1. Backend is running.
2. A meeting document linked to an agenda item and with one comment.</v>
      </c>
      <c r="F58" s="121" t="str">
        <v>Pending</v>
      </c>
      <c r="G58" s="122" t="str"/>
      <c r="H58" s="121" t="str"/>
      <c r="I58" s="121" t="str"/>
      <c r="J58" s="122" t="str"/>
      <c r="K58" s="121" t="str"/>
      <c r="L58" s="121" t="str"/>
      <c r="M58" s="123" t="str"/>
      <c r="N58" s="121" t="str"/>
      <c r="O58" s="124" t="str"/>
      <c r="P58" s="125"/>
      <c r="Q58" s="112"/>
      <c r="R58" s="112"/>
      <c r="S58" s="112"/>
      <c r="T58" s="112"/>
      <c r="U58" s="112"/>
      <c r="V58" s="112"/>
      <c r="W58" s="112"/>
      <c r="X58" s="112"/>
      <c r="Y58" s="112"/>
    </row>
    <row r="59" ht="80.5" customHeight="1">
      <c r="A59" s="120" t="str">
        <v>DOC_API_IT43</v>
      </c>
      <c r="B59" s="120" t="str">
        <v>Verify adding a removed file again creates a new document without the old comments.</v>
      </c>
      <c r="C59" s="120" t="str">
        <v>1. Add "Lại.pdf" from the library and comment on it.
2. Remove it from the meeting.
3. Add "Lại.pdf" again.</v>
      </c>
      <c r="D59" s="120" t="str">
        <v>1. The second add creates a new meeting document with a new id.
2. It has no comments; the old comments stay with the removed document.</v>
      </c>
      <c r="E59" s="120" t="str">
        <v>1. Backend is running.
2. The Secretary's library holds "Lại.pdf".</v>
      </c>
      <c r="F59" s="121" t="str">
        <v>Pending</v>
      </c>
      <c r="G59" s="122" t="str"/>
      <c r="H59" s="121" t="str"/>
      <c r="I59" s="121" t="str"/>
      <c r="J59" s="122" t="str"/>
      <c r="K59" s="121" t="str"/>
      <c r="L59" s="121" t="str"/>
      <c r="M59" s="123" t="str"/>
      <c r="N59" s="121" t="str"/>
      <c r="O59" s="124" t="str"/>
      <c r="P59" s="125"/>
      <c r="Q59" s="112"/>
      <c r="R59" s="112"/>
      <c r="S59" s="112"/>
      <c r="T59" s="112"/>
      <c r="U59" s="112"/>
      <c r="V59" s="112"/>
      <c r="W59" s="112"/>
      <c r="X59" s="112"/>
      <c r="Y59" s="112"/>
    </row>
    <row r="60" ht="109.5" customHeight="1">
      <c r="A60" s="120" t="str">
        <v>DOC_API_IT44</v>
      </c>
      <c r="B60" s="120" t="str">
        <v>Verify removal is refused to others, after the end, for another meeting's document and on failure.</v>
      </c>
      <c r="C60" s="120" t="str">
        <v>1. As the Member, remove a document.
2. As the Secretary, remove a document of another meeting.
3. Stop PostgreSQL and remove; restart, end the meeting and remove.</v>
      </c>
      <c r="D60" s="120" t="str">
        <v>1. Member: HTTP 403 with code "MSG169".
2. Other meeting's document: HTTP 404 with code "MSG170".
3. Database down: HTTP 503; after the end: HTTP 409 with code "MSG172".</v>
      </c>
      <c r="E60" s="120" t="str">
        <v>1. Backend is running.
2. Two Published meetings with documents.</v>
      </c>
      <c r="F60" s="121" t="str">
        <v>Pending</v>
      </c>
      <c r="G60" s="122" t="str"/>
      <c r="H60" s="121" t="str"/>
      <c r="I60" s="121" t="str"/>
      <c r="J60" s="122" t="str"/>
      <c r="K60" s="121" t="str"/>
      <c r="L60" s="121" t="str"/>
      <c r="M60" s="123" t="str"/>
      <c r="N60" s="121" t="str"/>
      <c r="O60" s="124" t="str"/>
      <c r="P60" s="125"/>
      <c r="Q60" s="112"/>
      <c r="R60" s="112"/>
      <c r="S60" s="112"/>
      <c r="T60" s="112"/>
      <c r="U60" s="112"/>
      <c r="V60" s="112"/>
      <c r="W60" s="112"/>
      <c r="X60" s="112"/>
      <c r="Y60" s="112"/>
    </row>
    <row r="61" ht="24" customHeight="1">
      <c r="A61" s="120" t="str">
        <v>POST /api/meetings/{id}/agenda/{itemId}/documents</v>
      </c>
      <c r="B61" s="120"/>
      <c r="C61" s="120"/>
      <c r="D61" s="120"/>
      <c r="E61" s="120"/>
      <c r="F61" s="121"/>
      <c r="G61" s="122"/>
      <c r="H61" s="121"/>
      <c r="I61" s="121"/>
      <c r="J61" s="122"/>
      <c r="K61" s="121"/>
      <c r="L61" s="121"/>
      <c r="M61" s="123"/>
      <c r="N61" s="121"/>
      <c r="O61" s="124"/>
      <c r="P61" s="125"/>
      <c r="Q61" s="112"/>
      <c r="R61" s="112"/>
      <c r="S61" s="112"/>
      <c r="T61" s="112"/>
      <c r="U61" s="112"/>
      <c r="V61" s="112"/>
      <c r="W61" s="112"/>
      <c r="X61" s="112"/>
      <c r="Y61" s="112"/>
    </row>
    <row r="62" ht="109.5" customHeight="1">
      <c r="A62" s="120" t="str">
        <v>DOC_API_IT45</v>
      </c>
      <c r="B62" s="120" t="str">
        <v>Verify the Chair links meeting documents to an item, keeping their other links.</v>
      </c>
      <c r="C62" s="120" t="str">
        <v>1. As the Chair, POST /api/meetings/&lt;id&gt;/agenda/&lt;item 1&gt;/documents with { "documentIds": ["&lt;a.pdf&gt;"] }.
2. POST /agenda/&lt;item 2&gt;/documents with { "documentIds": ["&lt;a.pdf&gt;", "&lt;b.pdf&gt;"] }.</v>
      </c>
      <c r="D62" s="120" t="str">
        <v>1. Both return HTTP 200 with code "MSG238" ("Đã gắn tài liệu vào mục nghị sự.").
2. a.pdf is linked to both items; b.pdf to item 2.</v>
      </c>
      <c r="E62" s="120" t="str">
        <v>1. Backend is running.
2. A meeting with two agenda items and documents a.pdf and b.pdf.</v>
      </c>
      <c r="F62" s="121" t="str">
        <v>Pending</v>
      </c>
      <c r="G62" s="122" t="str"/>
      <c r="H62" s="121" t="str"/>
      <c r="I62" s="121" t="str"/>
      <c r="J62" s="122" t="str"/>
      <c r="K62" s="121" t="str"/>
      <c r="L62" s="121" t="str"/>
      <c r="M62" s="123" t="str"/>
      <c r="N62" s="121" t="str"/>
      <c r="O62" s="124" t="str"/>
      <c r="P62" s="125"/>
      <c r="Q62" s="112"/>
      <c r="R62" s="112"/>
      <c r="S62" s="112"/>
      <c r="T62" s="112"/>
      <c r="U62" s="112"/>
      <c r="V62" s="112"/>
      <c r="W62" s="112"/>
      <c r="X62" s="112"/>
      <c r="Y62" s="112"/>
    </row>
    <row r="63" ht="109.5" customHeight="1">
      <c r="A63" s="120" t="str">
        <v>DOC_API_IT46</v>
      </c>
      <c r="B63" s="120" t="str">
        <v>Verify linking checks the item and that every document is still in the meeting, all or none.</v>
      </c>
      <c r="C63" s="120" t="str">
        <v>1. Remove b.pdf from the meeting.
2. Link a.pdf to an item of another meeting.
3. Link a.pdf and the removed b.pdf to an item of this meeting.</v>
      </c>
      <c r="D63" s="120" t="str">
        <v>1. Another meeting's item: HTTP 404 with code "MSG242" ("Hãy chọn một mục nghị sự còn trong cuộc họp này.").
2. With the removed document: HTTP 404 with code "MSG170" and a.pdf is not linked either.</v>
      </c>
      <c r="E63" s="120" t="str">
        <v>1. Backend is running.
2. Two meetings with agenda items; this one has a.pdf and b.pdf.</v>
      </c>
      <c r="F63" s="121" t="str">
        <v>Pending</v>
      </c>
      <c r="G63" s="122" t="str"/>
      <c r="H63" s="121" t="str"/>
      <c r="I63" s="121" t="str"/>
      <c r="J63" s="122" t="str"/>
      <c r="K63" s="121" t="str"/>
      <c r="L63" s="121" t="str"/>
      <c r="M63" s="123" t="str"/>
      <c r="N63" s="121" t="str"/>
      <c r="O63" s="124" t="str"/>
      <c r="P63" s="125"/>
      <c r="Q63" s="112"/>
      <c r="R63" s="112"/>
      <c r="S63" s="112"/>
      <c r="T63" s="112"/>
      <c r="U63" s="112"/>
      <c r="V63" s="112"/>
      <c r="W63" s="112"/>
      <c r="X63" s="112"/>
      <c r="Y63" s="112"/>
    </row>
    <row r="64" ht="80.5" customHeight="1">
      <c r="A64" s="120" t="str">
        <v>DOC_API_IT47</v>
      </c>
      <c r="B64" s="120" t="str">
        <v>Verify linking is refused to others, after the end and on failure.</v>
      </c>
      <c r="C64" s="120" t="str">
        <v>1. As the Member, link a document.
2. As the Secretary, link with the database failing; then end the meeting and link.</v>
      </c>
      <c r="D64" s="120" t="str">
        <v>1. Member: HTTP 403 with code "MSG240".
2. Database failure: HTTP 503; after the end: HTTP 409 with code "MSG172".</v>
      </c>
      <c r="E64" s="120" t="str">
        <v>1. Backend is running.
2. A Published meeting with an agenda item and a document.</v>
      </c>
      <c r="F64" s="121" t="str">
        <v>Pending</v>
      </c>
      <c r="G64" s="122" t="str"/>
      <c r="H64" s="121" t="str"/>
      <c r="I64" s="121" t="str"/>
      <c r="J64" s="122" t="str"/>
      <c r="K64" s="121" t="str"/>
      <c r="L64" s="121" t="str"/>
      <c r="M64" s="123" t="str"/>
      <c r="N64" s="121" t="str"/>
      <c r="O64" s="124" t="str"/>
      <c r="P64" s="125"/>
      <c r="Q64" s="112"/>
      <c r="R64" s="112"/>
      <c r="S64" s="112"/>
      <c r="T64" s="112"/>
      <c r="U64" s="112"/>
      <c r="V64" s="112"/>
      <c r="W64" s="112"/>
      <c r="X64" s="112"/>
      <c r="Y64" s="112"/>
    </row>
    <row r="65" ht="24" customHeight="1">
      <c r="A65" s="120" t="str">
        <v>POST /api/meetings/{id}/agenda/{itemId}/documents/from-library</v>
      </c>
      <c r="B65" s="120"/>
      <c r="C65" s="120"/>
      <c r="D65" s="120"/>
      <c r="E65" s="120"/>
      <c r="F65" s="121"/>
      <c r="G65" s="122"/>
      <c r="H65" s="121"/>
      <c r="I65" s="121"/>
      <c r="J65" s="122"/>
      <c r="K65" s="121"/>
      <c r="L65" s="121"/>
      <c r="M65" s="123"/>
      <c r="N65" s="121"/>
      <c r="O65" s="124"/>
      <c r="P65" s="125"/>
      <c r="Q65" s="112"/>
      <c r="R65" s="112"/>
      <c r="S65" s="112"/>
      <c r="T65" s="112"/>
      <c r="U65" s="112"/>
      <c r="V65" s="112"/>
      <c r="W65" s="112"/>
      <c r="X65" s="112"/>
      <c r="Y65" s="112"/>
    </row>
    <row r="66" ht="167.5" customHeight="1">
      <c r="A66" s="120" t="str">
        <v>DOC_API_IT48</v>
      </c>
      <c r="B66" s="120" t="str">
        <v>Verify adding from the library to an item adds it to the meeting and links it in one go.</v>
      </c>
      <c r="C66" s="120" t="str">
        <v>1. Send POST request to /api/meetings/&lt;id&gt;/agenda/&lt;item id&gt;/documents/from-library.
2. Request headers: Content-Type: application/json; Authorization: Bearer &lt;access token of the meeting Chair&gt;.
3. Query parameters: None.
4. Request JSON body: { "documentIds": ["&lt;id of Từ kho.pdf&gt;"] }.</v>
      </c>
      <c r="D66" s="120" t="str">
        <v>1. HTTP 200 with code "MSG238".
2. "Từ kho.pdf" is a new meeting document linked to the item.</v>
      </c>
      <c r="E66" s="120" t="str">
        <v>1. Backend is running.
2. The Chair's library holds "Từ kho.pdf"; the meeting has an agenda item.</v>
      </c>
      <c r="F66" s="121" t="str">
        <v>Pending</v>
      </c>
      <c r="G66" s="122" t="str"/>
      <c r="H66" s="121" t="str"/>
      <c r="I66" s="121" t="str"/>
      <c r="J66" s="122" t="str"/>
      <c r="K66" s="121" t="str"/>
      <c r="L66" s="121" t="str"/>
      <c r="M66" s="123" t="str"/>
      <c r="N66" s="121" t="str"/>
      <c r="O66" s="124" t="str"/>
      <c r="P66" s="125"/>
      <c r="Q66" s="112"/>
      <c r="R66" s="112"/>
      <c r="S66" s="112"/>
      <c r="T66" s="112"/>
      <c r="U66" s="112"/>
      <c r="V66" s="112"/>
      <c r="W66" s="112"/>
      <c r="X66" s="112"/>
      <c r="Y66" s="112"/>
    </row>
    <row r="67" ht="24" customHeight="1">
      <c r="A67" s="120" t="str">
        <v>POST /api/meetings/{id}/agenda/{itemId}/documents/upload</v>
      </c>
      <c r="B67" s="120"/>
      <c r="C67" s="120"/>
      <c r="D67" s="120"/>
      <c r="E67" s="120"/>
      <c r="F67" s="121"/>
      <c r="G67" s="122"/>
      <c r="H67" s="121"/>
      <c r="I67" s="121"/>
      <c r="J67" s="122"/>
      <c r="K67" s="121"/>
      <c r="L67" s="121"/>
      <c r="M67" s="123"/>
      <c r="N67" s="121"/>
      <c r="O67" s="124"/>
      <c r="P67" s="125"/>
      <c r="Q67" s="112"/>
      <c r="R67" s="112"/>
      <c r="S67" s="112"/>
      <c r="T67" s="112"/>
      <c r="U67" s="112"/>
      <c r="V67" s="112"/>
      <c r="W67" s="112"/>
      <c r="X67" s="112"/>
      <c r="Y67" s="112"/>
    </row>
    <row r="68" ht="66.0" customHeight="1">
      <c r="A68" s="120" t="str">
        <v>DOC_API_IT49</v>
      </c>
      <c r="B68" s="120" t="str">
        <v>Verify an upload into an item past the storage limit adds nothing.</v>
      </c>
      <c r="C68" s="120" t="str">
        <v>1. Fill the system storage until only 10 bytes are free.
2. As the Secretary, upload x.pdf into an agenda item.</v>
      </c>
      <c r="D68" s="120" t="str">
        <v>1. HTTP 409 with code "MSG346" (storage is full).
2. No meeting document and no link is added.</v>
      </c>
      <c r="E68" s="120" t="str">
        <v>1. Backend is running.
2. FileStorage:MaxTotalGigabytes is set so the limit can be reached.</v>
      </c>
      <c r="F68" s="121" t="str">
        <v>Pending</v>
      </c>
      <c r="G68" s="122" t="str"/>
      <c r="H68" s="121" t="str"/>
      <c r="I68" s="121" t="str"/>
      <c r="J68" s="122" t="str"/>
      <c r="K68" s="121" t="str"/>
      <c r="L68" s="121" t="str"/>
      <c r="M68" s="123" t="str"/>
      <c r="N68" s="121" t="str"/>
      <c r="O68" s="124" t="str"/>
      <c r="P68" s="125"/>
      <c r="Q68" s="112"/>
      <c r="R68" s="112"/>
      <c r="S68" s="112"/>
      <c r="T68" s="112"/>
      <c r="U68" s="112"/>
      <c r="V68" s="112"/>
      <c r="W68" s="112"/>
      <c r="X68" s="112"/>
      <c r="Y68" s="112"/>
    </row>
    <row r="69" ht="66.0" customHeight="1">
      <c r="A69" s="120" t="str">
        <v>DOC_API_IT50</v>
      </c>
      <c r="B69" s="120" t="str">
        <v>Verify an upload into an item adds it to the library folder, the meeting and the item.</v>
      </c>
      <c r="C69" s="120" t="str">
        <v>1. As the Secretary, upload "Tải thẳng.pdf" (2 pages) to /api/meetings/&lt;id&gt;/agenda/&lt;item&gt;/documents/upload.</v>
      </c>
      <c r="D69" s="120" t="str">
        <v>1. HTTP 200 with code "MSG238".
2. The file is in the Secretary's meeting folder, in the meeting and linked to the item.</v>
      </c>
      <c r="E69" s="120" t="str">
        <v>1. Backend is running.
2. A meeting with an agenda item and its Secretary signed in.</v>
      </c>
      <c r="F69" s="121" t="str">
        <v>Pending</v>
      </c>
      <c r="G69" s="122" t="str"/>
      <c r="H69" s="121" t="str"/>
      <c r="I69" s="121" t="str"/>
      <c r="J69" s="122" t="str"/>
      <c r="K69" s="121" t="str"/>
      <c r="L69" s="121" t="str"/>
      <c r="M69" s="123" t="str"/>
      <c r="N69" s="121" t="str"/>
      <c r="O69" s="124" t="str"/>
      <c r="P69" s="125"/>
      <c r="Q69" s="112"/>
      <c r="R69" s="112"/>
      <c r="S69" s="112"/>
      <c r="T69" s="112"/>
      <c r="U69" s="112"/>
      <c r="V69" s="112"/>
      <c r="W69" s="112"/>
      <c r="X69" s="112"/>
      <c r="Y69" s="112"/>
    </row>
    <row r="70" ht="24" customHeight="1">
      <c r="A70" s="120" t="str">
        <v>DELETE /api/meetings/{id}/agenda/{itemId}/documents/{documentId}</v>
      </c>
      <c r="B70" s="120"/>
      <c r="C70" s="120"/>
      <c r="D70" s="120"/>
      <c r="E70" s="120"/>
      <c r="F70" s="121"/>
      <c r="G70" s="122"/>
      <c r="H70" s="121"/>
      <c r="I70" s="121"/>
      <c r="J70" s="122"/>
      <c r="K70" s="121"/>
      <c r="L70" s="121"/>
      <c r="M70" s="123"/>
      <c r="N70" s="121"/>
      <c r="O70" s="124"/>
      <c r="P70" s="125"/>
      <c r="Q70" s="112"/>
      <c r="R70" s="112"/>
      <c r="S70" s="112"/>
      <c r="T70" s="112"/>
      <c r="U70" s="112"/>
      <c r="V70" s="112"/>
      <c r="W70" s="112"/>
      <c r="X70" s="112"/>
      <c r="Y70" s="112"/>
    </row>
    <row r="71" ht="80.5" customHeight="1">
      <c r="A71" s="120" t="str">
        <v>DOC_API_IT51</v>
      </c>
      <c r="B71" s="120" t="str">
        <v>Verify unlinking drops one link and the document stays in the meeting.</v>
      </c>
      <c r="C71" s="120" t="str">
        <v>1. Link a document to items 1 and 2.
2. As the Chair, DELETE /agenda/&lt;item 1&gt;/documents/&lt;document id&gt;.</v>
      </c>
      <c r="D71" s="120" t="str">
        <v>1. HTTP 200 with code "MSG239" ("Đã gỡ tài liệu khỏi mục nghị sự.").
2. The document is still linked to item 2 and still in the meeting.</v>
      </c>
      <c r="E71" s="120" t="str">
        <v>1. Backend is running.
2. A meeting with two agenda items and a document.</v>
      </c>
      <c r="F71" s="121" t="str">
        <v>Pending</v>
      </c>
      <c r="G71" s="122" t="str"/>
      <c r="H71" s="121" t="str"/>
      <c r="I71" s="121" t="str"/>
      <c r="J71" s="122" t="str"/>
      <c r="K71" s="121" t="str"/>
      <c r="L71" s="121" t="str"/>
      <c r="M71" s="123" t="str"/>
      <c r="N71" s="121" t="str"/>
      <c r="O71" s="124" t="str"/>
      <c r="P71" s="125"/>
      <c r="Q71" s="112"/>
      <c r="R71" s="112"/>
      <c r="S71" s="112"/>
      <c r="T71" s="112"/>
      <c r="U71" s="112"/>
      <c r="V71" s="112"/>
      <c r="W71" s="112"/>
      <c r="X71" s="112"/>
      <c r="Y71" s="112"/>
    </row>
    <row r="72" ht="109.5" customHeight="1">
      <c r="A72" s="120" t="str">
        <v>DOC_API_IT52</v>
      </c>
      <c r="B72" s="120" t="str">
        <v>Verify unlinking is refused to others, for a removed document, an unknown item, after the end and on failure.</v>
      </c>
      <c r="C72" s="120" t="str">
        <v>1. As the Member, unlink.
2. As the Secretary, unlink the removed b.pdf, unlink from an unknown item, unlink with the database down, and unlink after the meeting ends.</v>
      </c>
      <c r="D72" s="120" t="str">
        <v>1. Member: HTTP 403 with code "MSG241".
2. Removed document: HTTP 404 with code "MSG170"; unknown item: HTTP 404 with code "MSG242".
3. Database down: HTTP 503; after the end: HTTP 409 with code "MSG172".</v>
      </c>
      <c r="E72" s="120" t="str">
        <v>1. Backend is running.
2. A Published meeting with a linked a.pdf and a removed b.pdf.</v>
      </c>
      <c r="F72" s="121" t="str">
        <v>Pending</v>
      </c>
      <c r="G72" s="122" t="str"/>
      <c r="H72" s="121" t="str"/>
      <c r="I72" s="121" t="str"/>
      <c r="J72" s="122" t="str"/>
      <c r="K72" s="121" t="str"/>
      <c r="L72" s="121" t="str"/>
      <c r="M72" s="123" t="str"/>
      <c r="N72" s="121" t="str"/>
      <c r="O72" s="124" t="str"/>
      <c r="P72" s="125"/>
      <c r="Q72" s="112"/>
      <c r="R72" s="112"/>
      <c r="S72" s="112"/>
      <c r="T72" s="112"/>
      <c r="U72" s="112"/>
      <c r="V72" s="112"/>
      <c r="W72" s="112"/>
      <c r="X72" s="112"/>
      <c r="Y72" s="112"/>
    </row>
    <row r="73" ht="24" customHeight="1">
      <c r="A73" s="120" t="str">
        <v>POST /api/meetings/{id}/documents</v>
      </c>
      <c r="B73" s="120"/>
      <c r="C73" s="120"/>
      <c r="D73" s="120"/>
      <c r="E73" s="120"/>
      <c r="F73" s="121"/>
      <c r="G73" s="122"/>
      <c r="H73" s="121"/>
      <c r="I73" s="121"/>
      <c r="J73" s="122"/>
      <c r="K73" s="121"/>
      <c r="L73" s="121"/>
      <c r="M73" s="123"/>
      <c r="N73" s="121"/>
      <c r="O73" s="124"/>
      <c r="P73" s="125"/>
      <c r="Q73" s="112"/>
      <c r="R73" s="112"/>
      <c r="S73" s="112"/>
      <c r="T73" s="112"/>
      <c r="U73" s="112"/>
      <c r="V73" s="112"/>
      <c r="W73" s="112"/>
      <c r="X73" s="112"/>
      <c r="Y73" s="112"/>
    </row>
    <row r="74" ht="66.0" customHeight="1">
      <c r="A74" s="120" t="str">
        <v>DOC_API_IT53</v>
      </c>
      <c r="B74" s="120" t="str">
        <v>Verify every document change is refused once the meeting is cancelled.</v>
      </c>
      <c r="C74" s="120" t="str">
        <v>1. Cancel the meeting.
2. As the Secretary, upload, add from the library, remove, link and unlink.</v>
      </c>
      <c r="D74" s="120" t="str">
        <v>1. Every request returns HTTP 409 with code "MSG349".</v>
      </c>
      <c r="E74" s="120" t="str">
        <v>1. Backend is running.
2. A meeting with an item, a linked document and a library document.</v>
      </c>
      <c r="F74" s="121" t="str">
        <v>Pending</v>
      </c>
      <c r="G74" s="122" t="str"/>
      <c r="H74" s="121" t="str"/>
      <c r="I74" s="121" t="str"/>
      <c r="J74" s="122" t="str"/>
      <c r="K74" s="121" t="str"/>
      <c r="L74" s="121" t="str"/>
      <c r="M74" s="123" t="str"/>
      <c r="N74" s="121" t="str"/>
      <c r="O74" s="124" t="str"/>
      <c r="P74" s="125"/>
      <c r="Q74" s="112"/>
      <c r="R74" s="112"/>
      <c r="S74" s="112"/>
      <c r="T74" s="112"/>
      <c r="U74" s="112"/>
      <c r="V74" s="112"/>
      <c r="W74" s="112"/>
      <c r="X74" s="112"/>
      <c r="Y74" s="112"/>
    </row>
    <row r="75" ht="24" customHeight="1">
      <c r="A75" s="120" t="str">
        <v>Realtime /hubs/meetings</v>
      </c>
      <c r="B75" s="120"/>
      <c r="C75" s="120"/>
      <c r="D75" s="120"/>
      <c r="E75" s="120"/>
      <c r="F75" s="121"/>
      <c r="G75" s="122"/>
      <c r="H75" s="121"/>
      <c r="I75" s="121"/>
      <c r="J75" s="122"/>
      <c r="K75" s="121"/>
      <c r="L75" s="121"/>
      <c r="M75" s="123"/>
      <c r="N75" s="121"/>
      <c r="O75" s="124"/>
      <c r="P75" s="125"/>
      <c r="Q75" s="112"/>
      <c r="R75" s="112"/>
      <c r="S75" s="112"/>
      <c r="T75" s="112"/>
      <c r="U75" s="112"/>
      <c r="V75" s="112"/>
      <c r="W75" s="112"/>
      <c r="X75" s="112"/>
      <c r="Y75" s="112"/>
    </row>
    <row r="76" ht="95.0" customHeight="1">
      <c r="A76" s="120" t="str">
        <v>DOC_API_IT54</v>
      </c>
      <c r="B76" s="120" t="str">
        <v>Verify every document change tells the meeting room to reload its documents.</v>
      </c>
      <c r="C76" s="120" t="str">
        <v>1. The Member joins the meeting hub.
2. As the Secretary, add from the library, link, unlink, upload into the item and remove.</v>
      </c>
      <c r="D76" s="120" t="str">
        <v>1. The Member receives one documentsChanged event for each change.</v>
      </c>
      <c r="E76" s="120" t="str">
        <v>1. Backend is running.
2. A meeting with an agenda item and two library documents.</v>
      </c>
      <c r="F76" s="121" t="str">
        <v>Pending</v>
      </c>
      <c r="G76" s="122" t="str"/>
      <c r="H76" s="121" t="str"/>
      <c r="I76" s="121" t="str"/>
      <c r="J76" s="122" t="str"/>
      <c r="K76" s="121" t="str"/>
      <c r="L76" s="121" t="str"/>
      <c r="M76" s="123" t="str"/>
      <c r="N76" s="121" t="str"/>
      <c r="O76" s="124" t="str"/>
      <c r="P76" s="125"/>
      <c r="Q76" s="112"/>
      <c r="R76" s="112"/>
      <c r="S76" s="112"/>
      <c r="T76" s="112"/>
      <c r="U76" s="112"/>
      <c r="V76" s="112"/>
      <c r="W76" s="112"/>
      <c r="X76" s="112"/>
      <c r="Y76" s="112"/>
    </row>
    <row r="77" ht="24" customHeight="1">
      <c r="A77" s="120" t="str">
        <v>POST /api/meetings/{id}/documents</v>
      </c>
      <c r="B77" s="120"/>
      <c r="C77" s="120"/>
      <c r="D77" s="120"/>
      <c r="E77" s="120"/>
      <c r="F77" s="121"/>
      <c r="G77" s="122"/>
      <c r="H77" s="121"/>
      <c r="I77" s="121"/>
      <c r="J77" s="122"/>
      <c r="K77" s="121"/>
      <c r="L77" s="121"/>
      <c r="M77" s="123"/>
      <c r="N77" s="121"/>
      <c r="O77" s="124"/>
      <c r="P77" s="125"/>
      <c r="Q77" s="112"/>
      <c r="R77" s="112"/>
      <c r="S77" s="112"/>
      <c r="T77" s="112"/>
      <c r="U77" s="112"/>
      <c r="V77" s="112"/>
      <c r="W77" s="112"/>
      <c r="X77" s="112"/>
      <c r="Y77" s="112"/>
    </row>
    <row r="78" ht="109.5" customHeight="1">
      <c r="A78" s="120" t="str">
        <v>DOC_API_IT55</v>
      </c>
      <c r="B78" s="120" t="str">
        <v>Verify changes are refused to a removed manager, another meeting's Chair and a deactivated account.</v>
      </c>
      <c r="C78" s="120" t="str">
        <v>1. Remove the Chair from the roster and try to add, link and remove.
2. As the Chair of another meeting, try the same.
3. Deactivate the Secretary and try the same.</v>
      </c>
      <c r="D78" s="120" t="str">
        <v>1. Every request is refused (HTTP 403 or 404); nothing changes.</v>
      </c>
      <c r="E78" s="120" t="str">
        <v>1. Backend is running.
2. Two meetings with documents and agenda items.</v>
      </c>
      <c r="F78" s="121" t="str">
        <v>Pending</v>
      </c>
      <c r="G78" s="122" t="str"/>
      <c r="H78" s="121" t="str"/>
      <c r="I78" s="121" t="str"/>
      <c r="J78" s="122" t="str"/>
      <c r="K78" s="121" t="str"/>
      <c r="L78" s="121" t="str"/>
      <c r="M78" s="123" t="str"/>
      <c r="N78" s="121" t="str"/>
      <c r="O78" s="124" t="str"/>
      <c r="P78" s="125"/>
      <c r="Q78" s="112"/>
      <c r="R78" s="112"/>
      <c r="S78" s="112"/>
      <c r="T78" s="112"/>
      <c r="U78" s="112"/>
      <c r="V78" s="112"/>
      <c r="W78" s="112"/>
      <c r="X78" s="112"/>
      <c r="Y78" s="112"/>
    </row>
    <row r="79" ht="24" customHeight="1">
      <c r="A79" s="120" t="str">
        <v>POST /api/meetings/{id}/documents/{documentId}/comments</v>
      </c>
      <c r="B79" s="120"/>
      <c r="C79" s="120"/>
      <c r="D79" s="120"/>
      <c r="E79" s="120"/>
      <c r="F79" s="121"/>
      <c r="G79" s="122"/>
      <c r="H79" s="121"/>
      <c r="I79" s="121"/>
      <c r="J79" s="122"/>
      <c r="K79" s="121"/>
      <c r="L79" s="121"/>
      <c r="M79" s="123"/>
      <c r="N79" s="121"/>
      <c r="O79" s="124"/>
      <c r="P79" s="125"/>
      <c r="Q79" s="112"/>
      <c r="R79" s="112"/>
      <c r="S79" s="112"/>
      <c r="T79" s="112"/>
      <c r="U79" s="112"/>
      <c r="V79" s="112"/>
      <c r="W79" s="112"/>
      <c r="X79" s="112"/>
      <c r="Y79" s="112"/>
    </row>
    <row r="80" ht="109.5" customHeight="1">
      <c r="A80" s="120" t="str">
        <v>DOC_API_IT56</v>
      </c>
      <c r="B80" s="120" t="str">
        <v>Verify a Member comments on a PDF page and a DOCX comment has no page.</v>
      </c>
      <c r="C80" s="120" t="str">
        <v>1. As the Member, POST /api/meetings/&lt;id&gt;/documents/&lt;pdf id&gt;/comments with { "body": " Xem lại số liệu ", "pageNumber": 3 }.
2. POST a comment on the DOCX with pageNumber 3.</v>
      </c>
      <c r="D80" s="120" t="str">
        <v>1. Both return HTTP 201 with code "MSG199" ("Đã gửi góp ý.").
2. The PDF comment is "Xem lại số liệu" on page 3.
3. The DOCX comment has no page number.</v>
      </c>
      <c r="E80" s="120" t="str">
        <v>1. Backend is running.
2. A Published meeting with a PDF and a DOCX; the Member is invited.</v>
      </c>
      <c r="F80" s="121" t="str">
        <v>Pending</v>
      </c>
      <c r="G80" s="122" t="str"/>
      <c r="H80" s="121" t="str"/>
      <c r="I80" s="121" t="str"/>
      <c r="J80" s="122" t="str"/>
      <c r="K80" s="121" t="str"/>
      <c r="L80" s="121" t="str"/>
      <c r="M80" s="123" t="str"/>
      <c r="N80" s="121" t="str"/>
      <c r="O80" s="124" t="str"/>
      <c r="P80" s="125"/>
      <c r="Q80" s="112"/>
      <c r="R80" s="112"/>
      <c r="S80" s="112"/>
      <c r="T80" s="112"/>
      <c r="U80" s="112"/>
      <c r="V80" s="112"/>
      <c r="W80" s="112"/>
      <c r="X80" s="112"/>
      <c r="Y80" s="112"/>
    </row>
    <row r="81" ht="80.5" customHeight="1">
      <c r="A81" s="120" t="str">
        <v>DOC_API_IT57</v>
      </c>
      <c r="B81" s="120" t="str">
        <v>Verify a reply to a reply joins the thread of the top-level comment.</v>
      </c>
      <c r="C81" s="120" t="str">
        <v>1. As the Member, post "Gốc" on page 2.
2. As the Chair, reply to it; as the Member, reply to the Chair's reply.</v>
      </c>
      <c r="D81" s="120" t="str">
        <v>1. Both replies belong to the thread of "Gốc" and keep page 2.</v>
      </c>
      <c r="E81" s="120" t="str">
        <v>1. Backend is running.
2. A Published meeting with a PDF.</v>
      </c>
      <c r="F81" s="121" t="str">
        <v>Pending</v>
      </c>
      <c r="G81" s="122" t="str"/>
      <c r="H81" s="121" t="str"/>
      <c r="I81" s="121" t="str"/>
      <c r="J81" s="122" t="str"/>
      <c r="K81" s="121" t="str"/>
      <c r="L81" s="121" t="str"/>
      <c r="M81" s="123" t="str"/>
      <c r="N81" s="121" t="str"/>
      <c r="O81" s="124" t="str"/>
      <c r="P81" s="125"/>
      <c r="Q81" s="112"/>
      <c r="R81" s="112"/>
      <c r="S81" s="112"/>
      <c r="T81" s="112"/>
      <c r="U81" s="112"/>
      <c r="V81" s="112"/>
      <c r="W81" s="112"/>
      <c r="X81" s="112"/>
      <c r="Y81" s="112"/>
    </row>
    <row r="82" ht="80.5" customHeight="1">
      <c r="A82" s="120" t="str">
        <v>DOC_API_IT58</v>
      </c>
      <c r="B82" s="120" t="str">
        <v>Verify a comment must have text within the length limit.</v>
      </c>
      <c r="C82" s="120" t="str">
        <v>1. Post { "body": " " }.
2. Post a body of 4001 characters.</v>
      </c>
      <c r="D82" s="120" t="str">
        <v>1. Blank: HTTP 400 with code "MSG200" ("Hãy nhập nội dung góp ý.").
2. Too long: HTTP 400 with code "MSG348" ("Nội dung vượt quá độ dài cho phép.").</v>
      </c>
      <c r="E82" s="120" t="str">
        <v>1. Backend is running.
2. A Published meeting with a document.</v>
      </c>
      <c r="F82" s="121" t="str">
        <v>Pending</v>
      </c>
      <c r="G82" s="122" t="str"/>
      <c r="H82" s="121" t="str"/>
      <c r="I82" s="121" t="str"/>
      <c r="J82" s="122" t="str"/>
      <c r="K82" s="121" t="str"/>
      <c r="L82" s="121" t="str"/>
      <c r="M82" s="123" t="str"/>
      <c r="N82" s="121" t="str"/>
      <c r="O82" s="124" t="str"/>
      <c r="P82" s="125"/>
      <c r="Q82" s="112"/>
      <c r="R82" s="112"/>
      <c r="S82" s="112"/>
      <c r="T82" s="112"/>
      <c r="U82" s="112"/>
      <c r="V82" s="112"/>
      <c r="W82" s="112"/>
      <c r="X82" s="112"/>
      <c r="Y82" s="112"/>
    </row>
    <row r="83" ht="66.0" customHeight="1">
      <c r="A83" s="120" t="str">
        <v>DOC_API_IT59</v>
      </c>
      <c r="B83" s="120" t="str">
        <v>Verify comments become read-only once the meeting has ended.</v>
      </c>
      <c r="C83" s="120" t="str">
        <v>1. As the Member, post "Muộn".
2. GET the comments.</v>
      </c>
      <c r="D83" s="120" t="str">
        <v>1. Posting returns HTTP 409 with code "MSG251".
2. Reading returns HTTP 200 with canComment false.</v>
      </c>
      <c r="E83" s="120" t="str">
        <v>1. Backend is running.
2. An Ended meeting with a document.</v>
      </c>
      <c r="F83" s="121" t="str">
        <v>Pending</v>
      </c>
      <c r="G83" s="122" t="str"/>
      <c r="H83" s="121" t="str"/>
      <c r="I83" s="121" t="str"/>
      <c r="J83" s="122" t="str"/>
      <c r="K83" s="121" t="str"/>
      <c r="L83" s="121" t="str"/>
      <c r="M83" s="123" t="str"/>
      <c r="N83" s="121" t="str"/>
      <c r="O83" s="124" t="str"/>
      <c r="P83" s="125"/>
      <c r="Q83" s="112"/>
      <c r="R83" s="112"/>
      <c r="S83" s="112"/>
      <c r="T83" s="112"/>
      <c r="U83" s="112"/>
      <c r="V83" s="112"/>
      <c r="W83" s="112"/>
      <c r="X83" s="112"/>
      <c r="Y83" s="112"/>
    </row>
    <row r="84" ht="66.0" customHeight="1">
      <c r="A84" s="120" t="str">
        <v>DOC_API_IT60</v>
      </c>
      <c r="B84" s="120" t="str">
        <v>Verify comments become read-only once the meeting is cancelled.</v>
      </c>
      <c r="C84" s="120" t="str">
        <v>1. As the Member, post a comment; GET the comments.</v>
      </c>
      <c r="D84" s="120" t="str">
        <v>1. Posting returns HTTP 409 with code "MSG349".
2. Reading still works with canComment false.</v>
      </c>
      <c r="E84" s="120" t="str">
        <v>1. Backend is running.
2. A meeting cancelled after it was Published, with a document.</v>
      </c>
      <c r="F84" s="121" t="str">
        <v>Pending</v>
      </c>
      <c r="G84" s="122" t="str"/>
      <c r="H84" s="121" t="str"/>
      <c r="I84" s="121" t="str"/>
      <c r="J84" s="122" t="str"/>
      <c r="K84" s="121" t="str"/>
      <c r="L84" s="121" t="str"/>
      <c r="M84" s="123" t="str"/>
      <c r="N84" s="121" t="str"/>
      <c r="O84" s="124" t="str"/>
      <c r="P84" s="125"/>
      <c r="Q84" s="112"/>
      <c r="R84" s="112"/>
      <c r="S84" s="112"/>
      <c r="T84" s="112"/>
      <c r="U84" s="112"/>
      <c r="V84" s="112"/>
      <c r="W84" s="112"/>
      <c r="X84" s="112"/>
      <c r="Y84" s="112"/>
    </row>
    <row r="85" ht="66.0" customHeight="1">
      <c r="A85" s="120" t="str">
        <v>DOC_API_IT61</v>
      </c>
      <c r="B85" s="120" t="str">
        <v>Verify the organizer and the approver comment like anyone who can view the meeting.</v>
      </c>
      <c r="C85" s="120" t="str">
        <v>1. As the organizer and as the assigned approver (not on the roster), post a comment.</v>
      </c>
      <c r="D85" s="120" t="str">
        <v>1. Both return HTTP 201 with code "MSG199".</v>
      </c>
      <c r="E85" s="120" t="str">
        <v>1. Backend is running.
2. A Published meeting with a document and an assigned approver.</v>
      </c>
      <c r="F85" s="121" t="str">
        <v>Pending</v>
      </c>
      <c r="G85" s="122" t="str"/>
      <c r="H85" s="121" t="str"/>
      <c r="I85" s="121" t="str"/>
      <c r="J85" s="122" t="str"/>
      <c r="K85" s="121" t="str"/>
      <c r="L85" s="121" t="str"/>
      <c r="M85" s="123" t="str"/>
      <c r="N85" s="121" t="str"/>
      <c r="O85" s="124" t="str"/>
      <c r="P85" s="125"/>
      <c r="Q85" s="112"/>
      <c r="R85" s="112"/>
      <c r="S85" s="112"/>
      <c r="T85" s="112"/>
      <c r="U85" s="112"/>
      <c r="V85" s="112"/>
      <c r="W85" s="112"/>
      <c r="X85" s="112"/>
      <c r="Y85" s="112"/>
    </row>
    <row r="86" ht="109.5" customHeight="1">
      <c r="A86" s="120" t="str">
        <v>DOC_API_IT62</v>
      </c>
      <c r="B86" s="120" t="str">
        <v>Verify outsiders, removed documents and other meetings' documents get the same answer.</v>
      </c>
      <c r="C86" s="120" t="str">
        <v>1. As an outsider, read and post comments.
2. Remove the document; as the Member, read and post.
3. As the Member, use this meeting's URL with another meeting's document id.</v>
      </c>
      <c r="D86" s="120" t="str">
        <v>1. Every request returns HTTP 404 with code "MSG156".</v>
      </c>
      <c r="E86" s="120" t="str">
        <v>1. Backend is running.
2. Two Published meetings with documents.</v>
      </c>
      <c r="F86" s="121" t="str">
        <v>Pending</v>
      </c>
      <c r="G86" s="122" t="str"/>
      <c r="H86" s="121" t="str"/>
      <c r="I86" s="121" t="str"/>
      <c r="J86" s="122" t="str"/>
      <c r="K86" s="121" t="str"/>
      <c r="L86" s="121" t="str"/>
      <c r="M86" s="123" t="str"/>
      <c r="N86" s="121" t="str"/>
      <c r="O86" s="124" t="str"/>
      <c r="P86" s="125"/>
      <c r="Q86" s="112"/>
      <c r="R86" s="112"/>
      <c r="S86" s="112"/>
      <c r="T86" s="112"/>
      <c r="U86" s="112"/>
      <c r="V86" s="112"/>
      <c r="W86" s="112"/>
      <c r="X86" s="112"/>
      <c r="Y86" s="112"/>
    </row>
    <row r="87" ht="24" customHeight="1">
      <c r="A87" s="120" t="str">
        <v>GET /api/meetings/{id}/documents/{documentId}/comments</v>
      </c>
      <c r="B87" s="120"/>
      <c r="C87" s="120"/>
      <c r="D87" s="120"/>
      <c r="E87" s="120"/>
      <c r="F87" s="121"/>
      <c r="G87" s="122"/>
      <c r="H87" s="121"/>
      <c r="I87" s="121"/>
      <c r="J87" s="122"/>
      <c r="K87" s="121"/>
      <c r="L87" s="121"/>
      <c r="M87" s="123"/>
      <c r="N87" s="121"/>
      <c r="O87" s="124"/>
      <c r="P87" s="125"/>
      <c r="Q87" s="112"/>
      <c r="R87" s="112"/>
      <c r="S87" s="112"/>
      <c r="T87" s="112"/>
      <c r="U87" s="112"/>
      <c r="V87" s="112"/>
      <c r="W87" s="112"/>
      <c r="X87" s="112"/>
      <c r="Y87" s="112"/>
    </row>
    <row r="88" ht="80.5" customHeight="1">
      <c r="A88" s="120" t="str">
        <v>DOC_API_IT63</v>
      </c>
      <c r="B88" s="120" t="str">
        <v>Verify the same file in two meetings has two separate discussions.</v>
      </c>
      <c r="C88" s="120" t="str">
        <v>1. Add the same library file to two meetings.
2. Comment on it in the first meeting; read the comments in the second.</v>
      </c>
      <c r="D88" s="120" t="str">
        <v>1. The second meeting shows no comments.</v>
      </c>
      <c r="E88" s="120" t="str">
        <v>1. Backend is running.
2. Two Published meetings; the Secretary owns the file.</v>
      </c>
      <c r="F88" s="121" t="str">
        <v>Pending</v>
      </c>
      <c r="G88" s="122" t="str"/>
      <c r="H88" s="121" t="str"/>
      <c r="I88" s="121" t="str"/>
      <c r="J88" s="122" t="str"/>
      <c r="K88" s="121" t="str"/>
      <c r="L88" s="121" t="str"/>
      <c r="M88" s="123" t="str"/>
      <c r="N88" s="121" t="str"/>
      <c r="O88" s="124" t="str"/>
      <c r="P88" s="125"/>
      <c r="Q88" s="112"/>
      <c r="R88" s="112"/>
      <c r="S88" s="112"/>
      <c r="T88" s="112"/>
      <c r="U88" s="112"/>
      <c r="V88" s="112"/>
      <c r="W88" s="112"/>
      <c r="X88" s="112"/>
      <c r="Y88" s="112"/>
    </row>
    <row r="89" ht="66.0" customHeight="1">
      <c r="A89" s="120" t="str">
        <v>DOC_API_IT64</v>
      </c>
      <c r="B89" s="120" t="str">
        <v>Verify failures to save or load comments answer their own codes.</v>
      </c>
      <c r="C89" s="120" t="str">
        <v>1. Make the save fail and post "Lỗi".
2. Stop PostgreSQL and read the comments.</v>
      </c>
      <c r="D89" s="120" t="str">
        <v>1. Saving returns HTTP 503 with code "MSG202".
2. Reading returns an error code instead of an empty list.</v>
      </c>
      <c r="E89" s="120" t="str">
        <v>1. Backend is running.
2. A Published meeting with a document.</v>
      </c>
      <c r="F89" s="121" t="str">
        <v>Pending</v>
      </c>
      <c r="G89" s="122" t="str"/>
      <c r="H89" s="121" t="str"/>
      <c r="I89" s="121" t="str"/>
      <c r="J89" s="122" t="str"/>
      <c r="K89" s="121" t="str"/>
      <c r="L89" s="121" t="str"/>
      <c r="M89" s="123" t="str"/>
      <c r="N89" s="121" t="str"/>
      <c r="O89" s="124" t="str"/>
      <c r="P89" s="125"/>
      <c r="Q89" s="112"/>
      <c r="R89" s="112"/>
      <c r="S89" s="112"/>
      <c r="T89" s="112"/>
      <c r="U89" s="112"/>
      <c r="V89" s="112"/>
      <c r="W89" s="112"/>
      <c r="X89" s="112"/>
      <c r="Y89" s="112"/>
    </row>
    <row r="90" ht="24" customHeight="1">
      <c r="A90" s="120" t="str">
        <v>POST /api/folders</v>
      </c>
      <c r="B90" s="120"/>
      <c r="C90" s="120"/>
      <c r="D90" s="120"/>
      <c r="E90" s="120"/>
      <c r="F90" s="121"/>
      <c r="G90" s="122"/>
      <c r="H90" s="121"/>
      <c r="I90" s="121"/>
      <c r="J90" s="122"/>
      <c r="K90" s="121"/>
      <c r="L90" s="121"/>
      <c r="M90" s="123"/>
      <c r="N90" s="121"/>
      <c r="O90" s="124"/>
      <c r="P90" s="125"/>
      <c r="Q90" s="112"/>
      <c r="R90" s="112"/>
      <c r="S90" s="112"/>
      <c r="T90" s="112"/>
      <c r="U90" s="112"/>
      <c r="V90" s="112"/>
      <c r="W90" s="112"/>
      <c r="X90" s="112"/>
      <c r="Y90" s="112"/>
    </row>
    <row r="91" ht="95.0" customHeight="1">
      <c r="A91" s="120" t="str">
        <v>DOC_API_IT65</v>
      </c>
      <c r="B91" s="120" t="str">
        <v>Verify the owner creates nested folders, duplicate names are allowed and they show in the library.</v>
      </c>
      <c r="C91" s="120" t="str">
        <v>1. POST /api/folders with { "name": " Báo cáo " }.
2. POST /api/folders with { "name": "Quý 3", "parentId": "&lt;id of Báo cáo&gt;" } twice.
3. GET the library.</v>
      </c>
      <c r="D91" s="120" t="str">
        <v>1. Each create returns HTTP 201 with code "MSG187" ("Đã tạo thư mục."); the name is trimmed to "Báo cáo".
2. Two subfolders "Quý 3" exist under "Báo cáo".</v>
      </c>
      <c r="E91" s="120" t="str">
        <v>1. Backend is running.
2. Signed in as an active user.</v>
      </c>
      <c r="F91" s="121" t="str">
        <v>Pending</v>
      </c>
      <c r="G91" s="122" t="str"/>
      <c r="H91" s="121" t="str"/>
      <c r="I91" s="121" t="str"/>
      <c r="J91" s="122" t="str"/>
      <c r="K91" s="121" t="str"/>
      <c r="L91" s="121" t="str"/>
      <c r="M91" s="123" t="str"/>
      <c r="N91" s="121" t="str"/>
      <c r="O91" s="124" t="str"/>
      <c r="P91" s="125"/>
      <c r="Q91" s="112"/>
      <c r="R91" s="112"/>
      <c r="S91" s="112"/>
      <c r="T91" s="112"/>
      <c r="U91" s="112"/>
      <c r="V91" s="112"/>
      <c r="W91" s="112"/>
      <c r="X91" s="112"/>
      <c r="Y91" s="112"/>
    </row>
    <row r="92" ht="66.0" customHeight="1">
      <c r="A92" s="120" t="str">
        <v>DOC_API_IT66</v>
      </c>
      <c r="B92" s="120" t="str">
        <v>Verify a folder name must not be blank or too long.</v>
      </c>
      <c r="C92" s="120" t="str">
        <v>1. POST /api/folders with { "name": " " }.
2. POST with a name of 401 characters.</v>
      </c>
      <c r="D92" s="120" t="str">
        <v>1. Blank: HTTP 400 with code "MSG188" ("Hãy nhập tên thư mục.").
2. Too long: HTTP 400 with code "MSG348".</v>
      </c>
      <c r="E92" s="120" t="str">
        <v>1. Backend is running.
2. Signed in as an active user.</v>
      </c>
      <c r="F92" s="121" t="str">
        <v>Pending</v>
      </c>
      <c r="G92" s="122" t="str"/>
      <c r="H92" s="121" t="str"/>
      <c r="I92" s="121" t="str"/>
      <c r="J92" s="122" t="str"/>
      <c r="K92" s="121" t="str"/>
      <c r="L92" s="121" t="str"/>
      <c r="M92" s="123" t="str"/>
      <c r="N92" s="121" t="str"/>
      <c r="O92" s="124" t="str"/>
      <c r="P92" s="125"/>
      <c r="Q92" s="112"/>
      <c r="R92" s="112"/>
      <c r="S92" s="112"/>
      <c r="T92" s="112"/>
      <c r="U92" s="112"/>
      <c r="V92" s="112"/>
      <c r="W92" s="112"/>
      <c r="X92" s="112"/>
      <c r="Y92" s="112"/>
    </row>
    <row r="93" ht="95.0" customHeight="1">
      <c r="A93" s="120" t="str">
        <v>DOC_API_IT67</v>
      </c>
      <c r="B93" s="120" t="str">
        <v>Verify someone else's folder cannot be a parent, renamed or deleted.</v>
      </c>
      <c r="C93" s="120" t="str">
        <v>1. Create a folder under another user's "Riêng".
2. PUT /api/folders/&lt;Riêng&gt;/name, PUT /api/folders/&lt;Riêng&gt;/parent, DELETE /api/folders/&lt;Riêng&gt;.</v>
      </c>
      <c r="D93" s="120" t="str">
        <v>1. As parent: HTTP 404 with code "MSG179".
2. Rename, move and delete: HTTP 404 with code "MSG175".</v>
      </c>
      <c r="E93" s="120" t="str">
        <v>1. Backend is running.
2. Another user owns the folder "Riêng".</v>
      </c>
      <c r="F93" s="121" t="str">
        <v>Pending</v>
      </c>
      <c r="G93" s="122" t="str"/>
      <c r="H93" s="121" t="str"/>
      <c r="I93" s="121" t="str"/>
      <c r="J93" s="122" t="str"/>
      <c r="K93" s="121" t="str"/>
      <c r="L93" s="121" t="str"/>
      <c r="M93" s="123" t="str"/>
      <c r="N93" s="121" t="str"/>
      <c r="O93" s="124" t="str"/>
      <c r="P93" s="125"/>
      <c r="Q93" s="112"/>
      <c r="R93" s="112"/>
      <c r="S93" s="112"/>
      <c r="T93" s="112"/>
      <c r="U93" s="112"/>
      <c r="V93" s="112"/>
      <c r="W93" s="112"/>
      <c r="X93" s="112"/>
      <c r="Y93" s="112"/>
    </row>
    <row r="94" ht="95.0" customHeight="1">
      <c r="A94" s="120" t="str">
        <v>DOC_API_IT68</v>
      </c>
      <c r="B94" s="120" t="str">
        <v>Verify a sixth folder level is refused on create and on move.</v>
      </c>
      <c r="C94" s="120" t="str">
        <v>1. Create folders "Cấp 1" to "Cấp 5" nested.
2. Create a folder inside "Cấp 5".
3. Move "Có con" (which has a subfolder) into "Cấp 4".</v>
      </c>
      <c r="D94" s="120" t="str">
        <v>1. Both return HTTP 409 with code "MSG189" (folders nest at most 5 levels).</v>
      </c>
      <c r="E94" s="120" t="str">
        <v>1. Backend is running.
2. Signed in as an active user.</v>
      </c>
      <c r="F94" s="121" t="str">
        <v>Pending</v>
      </c>
      <c r="G94" s="122" t="str"/>
      <c r="H94" s="121" t="str"/>
      <c r="I94" s="121" t="str"/>
      <c r="J94" s="122" t="str"/>
      <c r="K94" s="121" t="str"/>
      <c r="L94" s="121" t="str"/>
      <c r="M94" s="123" t="str"/>
      <c r="N94" s="121" t="str"/>
      <c r="O94" s="124" t="str"/>
      <c r="P94" s="125"/>
      <c r="Q94" s="112"/>
      <c r="R94" s="112"/>
      <c r="S94" s="112"/>
      <c r="T94" s="112"/>
      <c r="U94" s="112"/>
      <c r="V94" s="112"/>
      <c r="W94" s="112"/>
      <c r="X94" s="112"/>
      <c r="Y94" s="112"/>
    </row>
    <row r="95" ht="24" customHeight="1">
      <c r="A95" s="120" t="str">
        <v>PUT /api/folders/{id}/parent</v>
      </c>
      <c r="B95" s="120"/>
      <c r="C95" s="120"/>
      <c r="D95" s="120"/>
      <c r="E95" s="120"/>
      <c r="F95" s="121"/>
      <c r="G95" s="122"/>
      <c r="H95" s="121"/>
      <c r="I95" s="121"/>
      <c r="J95" s="122"/>
      <c r="K95" s="121"/>
      <c r="L95" s="121"/>
      <c r="M95" s="123"/>
      <c r="N95" s="121"/>
      <c r="O95" s="124"/>
      <c r="P95" s="125"/>
      <c r="Q95" s="112"/>
      <c r="R95" s="112"/>
      <c r="S95" s="112"/>
      <c r="T95" s="112"/>
      <c r="U95" s="112"/>
      <c r="V95" s="112"/>
      <c r="W95" s="112"/>
      <c r="X95" s="112"/>
      <c r="Y95" s="112"/>
    </row>
    <row r="96" ht="66.0" customHeight="1">
      <c r="A96" s="120" t="str">
        <v>DOC_API_IT69</v>
      </c>
      <c r="B96" s="120" t="str">
        <v>Verify a folder cannot move into itself or a subfolder but can move to the root.</v>
      </c>
      <c r="C96" s="120" t="str">
        <v>1. Move "Gốc" into itself, into "Con", into "Cháu".
2. Move "Con" to the root ({ "parentId": null }).</v>
      </c>
      <c r="D96" s="120" t="str">
        <v>1. The first three return HTTP 409 with code "MSG193".
2. The move to the root succeeds.</v>
      </c>
      <c r="E96" s="120" t="str">
        <v>1. Backend is running.
2. Folders Gốc &gt; Con &gt; Cháu exist.</v>
      </c>
      <c r="F96" s="121" t="str">
        <v>Pending</v>
      </c>
      <c r="G96" s="122" t="str"/>
      <c r="H96" s="121" t="str"/>
      <c r="I96" s="121" t="str"/>
      <c r="J96" s="122" t="str"/>
      <c r="K96" s="121" t="str"/>
      <c r="L96" s="121" t="str"/>
      <c r="M96" s="123" t="str"/>
      <c r="N96" s="121" t="str"/>
      <c r="O96" s="124" t="str"/>
      <c r="P96" s="125"/>
      <c r="Q96" s="112"/>
      <c r="R96" s="112"/>
      <c r="S96" s="112"/>
      <c r="T96" s="112"/>
      <c r="U96" s="112"/>
      <c r="V96" s="112"/>
      <c r="W96" s="112"/>
      <c r="X96" s="112"/>
      <c r="Y96" s="112"/>
    </row>
    <row r="97" ht="60" customHeight="1">
      <c r="A97" s="120" t="str">
        <v>DOC_API_IT70</v>
      </c>
      <c r="B97" s="120" t="str">
        <v>Verify two crossing moves at once never make a cycle.</v>
      </c>
      <c r="C97" s="120" t="str">
        <v>1. At the same time, move A into B and B into A.</v>
      </c>
      <c r="D97" s="120" t="str">
        <v>1. Exactly one move succeeds; the other is refused.
2. No folder is its own ancestor.</v>
      </c>
      <c r="E97" s="120" t="str">
        <v>1. Backend is running.
2. Two root folders A and B.</v>
      </c>
      <c r="F97" s="121" t="str">
        <v>Pending</v>
      </c>
      <c r="G97" s="122" t="str"/>
      <c r="H97" s="121" t="str"/>
      <c r="I97" s="121" t="str"/>
      <c r="J97" s="122" t="str"/>
      <c r="K97" s="121" t="str"/>
      <c r="L97" s="121" t="str"/>
      <c r="M97" s="123" t="str"/>
      <c r="N97" s="121" t="str"/>
      <c r="O97" s="124" t="str"/>
      <c r="P97" s="125"/>
      <c r="Q97" s="112"/>
      <c r="R97" s="112"/>
      <c r="S97" s="112"/>
      <c r="T97" s="112"/>
      <c r="U97" s="112"/>
      <c r="V97" s="112"/>
      <c r="W97" s="112"/>
      <c r="X97" s="112"/>
      <c r="Y97" s="112"/>
    </row>
    <row r="98" ht="24" customHeight="1">
      <c r="A98" s="120" t="str">
        <v>PUT /api/folders/{id}/name</v>
      </c>
      <c r="B98" s="120"/>
      <c r="C98" s="120"/>
      <c r="D98" s="120"/>
      <c r="E98" s="120"/>
      <c r="F98" s="121"/>
      <c r="G98" s="122"/>
      <c r="H98" s="121"/>
      <c r="I98" s="121"/>
      <c r="J98" s="122"/>
      <c r="K98" s="121"/>
      <c r="L98" s="121"/>
      <c r="M98" s="123"/>
      <c r="N98" s="121"/>
      <c r="O98" s="124"/>
      <c r="P98" s="125"/>
      <c r="Q98" s="112"/>
      <c r="R98" s="112"/>
      <c r="S98" s="112"/>
      <c r="T98" s="112"/>
      <c r="U98" s="112"/>
      <c r="V98" s="112"/>
      <c r="W98" s="112"/>
      <c r="X98" s="112"/>
      <c r="Y98" s="112"/>
    </row>
    <row r="99" ht="138.5" customHeight="1">
      <c r="A99" s="120" t="str">
        <v>DOC_API_IT71</v>
      </c>
      <c r="B99" s="120" t="str">
        <v>Verify renaming a folder keeps its place and contents.</v>
      </c>
      <c r="C99" s="120" t="str">
        <v>1. Send PUT request to /api/folders/&lt;id of Cũ&gt;/name.
2. Request headers: Content-Type: application/json; Authorization: Bearer &lt;access token of the folder owner&gt;.
3. Query parameters: None.
4. Request JSON body: { "name": "Mới" }.</v>
      </c>
      <c r="D99" s="120" t="str">
        <v>1. HTTP 200 with code "MSG191" ("Đã đổi tên thư mục.").
2. The folder is named "Mới", stays in the same place and still contains a.pdf.</v>
      </c>
      <c r="E99" s="120" t="str">
        <v>1. Backend is running.
2. The owner has folder "Cũ" containing a.pdf.</v>
      </c>
      <c r="F99" s="121" t="str">
        <v>Pending</v>
      </c>
      <c r="G99" s="122" t="str"/>
      <c r="H99" s="121" t="str"/>
      <c r="I99" s="121" t="str"/>
      <c r="J99" s="122" t="str"/>
      <c r="K99" s="121" t="str"/>
      <c r="L99" s="121" t="str"/>
      <c r="M99" s="123" t="str"/>
      <c r="N99" s="121" t="str"/>
      <c r="O99" s="124" t="str"/>
      <c r="P99" s="125"/>
      <c r="Q99" s="112"/>
      <c r="R99" s="112"/>
      <c r="S99" s="112"/>
      <c r="T99" s="112"/>
      <c r="U99" s="112"/>
      <c r="V99" s="112"/>
      <c r="W99" s="112"/>
      <c r="X99" s="112"/>
      <c r="Y99" s="112"/>
    </row>
    <row r="100" ht="24" customHeight="1">
      <c r="A100" s="120" t="str">
        <v>DELETE /api/folders/{id}</v>
      </c>
      <c r="B100" s="120"/>
      <c r="C100" s="120"/>
      <c r="D100" s="120"/>
      <c r="E100" s="120"/>
      <c r="F100" s="121"/>
      <c r="G100" s="122"/>
      <c r="H100" s="121"/>
      <c r="I100" s="121"/>
      <c r="J100" s="122"/>
      <c r="K100" s="121"/>
      <c r="L100" s="121"/>
      <c r="M100" s="123"/>
      <c r="N100" s="121"/>
      <c r="O100" s="124"/>
      <c r="P100" s="125"/>
      <c r="Q100" s="112"/>
      <c r="R100" s="112"/>
      <c r="S100" s="112"/>
      <c r="T100" s="112"/>
      <c r="U100" s="112"/>
      <c r="V100" s="112"/>
      <c r="W100" s="112"/>
      <c r="X100" s="112"/>
      <c r="Y100" s="112"/>
    </row>
    <row r="101" ht="95.0" customHeight="1">
      <c r="A101" s="120" t="str">
        <v>DOC_API_IT72</v>
      </c>
      <c r="B101" s="120" t="str">
        <v>Verify only an empty folder can be deleted.</v>
      </c>
      <c r="C101" s="120" t="str">
        <v>1. DELETE "Có tài liệu" (contains a document), "Có con" (contains a folder), then "Rỗng" (empty) twice.</v>
      </c>
      <c r="D101" s="120" t="str">
        <v>1. The first two return HTTP 409 with code "MSG196" ("Chỉ xoá được thư mục rỗng.").
2. "Rỗng" is deleted (HTTP 200, "MSG197"); the second delete returns HTTP 404 with code "MSG175".</v>
      </c>
      <c r="E101" s="120" t="str">
        <v>1. Backend is running.
2. The owner has the three folders described.</v>
      </c>
      <c r="F101" s="121" t="str">
        <v>Pending</v>
      </c>
      <c r="G101" s="122" t="str"/>
      <c r="H101" s="121" t="str"/>
      <c r="I101" s="121" t="str"/>
      <c r="J101" s="122" t="str"/>
      <c r="K101" s="121" t="str"/>
      <c r="L101" s="121" t="str"/>
      <c r="M101" s="123" t="str"/>
      <c r="N101" s="121" t="str"/>
      <c r="O101" s="124" t="str"/>
      <c r="P101" s="125"/>
      <c r="Q101" s="112"/>
      <c r="R101" s="112"/>
      <c r="S101" s="112"/>
      <c r="T101" s="112"/>
      <c r="U101" s="112"/>
      <c r="V101" s="112"/>
      <c r="W101" s="112"/>
      <c r="X101" s="112"/>
      <c r="Y101" s="112"/>
    </row>
    <row r="102" ht="24" customHeight="1">
      <c r="A102" s="120" t="str">
        <v>POST /api/folders</v>
      </c>
      <c r="B102" s="120"/>
      <c r="C102" s="120"/>
      <c r="D102" s="120"/>
      <c r="E102" s="120"/>
      <c r="F102" s="121"/>
      <c r="G102" s="122"/>
      <c r="H102" s="121"/>
      <c r="I102" s="121"/>
      <c r="J102" s="122"/>
      <c r="K102" s="121"/>
      <c r="L102" s="121"/>
      <c r="M102" s="123"/>
      <c r="N102" s="121"/>
      <c r="O102" s="124"/>
      <c r="P102" s="125"/>
      <c r="Q102" s="112"/>
      <c r="R102" s="112"/>
      <c r="S102" s="112"/>
      <c r="T102" s="112"/>
      <c r="U102" s="112"/>
      <c r="V102" s="112"/>
      <c r="W102" s="112"/>
      <c r="X102" s="112"/>
      <c r="Y102" s="112"/>
    </row>
    <row r="103" ht="95.0" customHeight="1">
      <c r="A103" s="120" t="str">
        <v>DOC_API_IT73</v>
      </c>
      <c r="B103" s="120" t="str">
        <v>Verify folder changes that cannot be saved answer their own codes.</v>
      </c>
      <c r="C103" s="120" t="str">
        <v>1. Stop PostgreSQL.
2. Create a folder, rename one, move one, delete one.</v>
      </c>
      <c r="D103" s="120" t="str">
        <v>1. Create: HTTP 503 with code "MSG190".
2. Rename: HTTP 503 with code "MSG192".
3. Move and delete answer their own 503 codes; nothing changes.</v>
      </c>
      <c r="E103" s="120" t="str">
        <v>1. Backend is running.
2. The owner has the folder "Thư mục".</v>
      </c>
      <c r="F103" s="121" t="str">
        <v>Pending</v>
      </c>
      <c r="G103" s="122" t="str"/>
      <c r="H103" s="121" t="str"/>
      <c r="I103" s="121" t="str"/>
      <c r="J103" s="122" t="str"/>
      <c r="K103" s="121" t="str"/>
      <c r="L103" s="121" t="str"/>
      <c r="M103" s="123" t="str"/>
      <c r="N103" s="121" t="str"/>
      <c r="O103" s="124" t="str"/>
      <c r="P103" s="125"/>
      <c r="Q103" s="112"/>
      <c r="R103" s="112"/>
      <c r="S103" s="112"/>
      <c r="T103" s="112"/>
      <c r="U103" s="112"/>
      <c r="V103" s="112"/>
      <c r="W103" s="112"/>
      <c r="X103" s="112"/>
      <c r="Y103" s="112"/>
    </row>
    <row r="104" ht="24" customHeight="1">
      <c r="A104" s="120" t="str">
        <v>POST /api/documents/upload</v>
      </c>
      <c r="B104" s="120"/>
      <c r="C104" s="120"/>
      <c r="D104" s="120"/>
      <c r="E104" s="120"/>
      <c r="F104" s="121"/>
      <c r="G104" s="122"/>
      <c r="H104" s="121"/>
      <c r="I104" s="121"/>
      <c r="J104" s="122"/>
      <c r="K104" s="121"/>
      <c r="L104" s="121"/>
      <c r="M104" s="123"/>
      <c r="N104" s="121"/>
      <c r="O104" s="124"/>
      <c r="P104" s="125"/>
      <c r="Q104" s="112"/>
      <c r="R104" s="112"/>
      <c r="S104" s="112"/>
      <c r="T104" s="112"/>
      <c r="U104" s="112"/>
      <c r="V104" s="112"/>
      <c r="W104" s="112"/>
      <c r="X104" s="112"/>
      <c r="Y104" s="112"/>
    </row>
    <row r="105" ht="95.0" customHeight="1">
      <c r="A105" s="120" t="str">
        <v>DOC_API_IT74</v>
      </c>
      <c r="B105" s="120" t="str">
        <v>Verify the owner uploads into a folder and sees the documents and the storage used.</v>
      </c>
      <c r="C105" s="120" t="str">
        <v>1. POST /api/documents/upload?folderId=&lt;Hồ sơ&gt; with "Tờ trình.pdf" (3 pages) and "Dự thảo.docx".
2. GET the library at that folder.</v>
      </c>
      <c r="D105" s="120" t="str">
        <v>1. HTTP 201 with code "MSG177" ("Đã tải tài liệu lên kho của bạn.") and addedCount 2.
2. Both documents are listed in "Hồ sơ"; the storage used increases by their size.</v>
      </c>
      <c r="E105" s="120" t="str">
        <v>1. Backend is running.
2. The owner has the folder "Hồ sơ".</v>
      </c>
      <c r="F105" s="121" t="str">
        <v>Pending</v>
      </c>
      <c r="G105" s="122" t="str"/>
      <c r="H105" s="121" t="str"/>
      <c r="I105" s="121" t="str"/>
      <c r="J105" s="122" t="str"/>
      <c r="K105" s="121" t="str"/>
      <c r="L105" s="121" t="str"/>
      <c r="M105" s="123" t="str"/>
      <c r="N105" s="121" t="str"/>
      <c r="O105" s="124" t="str"/>
      <c r="P105" s="125"/>
      <c r="Q105" s="112"/>
      <c r="R105" s="112"/>
      <c r="S105" s="112"/>
      <c r="T105" s="112"/>
      <c r="U105" s="112"/>
      <c r="V105" s="112"/>
      <c r="W105" s="112"/>
      <c r="X105" s="112"/>
      <c r="Y105" s="112"/>
    </row>
    <row r="106" ht="95.0" customHeight="1">
      <c r="A106" s="120" t="str">
        <v>DOC_API_IT75</v>
      </c>
      <c r="B106" s="120" t="str">
        <v>Verify the library upload checks the destination, the files and the limits.</v>
      </c>
      <c r="C106" s="120" t="str">
        <v>1. Upload into another user's folder.
2. Upload to the root.
3. Upload 11 files; upload a PNG renamed .pdf.</v>
      </c>
      <c r="D106" s="120" t="str">
        <v>1. Another user's folder: HTTP 404 with code "MSG179".
2. Root: HTTP 201 with code "MSG177".
3. 11 files: HTTP 400 with code "MSG288"; fake PDF: HTTP 400 with code "MSG164".</v>
      </c>
      <c r="E106" s="120" t="str">
        <v>1. Backend is running.
2. Signed in as an active user.</v>
      </c>
      <c r="F106" s="121" t="str">
        <v>Pending</v>
      </c>
      <c r="G106" s="122" t="str"/>
      <c r="H106" s="121" t="str"/>
      <c r="I106" s="121" t="str"/>
      <c r="J106" s="122" t="str"/>
      <c r="K106" s="121" t="str"/>
      <c r="L106" s="121" t="str"/>
      <c r="M106" s="123" t="str"/>
      <c r="N106" s="121" t="str"/>
      <c r="O106" s="124" t="str"/>
      <c r="P106" s="125"/>
      <c r="Q106" s="112"/>
      <c r="R106" s="112"/>
      <c r="S106" s="112"/>
      <c r="T106" s="112"/>
      <c r="U106" s="112"/>
      <c r="V106" s="112"/>
      <c r="W106" s="112"/>
      <c r="X106" s="112"/>
      <c r="Y106" s="112"/>
    </row>
    <row r="107" ht="66.0" customHeight="1">
      <c r="A107" s="120" t="str">
        <v>DOC_API_IT76</v>
      </c>
      <c r="B107" s="120" t="str">
        <v>Verify an upload past the storage limit adds nothing.</v>
      </c>
      <c r="C107" s="120" t="str">
        <v>1. Fill the system storage until only 10 bytes are free.
2. Upload a.pdf to the library.</v>
      </c>
      <c r="D107" s="120" t="str">
        <v>1. HTTP 409 with code "MSG346".
2. Nothing is stored.</v>
      </c>
      <c r="E107" s="120" t="str">
        <v>1. Backend is running.
2. FileStorage:MaxTotalGigabytes is set so the limit can be reached.</v>
      </c>
      <c r="F107" s="121" t="str">
        <v>Pending</v>
      </c>
      <c r="G107" s="122" t="str"/>
      <c r="H107" s="121" t="str"/>
      <c r="I107" s="121" t="str"/>
      <c r="J107" s="122" t="str"/>
      <c r="K107" s="121" t="str"/>
      <c r="L107" s="121" t="str"/>
      <c r="M107" s="123" t="str"/>
      <c r="N107" s="121" t="str"/>
      <c r="O107" s="124" t="str"/>
      <c r="P107" s="125"/>
      <c r="Q107" s="112"/>
      <c r="R107" s="112"/>
      <c r="S107" s="112"/>
      <c r="T107" s="112"/>
      <c r="U107" s="112"/>
      <c r="V107" s="112"/>
      <c r="W107" s="112"/>
      <c r="X107" s="112"/>
      <c r="Y107" s="112"/>
    </row>
    <row r="108" ht="66.0" customHeight="1">
      <c r="A108" s="120" t="str">
        <v>DOC_API_IT77</v>
      </c>
      <c r="B108" s="120" t="str">
        <v>Verify the storage limit is the whole system's, whoever filled it.</v>
      </c>
      <c r="C108" s="120" t="str">
        <v>1. Another user fills the storage to 10 bytes free.
2. As a meeting Secretary, upload x.pdf to the meeting.</v>
      </c>
      <c r="D108" s="120" t="str">
        <v>1. HTTP 409 with code "MSG346".
2. No meeting document is added.</v>
      </c>
      <c r="E108" s="120" t="str">
        <v>1. Backend is running.
2. FileStorage:MaxTotalGigabytes is set so the limit can be reached.</v>
      </c>
      <c r="F108" s="121" t="str">
        <v>Pending</v>
      </c>
      <c r="G108" s="122" t="str"/>
      <c r="H108" s="121" t="str"/>
      <c r="I108" s="121" t="str"/>
      <c r="J108" s="122" t="str"/>
      <c r="K108" s="121" t="str"/>
      <c r="L108" s="121" t="str"/>
      <c r="M108" s="123" t="str"/>
      <c r="N108" s="121" t="str"/>
      <c r="O108" s="124" t="str"/>
      <c r="P108" s="125"/>
      <c r="Q108" s="112"/>
      <c r="R108" s="112"/>
      <c r="S108" s="112"/>
      <c r="T108" s="112"/>
      <c r="U108" s="112"/>
      <c r="V108" s="112"/>
      <c r="W108" s="112"/>
      <c r="X108" s="112"/>
      <c r="Y108" s="112"/>
    </row>
    <row r="109" ht="66.0" customHeight="1">
      <c r="A109" s="120" t="str">
        <v>DOC_API_IT78</v>
      </c>
      <c r="B109" s="120" t="str">
        <v>Verify two uploads at once near the limit let only one in.</v>
      </c>
      <c r="C109" s="120" t="str">
        <v>1. Leave room for 1.5 copies of x.pdf.
2. Upload x.pdf twice at the same time.</v>
      </c>
      <c r="D109" s="120" t="str">
        <v>1. One upload returns HTTP 201 and the other HTTP 409 with code "MSG346".</v>
      </c>
      <c r="E109" s="120" t="str">
        <v>1. Backend is running.
2. FileStorage:MaxTotalGigabytes is set so the limit can be reached.</v>
      </c>
      <c r="F109" s="121" t="str">
        <v>Pending</v>
      </c>
      <c r="G109" s="122" t="str"/>
      <c r="H109" s="121" t="str"/>
      <c r="I109" s="121" t="str"/>
      <c r="J109" s="122" t="str"/>
      <c r="K109" s="121" t="str"/>
      <c r="L109" s="121" t="str"/>
      <c r="M109" s="123" t="str"/>
      <c r="N109" s="121" t="str"/>
      <c r="O109" s="124" t="str"/>
      <c r="P109" s="125"/>
      <c r="Q109" s="112"/>
      <c r="R109" s="112"/>
      <c r="S109" s="112"/>
      <c r="T109" s="112"/>
      <c r="U109" s="112"/>
      <c r="V109" s="112"/>
      <c r="W109" s="112"/>
      <c r="X109" s="112"/>
      <c r="Y109" s="112"/>
    </row>
    <row r="110" ht="60" customHeight="1">
      <c r="A110" s="120" t="str">
        <v>DOC_API_IT79</v>
      </c>
      <c r="B110" s="120" t="str">
        <v>Verify a refused upload gives its reserved room back.</v>
      </c>
      <c r="C110" s="120" t="str">
        <v>1. Stop the file storage.
2. Upload r.pdf; check the storage used.</v>
      </c>
      <c r="D110" s="120" t="str">
        <v>1. HTTP 503.
2. The storage used is the same as before.</v>
      </c>
      <c r="E110" s="120" t="str">
        <v>1. Backend is running.
2. Signed in as an active user.</v>
      </c>
      <c r="F110" s="121" t="str">
        <v>Pending</v>
      </c>
      <c r="G110" s="122" t="str"/>
      <c r="H110" s="121" t="str"/>
      <c r="I110" s="121" t="str"/>
      <c r="J110" s="122" t="str"/>
      <c r="K110" s="121" t="str"/>
      <c r="L110" s="121" t="str"/>
      <c r="M110" s="123" t="str"/>
      <c r="N110" s="121" t="str"/>
      <c r="O110" s="124" t="str"/>
      <c r="P110" s="125"/>
      <c r="Q110" s="112"/>
      <c r="R110" s="112"/>
      <c r="S110" s="112"/>
      <c r="T110" s="112"/>
      <c r="U110" s="112"/>
      <c r="V110" s="112"/>
      <c r="W110" s="112"/>
      <c r="X110" s="112"/>
      <c r="Y110" s="112"/>
    </row>
    <row r="111" ht="60" customHeight="1">
      <c r="A111" s="120" t="str">
        <v>DOC_API_IT80</v>
      </c>
      <c r="B111" s="120" t="str">
        <v>Verify a failed store adds nothing and leaves no object.</v>
      </c>
      <c r="C111" s="120" t="str">
        <v>1. Make the storage fail on the second file.
2. Upload a.pdf and b.pdf.</v>
      </c>
      <c r="D111" s="120" t="str">
        <v>1. HTTP 503 with code "MSG178".
2. a.pdf is removed from storage; no document is added.</v>
      </c>
      <c r="E111" s="120" t="str">
        <v>1. Backend is running.
2. Signed in as an active user.</v>
      </c>
      <c r="F111" s="121" t="str">
        <v>Pending</v>
      </c>
      <c r="G111" s="122" t="str"/>
      <c r="H111" s="121" t="str"/>
      <c r="I111" s="121" t="str"/>
      <c r="J111" s="122" t="str"/>
      <c r="K111" s="121" t="str"/>
      <c r="L111" s="121" t="str"/>
      <c r="M111" s="123" t="str"/>
      <c r="N111" s="121" t="str"/>
      <c r="O111" s="124" t="str"/>
      <c r="P111" s="125"/>
      <c r="Q111" s="112"/>
      <c r="R111" s="112"/>
      <c r="S111" s="112"/>
      <c r="T111" s="112"/>
      <c r="U111" s="112"/>
      <c r="V111" s="112"/>
      <c r="W111" s="112"/>
      <c r="X111" s="112"/>
      <c r="Y111" s="112"/>
    </row>
    <row r="112" ht="24" customHeight="1">
      <c r="A112" s="120" t="str">
        <v>GET /api/documents</v>
      </c>
      <c r="B112" s="120"/>
      <c r="C112" s="120"/>
      <c r="D112" s="120"/>
      <c r="E112" s="120"/>
      <c r="F112" s="121"/>
      <c r="G112" s="122"/>
      <c r="H112" s="121"/>
      <c r="I112" s="121"/>
      <c r="J112" s="122"/>
      <c r="K112" s="121"/>
      <c r="L112" s="121"/>
      <c r="M112" s="123"/>
      <c r="N112" s="121"/>
      <c r="O112" s="124"/>
      <c r="P112" s="125"/>
      <c r="Q112" s="112"/>
      <c r="R112" s="112"/>
      <c r="S112" s="112"/>
      <c r="T112" s="112"/>
      <c r="U112" s="112"/>
      <c r="V112" s="112"/>
      <c r="W112" s="112"/>
      <c r="X112" s="112"/>
      <c r="Y112" s="112"/>
    </row>
    <row r="113" ht="95.0" customHeight="1">
      <c r="A113" s="120" t="str">
        <v>DOC_API_IT81</v>
      </c>
      <c r="B113" s="120" t="str">
        <v>Verify search and the type filter stay within the current location.</v>
      </c>
      <c r="C113" s="120" t="str">
        <v>1. At the root, search "Báo cáo".
2. Filter the root by type pdf.
3. Search "100%".</v>
      </c>
      <c r="D113" s="120" t="str">
        <v>1. The root search finds "Báo cáo quý 3.pdf" and "Báo cáo quý 4.docx" but not the one inside "Thư mục".
2. The pdf filter shows only PDFs.
3. "100%" finds "100%_xong.pdf" (% is matched literally).</v>
      </c>
      <c r="E113" s="120" t="str">
        <v>1. Backend is running.
2. The owner has the four documents described.</v>
      </c>
      <c r="F113" s="121" t="str">
        <v>Pending</v>
      </c>
      <c r="G113" s="122" t="str"/>
      <c r="H113" s="121" t="str"/>
      <c r="I113" s="121" t="str"/>
      <c r="J113" s="122" t="str"/>
      <c r="K113" s="121" t="str"/>
      <c r="L113" s="121" t="str"/>
      <c r="M113" s="123" t="str"/>
      <c r="N113" s="121" t="str"/>
      <c r="O113" s="124" t="str"/>
      <c r="P113" s="125"/>
      <c r="Q113" s="112"/>
      <c r="R113" s="112"/>
      <c r="S113" s="112"/>
      <c r="T113" s="112"/>
      <c r="U113" s="112"/>
      <c r="V113" s="112"/>
      <c r="W113" s="112"/>
      <c r="X113" s="112"/>
      <c r="Y113" s="112"/>
    </row>
    <row r="114" ht="95.0" customHeight="1">
      <c r="A114" s="120" t="str">
        <v>DOC_API_IT82</v>
      </c>
      <c r="B114" s="120" t="str">
        <v>Verify the meeting count of a document counts only meetings the owner can view and that still use the file.</v>
      </c>
      <c r="C114" s="120" t="str">
        <v>1. Add "Tờ trình.pdf" to a visible meeting, to a meeting the owner cannot view, and to a meeting where it was later removed.
2. GET the library.</v>
      </c>
      <c r="D114" s="120" t="str">
        <v>1. The document shows a meeting count of 1.</v>
      </c>
      <c r="E114" s="120" t="str">
        <v>1. Backend is running.
2. The Secretary owns "Tờ trình.pdf".</v>
      </c>
      <c r="F114" s="121" t="str">
        <v>Pending</v>
      </c>
      <c r="G114" s="122" t="str"/>
      <c r="H114" s="121" t="str"/>
      <c r="I114" s="121" t="str"/>
      <c r="J114" s="122" t="str"/>
      <c r="K114" s="121" t="str"/>
      <c r="L114" s="121" t="str"/>
      <c r="M114" s="123" t="str"/>
      <c r="N114" s="121" t="str"/>
      <c r="O114" s="124" t="str"/>
      <c r="P114" s="125"/>
      <c r="Q114" s="112"/>
      <c r="R114" s="112"/>
      <c r="S114" s="112"/>
      <c r="T114" s="112"/>
      <c r="U114" s="112"/>
      <c r="V114" s="112"/>
      <c r="W114" s="112"/>
      <c r="X114" s="112"/>
      <c r="Y114" s="112"/>
    </row>
    <row r="115" ht="24" customHeight="1">
      <c r="A115" s="120" t="str">
        <v>PUT /api/documents/{id}/name</v>
      </c>
      <c r="B115" s="120"/>
      <c r="C115" s="120"/>
      <c r="D115" s="120"/>
      <c r="E115" s="120"/>
      <c r="F115" s="121"/>
      <c r="G115" s="122"/>
      <c r="H115" s="121"/>
      <c r="I115" s="121"/>
      <c r="J115" s="122"/>
      <c r="K115" s="121"/>
      <c r="L115" s="121"/>
      <c r="M115" s="123"/>
      <c r="N115" s="121"/>
      <c r="O115" s="124"/>
      <c r="P115" s="125"/>
      <c r="Q115" s="112"/>
      <c r="R115" s="112"/>
      <c r="S115" s="112"/>
      <c r="T115" s="112"/>
      <c r="U115" s="112"/>
      <c r="V115" s="112"/>
      <c r="W115" s="112"/>
      <c r="X115" s="112"/>
      <c r="Y115" s="112"/>
    </row>
    <row r="116" ht="66.0" customHeight="1">
      <c r="A116" s="120" t="str">
        <v>DOC_API_IT83</v>
      </c>
      <c r="B116" s="120" t="str">
        <v>Verify renaming keeps the extension and leaves meeting copies alone.</v>
      </c>
      <c r="C116" s="120" t="str">
        <v>1. Add "Cũ.pdf" to a meeting.
2. PUT /api/documents/&lt;id&gt;/name with { "fileName": "Mới" }.</v>
      </c>
      <c r="D116" s="120" t="str">
        <v>1. The library document is "Mới.pdf" (extension kept).
2. The meeting copy is still "Cũ.pdf".</v>
      </c>
      <c r="E116" s="120" t="str">
        <v>1. Backend is running.
2. The Secretary owns "Cũ.pdf".</v>
      </c>
      <c r="F116" s="121" t="str">
        <v>Pending</v>
      </c>
      <c r="G116" s="122" t="str"/>
      <c r="H116" s="121" t="str"/>
      <c r="I116" s="121" t="str"/>
      <c r="J116" s="122" t="str"/>
      <c r="K116" s="121" t="str"/>
      <c r="L116" s="121" t="str"/>
      <c r="M116" s="123" t="str"/>
      <c r="N116" s="121" t="str"/>
      <c r="O116" s="124" t="str"/>
      <c r="P116" s="125"/>
      <c r="Q116" s="112"/>
      <c r="R116" s="112"/>
      <c r="S116" s="112"/>
      <c r="T116" s="112"/>
      <c r="U116" s="112"/>
      <c r="V116" s="112"/>
      <c r="W116" s="112"/>
      <c r="X116" s="112"/>
      <c r="Y116" s="112"/>
    </row>
    <row r="117" ht="24" customHeight="1">
      <c r="A117" s="120" t="str">
        <v>PUT /api/documents/{id}/folder</v>
      </c>
      <c r="B117" s="120"/>
      <c r="C117" s="120"/>
      <c r="D117" s="120"/>
      <c r="E117" s="120"/>
      <c r="F117" s="121"/>
      <c r="G117" s="122"/>
      <c r="H117" s="121"/>
      <c r="I117" s="121"/>
      <c r="J117" s="122"/>
      <c r="K117" s="121"/>
      <c r="L117" s="121"/>
      <c r="M117" s="123"/>
      <c r="N117" s="121"/>
      <c r="O117" s="124"/>
      <c r="P117" s="125"/>
      <c r="Q117" s="112"/>
      <c r="R117" s="112"/>
      <c r="S117" s="112"/>
      <c r="T117" s="112"/>
      <c r="U117" s="112"/>
      <c r="V117" s="112"/>
      <c r="W117" s="112"/>
      <c r="X117" s="112"/>
      <c r="Y117" s="112"/>
    </row>
    <row r="118" ht="109.5" customHeight="1">
      <c r="A118" s="120" t="str">
        <v>DOC_API_IT84</v>
      </c>
      <c r="B118" s="120" t="str">
        <v>Verify a document moves to an owned folder or the root.</v>
      </c>
      <c r="C118" s="120" t="str">
        <v>1. PUT /api/documents/&lt;a.pdf&gt;/folder with { "folderId": "&lt;Đích&gt;" }.
2. Move it into another user's "Riêng".
3. Move it to the root (folderId null).</v>
      </c>
      <c r="D118" s="120" t="str">
        <v>1. Into "Đích": HTTP 200 with code "MSG185" ("Đã chuyển tài liệu.").
2. Into "Riêng": HTTP 404 with code "MSG179".
3. To the root: success.</v>
      </c>
      <c r="E118" s="120" t="str">
        <v>1. Backend is running.
2. The owner has a.pdf and the folder "Đích".</v>
      </c>
      <c r="F118" s="121" t="str">
        <v>Pending</v>
      </c>
      <c r="G118" s="122" t="str"/>
      <c r="H118" s="121" t="str"/>
      <c r="I118" s="121" t="str"/>
      <c r="J118" s="122" t="str"/>
      <c r="K118" s="121" t="str"/>
      <c r="L118" s="121" t="str"/>
      <c r="M118" s="123" t="str"/>
      <c r="N118" s="121" t="str"/>
      <c r="O118" s="124" t="str"/>
      <c r="P118" s="125"/>
      <c r="Q118" s="112"/>
      <c r="R118" s="112"/>
      <c r="S118" s="112"/>
      <c r="T118" s="112"/>
      <c r="U118" s="112"/>
      <c r="V118" s="112"/>
      <c r="W118" s="112"/>
      <c r="X118" s="112"/>
      <c r="Y118" s="112"/>
    </row>
    <row r="119" ht="24" customHeight="1">
      <c r="A119" s="120" t="str">
        <v>PUT /api/documents/{id}/name</v>
      </c>
      <c r="B119" s="120"/>
      <c r="C119" s="120"/>
      <c r="D119" s="120"/>
      <c r="E119" s="120"/>
      <c r="F119" s="121"/>
      <c r="G119" s="122"/>
      <c r="H119" s="121"/>
      <c r="I119" s="121"/>
      <c r="J119" s="122"/>
      <c r="K119" s="121"/>
      <c r="L119" s="121"/>
      <c r="M119" s="123"/>
      <c r="N119" s="121"/>
      <c r="O119" s="124"/>
      <c r="P119" s="125"/>
      <c r="Q119" s="112"/>
      <c r="R119" s="112"/>
      <c r="S119" s="112"/>
      <c r="T119" s="112"/>
      <c r="U119" s="112"/>
      <c r="V119" s="112"/>
      <c r="W119" s="112"/>
      <c r="X119" s="112"/>
      <c r="Y119" s="112"/>
    </row>
    <row r="120" ht="60" customHeight="1">
      <c r="A120" s="120" t="str">
        <v>DOC_API_IT85</v>
      </c>
      <c r="B120" s="120" t="str">
        <v>Verify someone else's document cannot be touched.</v>
      </c>
      <c r="C120" s="120" t="str">
        <v>1. Rename, move, open and delete another user's "riêng.pdf".</v>
      </c>
      <c r="D120" s="120" t="str">
        <v>1. Every request returns HTTP 404 with code "MSG175".</v>
      </c>
      <c r="E120" s="120" t="str">
        <v>1. Backend is running.
2. Another user owns "riêng.pdf".</v>
      </c>
      <c r="F120" s="121" t="str">
        <v>Pending</v>
      </c>
      <c r="G120" s="122" t="str"/>
      <c r="H120" s="121" t="str"/>
      <c r="I120" s="121" t="str"/>
      <c r="J120" s="122" t="str"/>
      <c r="K120" s="121" t="str"/>
      <c r="L120" s="121" t="str"/>
      <c r="M120" s="123" t="str"/>
      <c r="N120" s="121" t="str"/>
      <c r="O120" s="124" t="str"/>
      <c r="P120" s="125"/>
      <c r="Q120" s="112"/>
      <c r="R120" s="112"/>
      <c r="S120" s="112"/>
      <c r="T120" s="112"/>
      <c r="U120" s="112"/>
      <c r="V120" s="112"/>
      <c r="W120" s="112"/>
      <c r="X120" s="112"/>
      <c r="Y120" s="112"/>
    </row>
    <row r="121" ht="24" customHeight="1">
      <c r="A121" s="120" t="str">
        <v>DELETE /api/documents/{id}</v>
      </c>
      <c r="B121" s="120"/>
      <c r="C121" s="120"/>
      <c r="D121" s="120"/>
      <c r="E121" s="120"/>
      <c r="F121" s="121"/>
      <c r="G121" s="122"/>
      <c r="H121" s="121"/>
      <c r="I121" s="121"/>
      <c r="J121" s="122"/>
      <c r="K121" s="121"/>
      <c r="L121" s="121"/>
      <c r="M121" s="123"/>
      <c r="N121" s="121"/>
      <c r="O121" s="124"/>
      <c r="P121" s="125"/>
      <c r="Q121" s="112"/>
      <c r="R121" s="112"/>
      <c r="S121" s="112"/>
      <c r="T121" s="112"/>
      <c r="U121" s="112"/>
      <c r="V121" s="112"/>
      <c r="W121" s="112"/>
      <c r="X121" s="112"/>
      <c r="Y121" s="112"/>
    </row>
    <row r="122" ht="80.5" customHeight="1">
      <c r="A122" s="120" t="str">
        <v>DOC_API_IT86</v>
      </c>
      <c r="B122" s="120" t="str">
        <v>Verify deleting from the library leaves the meeting copy readable.</v>
      </c>
      <c r="C122" s="120" t="str">
        <v>1. Add "Tờ trình.pdf" to a meeting.
2. DELETE /api/documents/&lt;id&gt; from the library.
3. Open the meeting copy.</v>
      </c>
      <c r="D122" s="120" t="str">
        <v>1. The delete returns HTTP 200 with code "MSG180" ("Đã xoá tài liệu khỏi kho của bạn.").
2. The meeting copy still opens.</v>
      </c>
      <c r="E122" s="120" t="str">
        <v>1. Backend is running.
2. The Secretary owns "Tờ trình.pdf".</v>
      </c>
      <c r="F122" s="121" t="str">
        <v>Pending</v>
      </c>
      <c r="G122" s="122" t="str"/>
      <c r="H122" s="121" t="str"/>
      <c r="I122" s="121" t="str"/>
      <c r="J122" s="122" t="str"/>
      <c r="K122" s="121" t="str"/>
      <c r="L122" s="121" t="str"/>
      <c r="M122" s="123" t="str"/>
      <c r="N122" s="121" t="str"/>
      <c r="O122" s="124" t="str"/>
      <c r="P122" s="125"/>
      <c r="Q122" s="112"/>
      <c r="R122" s="112"/>
      <c r="S122" s="112"/>
      <c r="T122" s="112"/>
      <c r="U122" s="112"/>
      <c r="V122" s="112"/>
      <c r="W122" s="112"/>
      <c r="X122" s="112"/>
      <c r="Y122" s="112"/>
    </row>
    <row r="123" ht="24" customHeight="1">
      <c r="A123" s="120" t="str">
        <v>PUT /api/documents/{id}/name</v>
      </c>
      <c r="B123" s="120"/>
      <c r="C123" s="120"/>
      <c r="D123" s="120"/>
      <c r="E123" s="120"/>
      <c r="F123" s="121"/>
      <c r="G123" s="122"/>
      <c r="H123" s="121"/>
      <c r="I123" s="121"/>
      <c r="J123" s="122"/>
      <c r="K123" s="121"/>
      <c r="L123" s="121"/>
      <c r="M123" s="123"/>
      <c r="N123" s="121"/>
      <c r="O123" s="124"/>
      <c r="P123" s="125"/>
      <c r="Q123" s="112"/>
      <c r="R123" s="112"/>
      <c r="S123" s="112"/>
      <c r="T123" s="112"/>
      <c r="U123" s="112"/>
      <c r="V123" s="112"/>
      <c r="W123" s="112"/>
      <c r="X123" s="112"/>
      <c r="Y123" s="112"/>
    </row>
    <row r="124" ht="80.5" customHeight="1">
      <c r="A124" s="120" t="str">
        <v>DOC_API_IT87</v>
      </c>
      <c r="B124" s="120" t="str">
        <v>Verify document changes that cannot be saved answer their own codes.</v>
      </c>
      <c r="C124" s="120" t="str">
        <v>1. Stop PostgreSQL.
2. Rename a.pdf to b.pdf; move it; delete it.</v>
      </c>
      <c r="D124" s="120" t="str">
        <v>1. Rename: HTTP 503 with code "MSG184" ("Không đổi được tên tài liệu. Tên vẫn giữ nguyên.").
2. Move: HTTP 503 with code "MSG186".
3. Delete answers its own 503 code.</v>
      </c>
      <c r="E124" s="120" t="str">
        <v>1. Backend is running.
2. The owner has a.pdf.</v>
      </c>
      <c r="F124" s="121" t="str">
        <v>Pending</v>
      </c>
      <c r="G124" s="122" t="str"/>
      <c r="H124" s="121" t="str"/>
      <c r="I124" s="121" t="str"/>
      <c r="J124" s="122" t="str"/>
      <c r="K124" s="121" t="str"/>
      <c r="L124" s="121" t="str"/>
      <c r="M124" s="123" t="str"/>
      <c r="N124" s="121" t="str"/>
      <c r="O124" s="124" t="str"/>
      <c r="P124" s="125"/>
      <c r="Q124" s="112"/>
      <c r="R124" s="112"/>
      <c r="S124" s="112"/>
      <c r="T124" s="112"/>
      <c r="U124" s="112"/>
      <c r="V124" s="112"/>
      <c r="W124" s="112"/>
      <c r="X124" s="112"/>
      <c r="Y124" s="112"/>
    </row>
    <row r="125" ht="24" customHeight="1">
      <c r="A125" s="120" t="str">
        <v>GET /api/documents/{id}/content</v>
      </c>
      <c r="B125" s="120"/>
      <c r="C125" s="120"/>
      <c r="D125" s="120"/>
      <c r="E125" s="120"/>
      <c r="F125" s="121"/>
      <c r="G125" s="122"/>
      <c r="H125" s="121"/>
      <c r="I125" s="121"/>
      <c r="J125" s="122"/>
      <c r="K125" s="121"/>
      <c r="L125" s="121"/>
      <c r="M125" s="123"/>
      <c r="N125" s="121"/>
      <c r="O125" s="124"/>
      <c r="P125" s="125"/>
      <c r="Q125" s="112"/>
      <c r="R125" s="112"/>
      <c r="S125" s="112"/>
      <c r="T125" s="112"/>
      <c r="U125" s="112"/>
      <c r="V125" s="112"/>
      <c r="W125" s="112"/>
      <c r="X125" s="112"/>
      <c r="Y125" s="112"/>
    </row>
    <row r="126" ht="66.0" customHeight="1">
      <c r="A126" s="120" t="str">
        <v>DOC_API_IT88</v>
      </c>
      <c r="B126" s="120" t="str">
        <v>Verify the owner opens their document and a missing file asks to try again.</v>
      </c>
      <c r="C126" s="120" t="str">
        <v>1. GET /api/documents/&lt;Đọc.pdf&gt;/content.
2. Delete its object from storage and GET again.</v>
      </c>
      <c r="D126" s="120" t="str">
        <v>1. HTTP 200 with the exact bytes and Content-Disposition attachment.
2. Missing file: HTTP 503 asking to try again.</v>
      </c>
      <c r="E126" s="120" t="str">
        <v>1. Backend is running.
2. The owner has "Đọc.pdf".</v>
      </c>
      <c r="F126" s="121" t="str">
        <v>Pending</v>
      </c>
      <c r="G126" s="122" t="str"/>
      <c r="H126" s="121" t="str"/>
      <c r="I126" s="121" t="str"/>
      <c r="J126" s="122" t="str"/>
      <c r="K126" s="121" t="str"/>
      <c r="L126" s="121" t="str"/>
      <c r="M126" s="123" t="str"/>
      <c r="N126" s="121" t="str"/>
      <c r="O126" s="124" t="str"/>
      <c r="P126" s="125"/>
      <c r="Q126" s="112"/>
      <c r="R126" s="112"/>
      <c r="S126" s="112"/>
      <c r="T126" s="112"/>
      <c r="U126" s="112"/>
      <c r="V126" s="112"/>
      <c r="W126" s="112"/>
      <c r="X126" s="112"/>
      <c r="Y126" s="112"/>
    </row>
    <row r="127" ht="24" customHeight="1">
      <c r="A127" s="120" t="str">
        <v>GET /api/users/{id}/library</v>
      </c>
      <c r="B127" s="120"/>
      <c r="C127" s="120"/>
      <c r="D127" s="120"/>
      <c r="E127" s="120"/>
      <c r="F127" s="121"/>
      <c r="G127" s="122"/>
      <c r="H127" s="121"/>
      <c r="I127" s="121"/>
      <c r="J127" s="122"/>
      <c r="K127" s="121"/>
      <c r="L127" s="121"/>
      <c r="M127" s="123"/>
      <c r="N127" s="121"/>
      <c r="O127" s="124"/>
      <c r="P127" s="125"/>
      <c r="Q127" s="112"/>
      <c r="R127" s="112"/>
      <c r="S127" s="112"/>
      <c r="T127" s="112"/>
      <c r="U127" s="112"/>
      <c r="V127" s="112"/>
      <c r="W127" s="112"/>
      <c r="X127" s="112"/>
      <c r="Y127" s="112"/>
    </row>
    <row r="128" ht="95.0" customHeight="1">
      <c r="A128" s="120" t="str">
        <v>DOC_API_IT89</v>
      </c>
      <c r="B128" s="120" t="str">
        <v>Verify an administrator reads a deactivated user's library and every read is audited.</v>
      </c>
      <c r="C128" s="120" t="str">
        <v>1. As quantri, GET /api/users/&lt;deactivated user&gt;/library?folderId=&lt;Hồ sơ&gt;.
2. GET /api/users/&lt;user&gt;/library/documents/&lt;Bàn giao.pdf&gt;/content.</v>
      </c>
      <c r="D128" s="120" t="str">
        <v>1. Both return HTTP 200 with the folder content and the file.
2. Each read writes an audit entry.</v>
      </c>
      <c r="E128" s="120" t="str">
        <v>1. Backend is running.
2. A deactivated user owns the folder "Hồ sơ" with "Bàn giao.pdf"; signed in as quantri@trustcabinet.local.</v>
      </c>
      <c r="F128" s="121" t="str">
        <v>Pending</v>
      </c>
      <c r="G128" s="122" t="str"/>
      <c r="H128" s="121" t="str"/>
      <c r="I128" s="121" t="str"/>
      <c r="J128" s="122" t="str"/>
      <c r="K128" s="121" t="str"/>
      <c r="L128" s="121" t="str"/>
      <c r="M128" s="123" t="str"/>
      <c r="N128" s="121" t="str"/>
      <c r="O128" s="124" t="str"/>
      <c r="P128" s="125"/>
      <c r="Q128" s="112"/>
      <c r="R128" s="112"/>
      <c r="S128" s="112"/>
      <c r="T128" s="112"/>
      <c r="U128" s="112"/>
      <c r="V128" s="112"/>
      <c r="W128" s="112"/>
      <c r="X128" s="112"/>
      <c r="Y128" s="112"/>
    </row>
    <row r="129" ht="80.5" customHeight="1">
      <c r="A129" s="120" t="str">
        <v>DOC_API_IT90</v>
      </c>
      <c r="B129" s="120" t="str">
        <v>Verify nobody reads an active user's library and a non-administrator is refused.</v>
      </c>
      <c r="C129" s="120" t="str">
        <v>1. As quantri, GET the library and a document of an active user.
2. As the Member, GET a deactivated user's library.</v>
      </c>
      <c r="D129" s="120" t="str">
        <v>1. The administrator gets HTTP 404 with code "MSG175" for an active user.
2. The Member is refused (HTTP 403).</v>
      </c>
      <c r="E129" s="120" t="str">
        <v>1. Backend is running.
2. An active user with a.pdf and a deactivated user exist.</v>
      </c>
      <c r="F129" s="121" t="str">
        <v>Pending</v>
      </c>
      <c r="G129" s="122" t="str"/>
      <c r="H129" s="121" t="str"/>
      <c r="I129" s="121" t="str"/>
      <c r="J129" s="122" t="str"/>
      <c r="K129" s="121" t="str"/>
      <c r="L129" s="121" t="str"/>
      <c r="M129" s="123" t="str"/>
      <c r="N129" s="121" t="str"/>
      <c r="O129" s="124" t="str"/>
      <c r="P129" s="125"/>
      <c r="Q129" s="112"/>
      <c r="R129" s="112"/>
      <c r="S129" s="112"/>
      <c r="T129" s="112"/>
      <c r="U129" s="112"/>
      <c r="V129" s="112"/>
      <c r="W129" s="112"/>
      <c r="X129" s="112"/>
      <c r="Y129" s="112"/>
    </row>
    <row r="130" ht="95.0" customHeight="1">
      <c r="A130" s="120" t="str">
        <v>DOC_API_IT91</v>
      </c>
      <c r="B130" s="120" t="str">
        <v>Verify an administrator does not see files or folders of a Secret meeting, even one they can view.</v>
      </c>
      <c r="C130" s="120" t="str">
        <v>1. As the Secretary of a Secret meeting, upload "Mật.pdf".
2. Deactivate the Secretary.
3. As quantri (also a participant or not), GET the Secretary's library.</v>
      </c>
      <c r="D130" s="120" t="str">
        <v>1. The meeting folder and "Mật.pdf" are not shown to the administrator.
2. Other library content is shown.</v>
      </c>
      <c r="E130" s="120" t="str">
        <v>1. Backend is running.
2. A Secret meeting with its Secretary.</v>
      </c>
      <c r="F130" s="121" t="str">
        <v>Pending</v>
      </c>
      <c r="G130" s="122" t="str"/>
      <c r="H130" s="121" t="str"/>
      <c r="I130" s="121" t="str"/>
      <c r="J130" s="122" t="str"/>
      <c r="K130" s="121" t="str"/>
      <c r="L130" s="121" t="str"/>
      <c r="M130" s="123" t="str"/>
      <c r="N130" s="121" t="str"/>
      <c r="O130" s="124" t="str"/>
      <c r="P130" s="125"/>
      <c r="Q130" s="112"/>
      <c r="R130" s="112"/>
      <c r="S130" s="112"/>
      <c r="T130" s="112"/>
      <c r="U130" s="112"/>
      <c r="V130" s="112"/>
      <c r="W130" s="112"/>
      <c r="X130" s="112"/>
      <c r="Y130" s="112"/>
    </row>
  </sheetData>
  <mergeCells count="32">
    <mergeCell ref="B2:E2"/>
    <mergeCell ref="B3:E3"/>
    <mergeCell ref="B4:E4"/>
    <mergeCell ref="A11:O11"/>
    <mergeCell ref="A36:O36"/>
    <mergeCell ref="A42:O42"/>
    <mergeCell ref="A51:O51"/>
    <mergeCell ref="A53:O53"/>
    <mergeCell ref="A57:O57"/>
    <mergeCell ref="A61:O61"/>
    <mergeCell ref="A65:O65"/>
    <mergeCell ref="A67:O67"/>
    <mergeCell ref="A70:O70"/>
    <mergeCell ref="A73:O73"/>
    <mergeCell ref="A75:O75"/>
    <mergeCell ref="A77:O77"/>
    <mergeCell ref="A79:O79"/>
    <mergeCell ref="A87:O87"/>
    <mergeCell ref="A90:O90"/>
    <mergeCell ref="A95:O95"/>
    <mergeCell ref="A98:O98"/>
    <mergeCell ref="A100:O100"/>
    <mergeCell ref="A102:O102"/>
    <mergeCell ref="A104:O104"/>
    <mergeCell ref="A112:O112"/>
    <mergeCell ref="A115:O115"/>
    <mergeCell ref="A117:O117"/>
    <mergeCell ref="A119:O119"/>
    <mergeCell ref="A121:O121"/>
    <mergeCell ref="A123:O123"/>
    <mergeCell ref="A125:O125"/>
    <mergeCell ref="A127:O127"/>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Email</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email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4</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COUNTIF(F12:F15,"Passed")</f>
        <v>0</v>
      </c>
      <c r="C6" s="114" t="n">
        <f>COUNTIF(F12:F15,"Failed")</f>
        <v>0</v>
      </c>
      <c r="D6" s="114" t="n">
        <f>B4-B6-C6-E6</f>
        <v>4</v>
      </c>
      <c r="E6" s="114" t="n">
        <f>COUNTIF(F12:F15,"Skipped")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COUNTIF(I12:I15,"Passed")</f>
        <v>0</v>
      </c>
      <c r="C7" s="114" t="n">
        <f>COUNTIF(I12:I15,"Failed")</f>
        <v>0</v>
      </c>
      <c r="D7" s="114" t="n">
        <f>B4-B7-C7-E7</f>
        <v>4</v>
      </c>
      <c r="E7" s="114" t="n">
        <f>COUNTIF(I12:I15,"Skipped")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COUNTIF(L12:L15,"Passed")</f>
        <v>0</v>
      </c>
      <c r="C8" s="114" t="n">
        <f>COUNTIF(L12:L15,"Failed")</f>
        <v>0</v>
      </c>
      <c r="D8" s="114" t="n">
        <f>B4-B8-C8-E8</f>
        <v>4</v>
      </c>
      <c r="E8" s="114" t="n">
        <f>COUNTIF(L12:L15,"Skipped")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POST /api/email/resend/webhook</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09.5" customHeight="1">
      <c r="A12" s="120" t="str">
        <v>SYS_API_IT01</v>
      </c>
      <c r="B12" s="120" t="str">
        <v>Verify the email webhook returns 503 when no webhook secret is configured.</v>
      </c>
      <c r="C12" s="120" t="str">
        <v>1. Send POST request to /api/email/resend/webhook.
2. Request headers: Content-Type: application/json; None (no authentication).
3. Query parameters: None.
4. Request JSON body: {}.</v>
      </c>
      <c r="D12" s="120" t="str">
        <v>1. HTTP 503 Service Unavailable.</v>
      </c>
      <c r="E12" s="120" t="str">
        <v>1. Backend is running.
2. Email:Resend:WebhookSecret is not set.</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109.5" customHeight="1">
      <c r="A13" s="120" t="str">
        <v>SYS_API_IT02</v>
      </c>
      <c r="B13" s="120" t="str">
        <v>Verify an unsigned webhook request returns 401 without needing a sign-in.</v>
      </c>
      <c r="C13" s="120" t="str">
        <v>1. Send POST request to /api/email/resend/webhook.
2. Request headers: Content-Type: application/json; None (no authentication).
3. Query parameters: None.
4. Request JSON body: {}.</v>
      </c>
      <c r="D13" s="120" t="str">
        <v>1. HTTP 401 Unauthorized.
2. No email status changes.</v>
      </c>
      <c r="E13" s="120" t="str">
        <v>1. Backend is running.
2. Email:Resend:WebhookSecret is set.</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153.0" customHeight="1">
      <c r="A14" s="120" t="str">
        <v>SYS_API_IT03</v>
      </c>
      <c r="B14" s="120" t="str">
        <v>Verify the raw body and the svix headers reach the receiver unchanged.</v>
      </c>
      <c r="C14" s="120" t="str">
        <v>1. POST /api/email/resend/webhook with Content-Type: application/json, headers svix-id: msg_1, svix-timestamp: 1793088000, svix-signature: v1,&lt;valid signature&gt; and body { "type" : "email.delivered" }.
2. Repeat with an event type the system ignores, then with a malformed event.</v>
      </c>
      <c r="D14" s="120" t="str">
        <v>1. A recorded event returns HTTP 200 and the email is marked delivered.
2. An ignored event returns HTTP 200 and changes nothing.
3. A malformed event returns HTTP 400.
4. The body is passed on byte for byte (spaces kept).</v>
      </c>
      <c r="E14" s="120" t="str">
        <v>1. Backend is running.
2. The webhook secret is set and a sent email exists.</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60" customHeight="1">
      <c r="A15" s="120" t="str">
        <v>SYS_API_IT04</v>
      </c>
      <c r="B15" s="120" t="str">
        <v>Verify a receiver error returns 500 so Resend retries.</v>
      </c>
      <c r="C15" s="120" t="str">
        <v>1. Stop PostgreSQL.
2. Send a correctly signed webhook.</v>
      </c>
      <c r="D15" s="120" t="str">
        <v>1. HTTP 500 Internal Server Error, so the provider sends it again later.</v>
      </c>
      <c r="E15" s="120" t="str">
        <v>1. Backend is running.
2. The webhook secret is set.</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sheetData>
  <mergeCells count="4">
    <mergeCell ref="B2:E2"/>
    <mergeCell ref="B3:E3"/>
    <mergeCell ref="B4:E4"/>
    <mergeCell ref="A11:O11"/>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Meetings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meetings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94</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COUNTIF(F12:F115,"Passed")</f>
        <v>0</v>
      </c>
      <c r="C6" s="114" t="n">
        <f>COUNTIF(F12:F115,"Failed")</f>
        <v>0</v>
      </c>
      <c r="D6" s="114" t="n">
        <f>B4-B6-C6-E6</f>
        <v>94</v>
      </c>
      <c r="E6" s="114" t="n">
        <f>COUNTIF(F12:F115,"Skipped")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COUNTIF(I12:I115,"Passed")</f>
        <v>0</v>
      </c>
      <c r="C7" s="114" t="n">
        <f>COUNTIF(I12:I115,"Failed")</f>
        <v>0</v>
      </c>
      <c r="D7" s="114" t="n">
        <f>B4-B7-C7-E7</f>
        <v>94</v>
      </c>
      <c r="E7" s="114" t="n">
        <f>COUNTIF(I12:I115,"Skipped")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COUNTIF(L12:L115,"Passed")</f>
        <v>0</v>
      </c>
      <c r="C8" s="114" t="n">
        <f>COUNTIF(L12:L115,"Failed")</f>
        <v>0</v>
      </c>
      <c r="D8" s="114" t="n">
        <f>B4-B8-C8-E8</f>
        <v>94</v>
      </c>
      <c r="E8" s="114" t="n">
        <f>COUNTIF(L12:L115,"Skipped")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GET /api/meetings</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09.5" customHeight="1">
      <c r="A12" s="120" t="str">
        <v>MEET_API_IT01</v>
      </c>
      <c r="B12" s="120" t="str">
        <v>Verify GET /api/meetings requires authentication and an active account.</v>
      </c>
      <c r="C12" s="120" t="str">
        <v>1. Send GET request to /api/meetings without authentication.
2. Send GET request to /api/meetings with the access token of an account that has since been deactivated.</v>
      </c>
      <c r="D12" s="120" t="str">
        <v>1. The anonymous request returns HTTP 401 Unauthorized.
2. The deactivated account's request returns HTTP 403 Forbidden.</v>
      </c>
      <c r="E12" s="120" t="str">
        <v>1. Backend is running.
2. A member account signed in, kept the access token and was then deactivated.</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211.0" customHeight="1">
      <c r="A13" s="120" t="str">
        <v>MEET_API_IT02</v>
      </c>
      <c r="B13" s="120" t="str">
        <v>Verify GET /api/meetings returns only meetings the caller may see, with paging metadata.</v>
      </c>
      <c r="C13" s="120" t="str">
        <v>1. Send GET request to /api/meetings?status=Draft&amp;q=Giao&amp;page=1&amp;pageSize=1&amp;sortBy=createdAt&amp;sortDir=asc.
2. Request headers: Authorization: Bearer &lt;access token of thuky@trustcabinet.local&gt; (Secretary, MeetingCreator).
3. Query parameters: status=Draft; q=Giao; page=1; pageSize=1; sortBy=createdAt; sortDir=asc.
4. Request body: None (GET request).</v>
      </c>
      <c r="D13" s="120" t="str">
        <v>1. HTTP 200 OK response.
2. page 1, pageSize 1, totalCount 1, totalPages 1.
3. items holds exactly the organizer's own Draft "Giao ban % tuần".
4. The other creator's meeting with the same title is not returned.</v>
      </c>
      <c r="E13" s="120" t="str">
        <v>1. Backend is running.
2. thuky@trustcabinet.local owns a Draft titled "Giao ban % tuần".
3. Another creator owns a Draft with the same title that thuky is not related to.</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95.0" customHeight="1">
      <c r="A14" s="120" t="str">
        <v>MEET_API_IT03</v>
      </c>
      <c r="B14" s="120" t="str">
        <v>Verify GET /api/meetings returns an empty page for no match or a page beyond the end.</v>
      </c>
      <c r="C14" s="120" t="str">
        <v>1. Send GET request to /api/meetings?status=Ended as thuky@trustcabinet.local.
2. Send GET request to /api/meetings?page=99 as the same user.</v>
      </c>
      <c r="D14" s="120" t="str">
        <v>1. Both requests return HTTP 200 OK.
2. items is empty; for the first request totalCount and totalPages are 0.</v>
      </c>
      <c r="E14" s="120" t="str">
        <v>1. Backend is running.
2. thuky@trustcabinet.local has one Draft meeting and no Ended meeting.</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153.0" customHeight="1">
      <c r="A15" s="120" t="str">
        <v>MEET_API_IT04</v>
      </c>
      <c r="B15" s="120" t="str">
        <v>Verify GET /api/meetings returns MSG32 with field errors for an invalid query.</v>
      </c>
      <c r="C15" s="120" t="str">
        <v>1. Send GET request to /api/meetings?status=Wrong&amp;page=0.
2. Request headers: Authorization: Bearer &lt;access token of thuky@trustcabinet.local&gt; (Secretary, MeetingCreator).
3. Query parameters: status=Wrong; page=0.
4. Request body: None (GET request).</v>
      </c>
      <c r="D15" s="120" t="str">
        <v>1. HTTP 400 Bad Request response.
2. Response JSON body: code "MSG32", message "Tiêu chí danh sách cuộc họp không hợp lệ.".
3. errors has status and page.</v>
      </c>
      <c r="E15" s="120" t="str">
        <v>1. Backend is running.
2. Signed in as thuky@trustcabinet.local.</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138.5" customHeight="1">
      <c r="A16" s="120" t="str">
        <v>MEET_API_IT05</v>
      </c>
      <c r="B16" s="120" t="str">
        <v>Verify GET /api/meetings returns MSG38 with 500 when the database read fails.</v>
      </c>
      <c r="C16" s="120" t="str">
        <v>1. Send GET request to /api/meetings.
2. Request headers: Authorization: Bearer &lt;access token of thuky@trustcabinet.local&gt; (Secretary, MeetingCreator).
3. Query parameters: None.
4. Request body: None (GET request).</v>
      </c>
      <c r="D16" s="120" t="str">
        <v>1. HTTP 500 Internal Server Error response.
2. Response JSON body: code "MSG38", message "Không thể tải danh sách cuộc họp. Vui lòng thử lại.".</v>
      </c>
      <c r="E16" s="120" t="str">
        <v>1. Backend is running.
2. Signed in as thuky@trustcabinet.local.
3. The PostgreSQL container is stopped after sign-in.</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138.5" customHeight="1">
      <c r="A17" s="120" t="str">
        <v>MEET_API_IT06</v>
      </c>
      <c r="B17" s="120" t="str">
        <v>Verify GET /api/meetings returns MSG38 when the account check fails.</v>
      </c>
      <c r="C17" s="120" t="str">
        <v>1. Send GET request to /api/meetings.
2. Request headers: Authorization: Bearer &lt;access token of thuky@trustcabinet.local&gt; (Secretary, MeetingCreator).
3. Query parameters: None.
4. Request body: None (GET request).</v>
      </c>
      <c r="D17" s="120" t="str">
        <v>1. HTTP 500 Internal Server Error response with code "MSG38".
2. No meeting list is read.</v>
      </c>
      <c r="E17" s="120" t="str">
        <v>1. Backend is running.
2. Signed in as thuky@trustcabinet.local.
3. PostgreSQL becomes unreachable before the request (stop the container).</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24" customHeight="1">
      <c r="A18" s="120" t="str">
        <v>POST /api/meetings</v>
      </c>
      <c r="B18" s="120"/>
      <c r="C18" s="120"/>
      <c r="D18" s="120"/>
      <c r="E18" s="120"/>
      <c r="F18" s="121"/>
      <c r="G18" s="122"/>
      <c r="H18" s="121"/>
      <c r="I18" s="121"/>
      <c r="J18" s="122"/>
      <c r="K18" s="121"/>
      <c r="L18" s="121"/>
      <c r="M18" s="123"/>
      <c r="N18" s="121"/>
      <c r="O18" s="124"/>
      <c r="P18" s="125"/>
      <c r="Q18" s="112"/>
      <c r="R18" s="112"/>
      <c r="S18" s="112"/>
      <c r="T18" s="112"/>
      <c r="U18" s="112"/>
      <c r="V18" s="112"/>
      <c r="W18" s="112"/>
      <c r="X18" s="112"/>
      <c r="Y18" s="112"/>
    </row>
    <row r="19" ht="312.5" customHeight="1">
      <c r="A19" s="120" t="str">
        <v>MEET_API_IT07</v>
      </c>
      <c r="B19" s="120" t="str">
        <v>Verify POST /api/meetings creates a Draft and returns a Location that GET can read.</v>
      </c>
      <c r="C19" s="120" t="str">
        <v>1. Send POST request to /api/meetings.
2. Request headers: Content-Type: application/json; Authorization: Bearer &lt;access token of thuky@trustcabinet.local&gt; (Secretary, MeetingCreator).
3. Query parameters: None.
4. Request JSON body: { "title": "Giao ban tuần", "plannedStartTime": "&lt;tomorrow 09:00+07:00&gt;", "plannedEndTime": "&lt;tomorrow 10:00+07:00&gt;", "mode": "InPerson", "location": "Phòng họp A", "sensitivity": "Internal", "description": "Kế hoạch tuần.", "participants": [{ "userId": "&lt;id of chutoa&gt;", "role": "Chair" }] }.
5. Send GET request to the URL in the Location header.</v>
      </c>
      <c r="D19" s="120" t="str">
        <v>1. HTTP 201 Created response with Location /api/meetings/&lt;new id&gt;.
2. Response JSON body: code "MSG29", message "Tạo cuộc họp thành công.", meeting.status "Draft", organizer is thuky.
3. GET on the Location returns HTTP 200 OK with the same meeting.</v>
      </c>
      <c r="E19" s="120" t="str">
        <v>1. Backend is running.
2. Signed in as thuky@trustcabinet.local (MeetingCreator).
3. chutoa@trustcabinet.local is active.</v>
      </c>
      <c r="F19" s="121" t="str">
        <v>Pending</v>
      </c>
      <c r="G19" s="122" t="str"/>
      <c r="H19" s="121" t="str"/>
      <c r="I19" s="121" t="str"/>
      <c r="J19" s="122" t="str"/>
      <c r="K19" s="121" t="str"/>
      <c r="L19" s="121" t="str"/>
      <c r="M19" s="123" t="str"/>
      <c r="N19" s="121" t="str"/>
      <c r="O19" s="124" t="str"/>
      <c r="P19" s="125"/>
      <c r="Q19" s="112"/>
      <c r="R19" s="112"/>
      <c r="S19" s="112"/>
      <c r="T19" s="112"/>
      <c r="U19" s="112"/>
      <c r="V19" s="112"/>
      <c r="W19" s="112"/>
      <c r="X19" s="112"/>
      <c r="Y19" s="112"/>
    </row>
    <row r="20" ht="182.0" customHeight="1">
      <c r="A20" s="120" t="str">
        <v>MEET_API_IT08</v>
      </c>
      <c r="B20" s="120" t="str">
        <v>Verify creating a meeting needs participants (MSG277) and the roster cannot be changed through PUT.</v>
      </c>
      <c r="C20" s="120" t="str">
        <v>1. Send POST request to /api/meetings as thuky with a valid body but "participants": [].
2. Send it again with "participants": [{ "userId": "&lt;id of chutoa&gt;", "role": "Chair" }].
3. Send PUT request to /api/meetings/&lt;new id&gt; with the same body including participants.</v>
      </c>
      <c r="D20" s="120" t="str">
        <v>1. The first request returns HTTP 400 Bad Request with code "MSG277" and an error on participants; no meeting is created.
2. The second returns HTTP 201 Created; chair is chutoa, secretaries is empty.
3. The PUT returns HTTP 400 Bad Request with code "MSG31" (participants are not editable here).</v>
      </c>
      <c r="E20" s="120" t="str">
        <v>1. Backend is running.
2. Signed in as thuky@trustcabinet.local (MeetingCreator).</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240.0" customHeight="1">
      <c r="A21" s="120" t="str">
        <v>MEET_API_IT09</v>
      </c>
      <c r="B21" s="120" t="str">
        <v>Verify POST /api/meetings returns every validation error without saving.</v>
      </c>
      <c r="C21" s="120" t="str">
        <v>1. Send POST request to /api/meetings.
2. Request headers: Content-Type: application/json; Authorization: Bearer &lt;access token of thuky@trustcabinet.local&gt; (Secretary, MeetingCreator).
3. Query parameters: None.
4. Request JSON body: { "title": " ", "mode": "Wrong", "plannedStartTime": "&lt;tomorrow 09:00+07:00&gt;", "plannedEndTime": "&lt;tomorrow 10:00+07:00&gt;", "participants": [{ "userId": "&lt;id of chutoa&gt;", "role": "Chair" }] }.</v>
      </c>
      <c r="D21" s="120" t="str">
        <v>1. HTTP 400 Bad Request response.
2. Response JSON body: code "MSG31", message "Thông tin cuộc họp không hợp lệ.".
3. errors has title and mode.
4. No meeting is created.</v>
      </c>
      <c r="E21" s="120" t="str">
        <v>1. Backend is running.
2. Signed in as thuky@trustcabinet.local (MeetingCreator).</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153.0" customHeight="1">
      <c r="A22" s="120" t="str">
        <v>MEET_API_IT10</v>
      </c>
      <c r="B22" s="120" t="str">
        <v>Verify POST /api/meetings requires the planned start and end time.</v>
      </c>
      <c r="C22" s="120" t="str">
        <v>1. Send POST request to /api/meetings.
2. Request headers: Content-Type: application/json; Authorization: Bearer &lt;access token of thuky@trustcabinet.local&gt; (Secretary, MeetingCreator).
3. Query parameters: None.
4. Request JSON body: { "title": "Giao ban tuần" }.</v>
      </c>
      <c r="D22" s="120" t="str">
        <v>1. HTTP 400 Bad Request response with code "MSG31".
2. errors has plannedStartTime and plannedEndTime.
3. No meeting is created.</v>
      </c>
      <c r="E22" s="120" t="str">
        <v>1. Backend is running.
2. Signed in as thuky@trustcabinet.local (MeetingCreator).</v>
      </c>
      <c r="F22" s="121" t="str">
        <v>Pending</v>
      </c>
      <c r="G22" s="122" t="str"/>
      <c r="H22" s="121" t="str"/>
      <c r="I22" s="121" t="str"/>
      <c r="J22" s="122" t="str"/>
      <c r="K22" s="121" t="str"/>
      <c r="L22" s="121" t="str"/>
      <c r="M22" s="123" t="str"/>
      <c r="N22" s="121" t="str"/>
      <c r="O22" s="124" t="str"/>
      <c r="P22" s="125"/>
      <c r="Q22" s="112"/>
      <c r="R22" s="112"/>
      <c r="S22" s="112"/>
      <c r="T22" s="112"/>
      <c r="U22" s="112"/>
      <c r="V22" s="112"/>
      <c r="W22" s="112"/>
      <c r="X22" s="112"/>
      <c r="Y22" s="112"/>
    </row>
    <row r="23" ht="124.0" customHeight="1">
      <c r="A23" s="120" t="str">
        <v>MEET_API_IT11</v>
      </c>
      <c r="B23" s="120" t="str">
        <v>Verify POST /api/meetings rejects a start in the past and an end not after the start.</v>
      </c>
      <c r="C23" s="120" t="str">
        <v>1. Send POST request to /api/meetings as thuky with plannedStartTime 2 hours ago and plannedEndTime 1 hour ago.
2. Send POST request with plannedStartTime and plannedEndTime both &lt;tomorrow 09:00+07:00&gt;.</v>
      </c>
      <c r="D23" s="120" t="str">
        <v>1. Both requests return HTTP 400 Bad Request with code "MSG31".
2. The first has errors.plannedStartTime "Thời gian bắt đầu phải sau thời điểm hiện tại.".
3. The second has an error on plannedEndTime.
4. No meeting is created.</v>
      </c>
      <c r="E23" s="120" t="str">
        <v>1. Backend is running.
2. Signed in as thuky@trustcabinet.local (MeetingCreator).</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240.0" customHeight="1">
      <c r="A24" s="120" t="str">
        <v>MEET_API_IT12</v>
      </c>
      <c r="B24" s="120" t="str">
        <v>Verify POST /api/meetings fills the meeting-level defaults.</v>
      </c>
      <c r="C24" s="120" t="str">
        <v>1. Send POST request to /api/meetings.
2. Request headers: Content-Type: application/json; Authorization: Bearer &lt;access token of thuky@trustcabinet.local&gt; (Secretary, MeetingCreator).
3. Query parameters: None.
4. Request JSON body: { "title": "Giao ban tuần", "plannedStartTime": "&lt;tomorrow 09:00+07:00&gt;", "plannedEndTime": "&lt;tomorrow 10:30+07:00&gt;", "onlineLink": " ", "participants": [{ "userId": "&lt;id of thuky&gt;", "role": "Chair" }] }.</v>
      </c>
      <c r="D24" s="120" t="str">
        <v>1. HTTP 201 Created response.
2. meeting.mode is "InPerson" and meeting.sensitivity is "Normal".
3. The blank onlineLink is stored as empty and the 90-minute schedule is returned as sent.</v>
      </c>
      <c r="E24" s="120" t="str">
        <v>1. Backend is running.
2. Signed in as thuky@trustcabinet.local (MeetingCreator).</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row r="25" ht="196.5" customHeight="1">
      <c r="A25" s="120" t="str">
        <v>MEET_API_IT13</v>
      </c>
      <c r="B25" s="120" t="str">
        <v>Verify POST /api/meetings rejects an online link longer than 1000 characters.</v>
      </c>
      <c r="C25" s="120" t="str">
        <v>1. Send POST request to /api/meetings.
2. Request headers: Content-Type: application/json; Authorization: Bearer &lt;access token of thuky@trustcabinet.local&gt; (Secretary, MeetingCreator).
3. Query parameters: None.
4. Request JSON body: { ...valid meeting..., "mode": "Online", "onlineLink": "https://meet.example.com/&lt;more than 1000 characters&gt;" }.</v>
      </c>
      <c r="D25" s="120" t="str">
        <v>1. HTTP 400 Bad Request response with an error on onlineLink.</v>
      </c>
      <c r="E25" s="120" t="str">
        <v>1. Backend is running.
2. Signed in as thuky@trustcabinet.local (MeetingCreator).</v>
      </c>
      <c r="F25" s="121" t="str">
        <v>Pending</v>
      </c>
      <c r="G25" s="122" t="str"/>
      <c r="H25" s="121" t="str"/>
      <c r="I25" s="121" t="str"/>
      <c r="J25" s="122" t="str"/>
      <c r="K25" s="121" t="str"/>
      <c r="L25" s="121" t="str"/>
      <c r="M25" s="123" t="str"/>
      <c r="N25" s="121" t="str"/>
      <c r="O25" s="124" t="str"/>
      <c r="P25" s="125"/>
      <c r="Q25" s="112"/>
      <c r="R25" s="112"/>
      <c r="S25" s="112"/>
      <c r="T25" s="112"/>
      <c r="U25" s="112"/>
      <c r="V25" s="112"/>
      <c r="W25" s="112"/>
      <c r="X25" s="112"/>
      <c r="Y25" s="112"/>
    </row>
    <row r="26" ht="167.5" customHeight="1">
      <c r="A26" s="120" t="str">
        <v>MEET_API_IT14</v>
      </c>
      <c r="B26" s="120" t="str">
        <v>Verify an approver sent by the client when creating a meeting is ignored.</v>
      </c>
      <c r="C26" s="120" t="str">
        <v>1. Send POST request to /api/meetings.
2. Request headers: Content-Type: application/json; Authorization: Bearer &lt;access token of thuky@trustcabinet.local&gt; (Secretary, MeetingCreator).
3. Query parameters: None.
4. Request JSON body: { ...valid meeting..., "assignedApproverId": "&lt;id of chutoa&gt;" }.</v>
      </c>
      <c r="D26" s="120" t="str">
        <v>1. HTTP 201 Created response.
2. meeting.assignedApproverId is null; an approver is chosen only when submitting.</v>
      </c>
      <c r="E26" s="120" t="str">
        <v>1. Backend is running.
2. Signed in as thuky@trustcabinet.local (MeetingCreator).</v>
      </c>
      <c r="F26" s="121" t="str">
        <v>Pending</v>
      </c>
      <c r="G26" s="122" t="str"/>
      <c r="H26" s="121" t="str"/>
      <c r="I26" s="121" t="str"/>
      <c r="J26" s="122" t="str"/>
      <c r="K26" s="121" t="str"/>
      <c r="L26" s="121" t="str"/>
      <c r="M26" s="123" t="str"/>
      <c r="N26" s="121" t="str"/>
      <c r="O26" s="124" t="str"/>
      <c r="P26" s="125"/>
      <c r="Q26" s="112"/>
      <c r="R26" s="112"/>
      <c r="S26" s="112"/>
      <c r="T26" s="112"/>
      <c r="U26" s="112"/>
      <c r="V26" s="112"/>
      <c r="W26" s="112"/>
      <c r="X26" s="112"/>
      <c r="Y26" s="112"/>
    </row>
    <row r="27" ht="153.0" customHeight="1">
      <c r="A27" s="120" t="str">
        <v>MEET_API_IT15</v>
      </c>
      <c r="B27" s="120" t="str">
        <v>Verify POST /api/meetings returns MSG35 with 500 when it cannot be saved.</v>
      </c>
      <c r="C27" s="120" t="str">
        <v>1. Send POST request to /api/meetings.
2. Request headers: Content-Type: application/json; Authorization: Bearer &lt;access token of thuky@trustcabinet.local&gt; (Secretary, MeetingCreator).
3. Query parameters: None.
4. Request JSON body: { ...valid meeting... }.</v>
      </c>
      <c r="D27" s="120" t="str">
        <v>1. HTTP 500 Internal Server Error response.
2. Response JSON body: code "MSG35", message "Không thể tạo cuộc họp. Vui lòng thử lại.".
3. No meeting is created.</v>
      </c>
      <c r="E27" s="120" t="str">
        <v>1. Backend is running.
2. Signed in as thuky@trustcabinet.local (MeetingCreator).
3. The PostgreSQL container is stopped after sign-in.</v>
      </c>
      <c r="F27" s="121" t="str">
        <v>Pending</v>
      </c>
      <c r="G27" s="122" t="str"/>
      <c r="H27" s="121" t="str"/>
      <c r="I27" s="121" t="str"/>
      <c r="J27" s="122" t="str"/>
      <c r="K27" s="121" t="str"/>
      <c r="L27" s="121" t="str"/>
      <c r="M27" s="123" t="str"/>
      <c r="N27" s="121" t="str"/>
      <c r="O27" s="124" t="str"/>
      <c r="P27" s="125"/>
      <c r="Q27" s="112"/>
      <c r="R27" s="112"/>
      <c r="S27" s="112"/>
      <c r="T27" s="112"/>
      <c r="U27" s="112"/>
      <c r="V27" s="112"/>
      <c r="W27" s="112"/>
      <c r="X27" s="112"/>
      <c r="Y27" s="112"/>
    </row>
    <row r="28" ht="138.5" customHeight="1">
      <c r="A28" s="120" t="str">
        <v>MEET_API_IT16</v>
      </c>
      <c r="B28" s="120" t="str">
        <v>Verify anonymous callers and callers without MeetingCreator are stopped by the gate.</v>
      </c>
      <c r="C28" s="120" t="str">
        <v>1. Send GET request to /api/meetings/&lt;any id&gt; without authentication.
2. As quantri@trustcabinet.local (AdminUsers only), send POST /api/meetings with a valid body.
3. As the same user, send GET /api/meetings/approvers.</v>
      </c>
      <c r="D28" s="120" t="str">
        <v>1. The anonymous request returns HTTP 401 Unauthorized.
2. The POST and the approvers request return HTTP 403 Forbidden.
3. No meeting is created.</v>
      </c>
      <c r="E28" s="120" t="str">
        <v>1. Backend is running.
2. quantri@trustcabinet.local has AdminUsers but not MeetingCreator.</v>
      </c>
      <c r="F28" s="121" t="str">
        <v>Pending</v>
      </c>
      <c r="G28" s="122" t="str"/>
      <c r="H28" s="121" t="str"/>
      <c r="I28" s="121" t="str"/>
      <c r="J28" s="122" t="str"/>
      <c r="K28" s="121" t="str"/>
      <c r="L28" s="121" t="str"/>
      <c r="M28" s="123" t="str"/>
      <c r="N28" s="121" t="str"/>
      <c r="O28" s="124" t="str"/>
      <c r="P28" s="125"/>
      <c r="Q28" s="112"/>
      <c r="R28" s="112"/>
      <c r="S28" s="112"/>
      <c r="T28" s="112"/>
      <c r="U28" s="112"/>
      <c r="V28" s="112"/>
      <c r="W28" s="112"/>
      <c r="X28" s="112"/>
      <c r="Y28" s="112"/>
    </row>
    <row r="29" ht="24" customHeight="1">
      <c r="A29" s="120" t="str">
        <v>GET /api/meetings/approvers</v>
      </c>
      <c r="B29" s="120"/>
      <c r="C29" s="120"/>
      <c r="D29" s="120"/>
      <c r="E29" s="120"/>
      <c r="F29" s="121"/>
      <c r="G29" s="122"/>
      <c r="H29" s="121"/>
      <c r="I29" s="121"/>
      <c r="J29" s="122"/>
      <c r="K29" s="121"/>
      <c r="L29" s="121"/>
      <c r="M29" s="123"/>
      <c r="N29" s="121"/>
      <c r="O29" s="124"/>
      <c r="P29" s="125"/>
      <c r="Q29" s="112"/>
      <c r="R29" s="112"/>
      <c r="S29" s="112"/>
      <c r="T29" s="112"/>
      <c r="U29" s="112"/>
      <c r="V29" s="112"/>
      <c r="W29" s="112"/>
      <c r="X29" s="112"/>
      <c r="Y29" s="112"/>
    </row>
    <row r="30" ht="138.5" customHeight="1">
      <c r="A30" s="120" t="str">
        <v>MEET_API_IT17</v>
      </c>
      <c r="B30" s="120" t="str">
        <v>Verify GET /api/meetings/approvers lists the accounts that may approve.</v>
      </c>
      <c r="C30" s="120" t="str">
        <v>1. Send GET request to /api/meetings/approvers.
2. Request headers: Authorization: Bearer &lt;access token of thuky@trustcabinet.local&gt; (Secretary, MeetingCreator).
3. Query parameters: None.
4. Request body: None (GET request).</v>
      </c>
      <c r="D30" s="120" t="str">
        <v>1. HTTP 200 OK response.
2. The body is a list of { id, fullName }, sorted by name, for example "An Nguyễn" then "Bình Trần".</v>
      </c>
      <c r="E30" s="120" t="str">
        <v>1. Backend is running.
2. Signed in as thuky@trustcabinet.local (MeetingCreator).
3. Two active accounts "An Nguyễn" and "Bình Trần" have MeetingApprover.</v>
      </c>
      <c r="F30" s="121" t="str">
        <v>Pending</v>
      </c>
      <c r="G30" s="122" t="str"/>
      <c r="H30" s="121" t="str"/>
      <c r="I30" s="121" t="str"/>
      <c r="J30" s="122" t="str"/>
      <c r="K30" s="121" t="str"/>
      <c r="L30" s="121" t="str"/>
      <c r="M30" s="123" t="str"/>
      <c r="N30" s="121" t="str"/>
      <c r="O30" s="124" t="str"/>
      <c r="P30" s="125"/>
      <c r="Q30" s="112"/>
      <c r="R30" s="112"/>
      <c r="S30" s="112"/>
      <c r="T30" s="112"/>
      <c r="U30" s="112"/>
      <c r="V30" s="112"/>
      <c r="W30" s="112"/>
      <c r="X30" s="112"/>
      <c r="Y30" s="112"/>
    </row>
    <row r="31" ht="109.5" customHeight="1">
      <c r="A31" s="120" t="str">
        <v>MEET_API_IT18</v>
      </c>
      <c r="B31" s="120" t="str">
        <v>Verify the approver list never offers the caller, even when the caller can approve.</v>
      </c>
      <c r="C31" s="120" t="str">
        <v>1. Give thuky's role MeetingApprover as well.
2. Send GET request to /api/meetings/approvers as thuky, with and without another approver ("An Nguyễn") in the system.</v>
      </c>
      <c r="D31" s="120" t="str">
        <v>1. HTTP 200 OK response each time.
2. thuky never appears in the list.
3. "An Nguyễn" appears when that account exists; otherwise the list is empty.</v>
      </c>
      <c r="E31" s="120" t="str">
        <v>1. Backend is running.
2. Signed in as thuky@trustcabinet.local (MeetingCreator and MeetingApprover).</v>
      </c>
      <c r="F31" s="121" t="str">
        <v>Pending</v>
      </c>
      <c r="G31" s="122" t="str"/>
      <c r="H31" s="121" t="str"/>
      <c r="I31" s="121" t="str"/>
      <c r="J31" s="122" t="str"/>
      <c r="K31" s="121" t="str"/>
      <c r="L31" s="121" t="str"/>
      <c r="M31" s="123" t="str"/>
      <c r="N31" s="121" t="str"/>
      <c r="O31" s="124" t="str"/>
      <c r="P31" s="125"/>
      <c r="Q31" s="112"/>
      <c r="R31" s="112"/>
      <c r="S31" s="112"/>
      <c r="T31" s="112"/>
      <c r="U31" s="112"/>
      <c r="V31" s="112"/>
      <c r="W31" s="112"/>
      <c r="X31" s="112"/>
      <c r="Y31" s="112"/>
    </row>
    <row r="32" ht="138.5" customHeight="1">
      <c r="A32" s="120" t="str">
        <v>MEET_API_IT19</v>
      </c>
      <c r="B32" s="120" t="str">
        <v>Verify GET /api/meetings/approvers returns MSG130 with 503 when the approvers cannot be read.</v>
      </c>
      <c r="C32" s="120" t="str">
        <v>1. Send GET request to /api/meetings/approvers.
2. Request headers: Authorization: Bearer &lt;access token of thuky@trustcabinet.local&gt; (Secretary, MeetingCreator).
3. Query parameters: None.
4. Request body: None (GET request).</v>
      </c>
      <c r="D32" s="120" t="str">
        <v>1. HTTP 503 Service Unavailable response.
2. Response JSON body: code "MSG130", message "Không thể tải danh sách người duyệt. Vui lòng thử lại.".</v>
      </c>
      <c r="E32" s="120" t="str">
        <v>1. Backend is running.
2. Signed in as thuky@trustcabinet.local (MeetingCreator).
3. The PostgreSQL container is stopped after sign-in.</v>
      </c>
      <c r="F32" s="121" t="str">
        <v>Pending</v>
      </c>
      <c r="G32" s="122" t="str"/>
      <c r="H32" s="121" t="str"/>
      <c r="I32" s="121" t="str"/>
      <c r="J32" s="122" t="str"/>
      <c r="K32" s="121" t="str"/>
      <c r="L32" s="121" t="str"/>
      <c r="M32" s="123" t="str"/>
      <c r="N32" s="121" t="str"/>
      <c r="O32" s="124" t="str"/>
      <c r="P32" s="125"/>
      <c r="Q32" s="112"/>
      <c r="R32" s="112"/>
      <c r="S32" s="112"/>
      <c r="T32" s="112"/>
      <c r="U32" s="112"/>
      <c r="V32" s="112"/>
      <c r="W32" s="112"/>
      <c r="X32" s="112"/>
      <c r="Y32" s="112"/>
    </row>
    <row r="33" ht="138.5" customHeight="1">
      <c r="A33" s="120" t="str">
        <v>MEET_API_IT20</v>
      </c>
      <c r="B33" s="120" t="str">
        <v>Verify GET /api/meetings/approvers returns MSG130 when the caller's account check fails.</v>
      </c>
      <c r="C33" s="120" t="str">
        <v>1. Send GET request to /api/meetings/approvers.
2. Request headers: Authorization: Bearer &lt;access token of thuky@trustcabinet.local&gt; (Secretary, MeetingCreator).
3. Query parameters: None.
4. Request body: None (GET request).</v>
      </c>
      <c r="D33" s="120" t="str">
        <v>1. HTTP 503 Service Unavailable response with code "MSG130".</v>
      </c>
      <c r="E33" s="120" t="str">
        <v>1. Backend is running.
2. Signed in as thuky@trustcabinet.local.
3. PostgreSQL becomes unreachable just before the request.</v>
      </c>
      <c r="F33" s="121" t="str">
        <v>Pending</v>
      </c>
      <c r="G33" s="122" t="str"/>
      <c r="H33" s="121" t="str"/>
      <c r="I33" s="121" t="str"/>
      <c r="J33" s="122" t="str"/>
      <c r="K33" s="121" t="str"/>
      <c r="L33" s="121" t="str"/>
      <c r="M33" s="123" t="str"/>
      <c r="N33" s="121" t="str"/>
      <c r="O33" s="124" t="str"/>
      <c r="P33" s="125"/>
      <c r="Q33" s="112"/>
      <c r="R33" s="112"/>
      <c r="S33" s="112"/>
      <c r="T33" s="112"/>
      <c r="U33" s="112"/>
      <c r="V33" s="112"/>
      <c r="W33" s="112"/>
      <c r="X33" s="112"/>
      <c r="Y33" s="112"/>
    </row>
    <row r="34" ht="138.5" customHeight="1">
      <c r="A34" s="120" t="str">
        <v>MEET_API_IT21</v>
      </c>
      <c r="B34" s="120" t="str">
        <v>Verify GET /api/meetings/approvers returns MSG130 when the database times out.</v>
      </c>
      <c r="C34" s="120" t="str">
        <v>1. Send GET request to /api/meetings/approvers.
2. Request headers: Authorization: Bearer &lt;access token of thuky@trustcabinet.local&gt; (Secretary, MeetingCreator).
3. Query parameters: None.
4. Request body: None (GET request).</v>
      </c>
      <c r="D34" s="120" t="str">
        <v>1. HTTP 503 Service Unavailable response with code "MSG130".</v>
      </c>
      <c r="E34" s="120" t="str">
        <v>1. Backend is running.
2. Signed in as thuky@trustcabinet.local.
3. The database is slowed so the query times out (for example pause the PostgreSQL container).</v>
      </c>
      <c r="F34" s="121" t="str">
        <v>Pending</v>
      </c>
      <c r="G34" s="122" t="str"/>
      <c r="H34" s="121" t="str"/>
      <c r="I34" s="121" t="str"/>
      <c r="J34" s="122" t="str"/>
      <c r="K34" s="121" t="str"/>
      <c r="L34" s="121" t="str"/>
      <c r="M34" s="123" t="str"/>
      <c r="N34" s="121" t="str"/>
      <c r="O34" s="124" t="str"/>
      <c r="P34" s="125"/>
      <c r="Q34" s="112"/>
      <c r="R34" s="112"/>
      <c r="S34" s="112"/>
      <c r="T34" s="112"/>
      <c r="U34" s="112"/>
      <c r="V34" s="112"/>
      <c r="W34" s="112"/>
      <c r="X34" s="112"/>
      <c r="Y34" s="112"/>
    </row>
    <row r="35" ht="95.0" customHeight="1">
      <c r="A35" s="120" t="str">
        <v>MEET_API_IT22</v>
      </c>
      <c r="B35" s="120" t="str">
        <v>Verify cancelling the approver request stops the server work.</v>
      </c>
      <c r="C35" s="120" t="str">
        <v>1. Send GET request to /api/meetings/approvers as thuky while the database is paused.
2. Cancel the request in the client (close the Postman request) before it answers.</v>
      </c>
      <c r="D35" s="120" t="str">
        <v>1. The request is cancelled on the client.
2. The backend log shows the request was cancelled, not an error response.</v>
      </c>
      <c r="E35" s="120" t="str">
        <v>1. Backend is running.
2. Signed in as thuky@trustcabinet.local.
3. The PostgreSQL container is paused so the request waits.</v>
      </c>
      <c r="F35" s="121" t="str">
        <v>Pending</v>
      </c>
      <c r="G35" s="122" t="str"/>
      <c r="H35" s="121" t="str"/>
      <c r="I35" s="121" t="str"/>
      <c r="J35" s="122" t="str"/>
      <c r="K35" s="121" t="str"/>
      <c r="L35" s="121" t="str"/>
      <c r="M35" s="123" t="str"/>
      <c r="N35" s="121" t="str"/>
      <c r="O35" s="124" t="str"/>
      <c r="P35" s="125"/>
      <c r="Q35" s="112"/>
      <c r="R35" s="112"/>
      <c r="S35" s="112"/>
      <c r="T35" s="112"/>
      <c r="U35" s="112"/>
      <c r="V35" s="112"/>
      <c r="W35" s="112"/>
      <c r="X35" s="112"/>
      <c r="Y35" s="112"/>
    </row>
    <row r="36" ht="24" customHeight="1">
      <c r="A36" s="120" t="str">
        <v>GET /api/meetings/{id}</v>
      </c>
      <c r="B36" s="120"/>
      <c r="C36" s="120"/>
      <c r="D36" s="120"/>
      <c r="E36" s="120"/>
      <c r="F36" s="121"/>
      <c r="G36" s="122"/>
      <c r="H36" s="121"/>
      <c r="I36" s="121"/>
      <c r="J36" s="122"/>
      <c r="K36" s="121"/>
      <c r="L36" s="121"/>
      <c r="M36" s="123"/>
      <c r="N36" s="121"/>
      <c r="O36" s="124"/>
      <c r="P36" s="125"/>
      <c r="Q36" s="112"/>
      <c r="R36" s="112"/>
      <c r="S36" s="112"/>
      <c r="T36" s="112"/>
      <c r="U36" s="112"/>
      <c r="V36" s="112"/>
      <c r="W36" s="112"/>
      <c r="X36" s="112"/>
      <c r="Y36" s="112"/>
    </row>
    <row r="37" ht="124.0" customHeight="1">
      <c r="A37" s="120" t="str">
        <v>MEET_API_IT23</v>
      </c>
      <c r="B37" s="120" t="str">
        <v>Verify a missing meeting and another creator's meeting return the same empty 404.</v>
      </c>
      <c r="C37" s="120" t="str">
        <v>1. As thuky, create a Draft and copy its id.
2. As a second creator, send GET request to /api/meetings/&lt;that id&gt;.
3. As the second creator, send GET request to /api/meetings/&lt;random UUID&gt;.</v>
      </c>
      <c r="D37" s="120" t="str">
        <v>1. Both requests return HTTP 404 Not Found with an empty body.
2. The two answers cannot be told apart.</v>
      </c>
      <c r="E37" s="120" t="str">
        <v>1. Backend is running.
2. A second active account with MeetingCreator exists and is unrelated to thuky's meeting.</v>
      </c>
      <c r="F37" s="121" t="str">
        <v>Pending</v>
      </c>
      <c r="G37" s="122" t="str"/>
      <c r="H37" s="121" t="str"/>
      <c r="I37" s="121" t="str"/>
      <c r="J37" s="122" t="str"/>
      <c r="K37" s="121" t="str"/>
      <c r="L37" s="121" t="str"/>
      <c r="M37" s="123" t="str"/>
      <c r="N37" s="121" t="str"/>
      <c r="O37" s="124" t="str"/>
      <c r="P37" s="125"/>
      <c r="Q37" s="112"/>
      <c r="R37" s="112"/>
      <c r="S37" s="112"/>
      <c r="T37" s="112"/>
      <c r="U37" s="112"/>
      <c r="V37" s="112"/>
      <c r="W37" s="112"/>
      <c r="X37" s="112"/>
      <c r="Y37" s="112"/>
    </row>
    <row r="38" ht="153.0" customHeight="1">
      <c r="A38" s="120" t="str">
        <v>MEET_API_IT24</v>
      </c>
      <c r="B38" s="120" t="str">
        <v>Verify the assigned approver can read the meeting without MeetingCreator.</v>
      </c>
      <c r="C38" s="120" t="str">
        <v>1. Send GET request to /api/meetings/&lt;id of the WaitingApproval meeting&gt;.
2. Request headers: Authorization: Bearer &lt;access token of chutoa@trustcabinet.local&gt; (Chair).
3. Query parameters: None.
4. Request body: None (GET request).</v>
      </c>
      <c r="D38" s="120" t="str">
        <v>1. HTTP 200 OK response with the meeting.</v>
      </c>
      <c r="E38" s="120" t="str">
        <v>1. Backend is running.
2. A meeting is WaitingApproval with chutoa@trustcabinet.local as its assigned approver.
3. chutoa is active and has no MeetingCreator.</v>
      </c>
      <c r="F38" s="121" t="str">
        <v>Pending</v>
      </c>
      <c r="G38" s="122" t="str"/>
      <c r="H38" s="121" t="str"/>
      <c r="I38" s="121" t="str"/>
      <c r="J38" s="122" t="str"/>
      <c r="K38" s="121" t="str"/>
      <c r="L38" s="121" t="str"/>
      <c r="M38" s="123" t="str"/>
      <c r="N38" s="121" t="str"/>
      <c r="O38" s="124" t="str"/>
      <c r="P38" s="125"/>
      <c r="Q38" s="112"/>
      <c r="R38" s="112"/>
      <c r="S38" s="112"/>
      <c r="T38" s="112"/>
      <c r="U38" s="112"/>
      <c r="V38" s="112"/>
      <c r="W38" s="112"/>
      <c r="X38" s="112"/>
      <c r="Y38" s="112"/>
    </row>
    <row r="39" ht="153.0" customHeight="1">
      <c r="A39" s="120" t="str">
        <v>MEET_API_IT25</v>
      </c>
      <c r="B39" s="120" t="str">
        <v>Verify an invited participant can read a Published meeting without MeetingCreator.</v>
      </c>
      <c r="C39" s="120" t="str">
        <v>1. Send GET request to /api/meetings/&lt;id of the Published meeting&gt;.
2. Request headers: Authorization: Bearer &lt;access token of thanhvien@trustcabinet.local&gt; (Member, no capability).
3. Query parameters: None.
4. Request body: None (GET request).</v>
      </c>
      <c r="D39" s="120" t="str">
        <v>1. HTTP 200 OK response with the meeting.</v>
      </c>
      <c r="E39" s="120" t="str">
        <v>1. Backend is running.
2. A Published meeting lists thanhvien@trustcabinet.local as an active participant.</v>
      </c>
      <c r="F39" s="121" t="str">
        <v>Pending</v>
      </c>
      <c r="G39" s="122" t="str"/>
      <c r="H39" s="121" t="str"/>
      <c r="I39" s="121" t="str"/>
      <c r="J39" s="122" t="str"/>
      <c r="K39" s="121" t="str"/>
      <c r="L39" s="121" t="str"/>
      <c r="M39" s="123" t="str"/>
      <c r="N39" s="121" t="str"/>
      <c r="O39" s="124" t="str"/>
      <c r="P39" s="125"/>
      <c r="Q39" s="112"/>
      <c r="R39" s="112"/>
      <c r="S39" s="112"/>
      <c r="T39" s="112"/>
      <c r="U39" s="112"/>
      <c r="V39" s="112"/>
      <c r="W39" s="112"/>
      <c r="X39" s="112"/>
      <c r="Y39" s="112"/>
    </row>
    <row r="40" ht="153.0" customHeight="1">
      <c r="A40" s="120" t="str">
        <v>MEET_API_IT26</v>
      </c>
      <c r="B40" s="120" t="str">
        <v>Verify related readers see a meeting only in the statuses they are allowed to.</v>
      </c>
      <c r="C40" s="120" t="str">
        <v>1. For each status (Draft, WaitingApproval, Rejected, Approved, Published, InProgress, Ended, Cancelled), prepare one meeting with chutoa as assigned approver and thanhvien as participant.
2. Send GET request to each meeting as chutoa and as thanhvien.</v>
      </c>
      <c r="D40" s="120" t="str">
        <v>1. The approver gets HTTP 200 OK from WaitingApproval onwards and 404 for a Draft.
2. The participant gets HTTP 200 OK only from Published onwards and 404 before.
3. A refused read is an empty 404, never 403.</v>
      </c>
      <c r="E40" s="120" t="str">
        <v>1. Backend is running.
2. Meetings in every status exist for one organizer.</v>
      </c>
      <c r="F40" s="121" t="str">
        <v>Pending</v>
      </c>
      <c r="G40" s="122" t="str"/>
      <c r="H40" s="121" t="str"/>
      <c r="I40" s="121" t="str"/>
      <c r="J40" s="122" t="str"/>
      <c r="K40" s="121" t="str"/>
      <c r="L40" s="121" t="str"/>
      <c r="M40" s="123" t="str"/>
      <c r="N40" s="121" t="str"/>
      <c r="O40" s="124" t="str"/>
      <c r="P40" s="125"/>
      <c r="Q40" s="112"/>
      <c r="R40" s="112"/>
      <c r="S40" s="112"/>
      <c r="T40" s="112"/>
      <c r="U40" s="112"/>
      <c r="V40" s="112"/>
      <c r="W40" s="112"/>
      <c r="X40" s="112"/>
      <c r="Y40" s="112"/>
    </row>
    <row r="41" ht="138.5" customHeight="1">
      <c r="A41" s="120" t="str">
        <v>MEET_API_IT27</v>
      </c>
      <c r="B41" s="120" t="str">
        <v>Verify GET /api/meetings/{id} returns MSG37 with 500 when the database fails.</v>
      </c>
      <c r="C41" s="120" t="str">
        <v>1. Send GET request to /api/meetings/&lt;any id&gt;.
2. Request headers: Authorization: Bearer &lt;access token of thuky@trustcabinet.local&gt; (Secretary, MeetingCreator).
3. Query parameters: None.
4. Request body: None (GET request).</v>
      </c>
      <c r="D41" s="120" t="str">
        <v>1. HTTP 500 Internal Server Error response.
2. Response JSON body: code "MSG37", message "Không thể tải thông tin cuộc họp. Vui lòng thử lại.".</v>
      </c>
      <c r="E41" s="120" t="str">
        <v>1. Backend is running.
2. Signed in as thuky@trustcabinet.local.
3. The PostgreSQL container is stopped after sign-in.</v>
      </c>
      <c r="F41" s="121" t="str">
        <v>Pending</v>
      </c>
      <c r="G41" s="122" t="str"/>
      <c r="H41" s="121" t="str"/>
      <c r="I41" s="121" t="str"/>
      <c r="J41" s="122" t="str"/>
      <c r="K41" s="121" t="str"/>
      <c r="L41" s="121" t="str"/>
      <c r="M41" s="123" t="str"/>
      <c r="N41" s="121" t="str"/>
      <c r="O41" s="124" t="str"/>
      <c r="P41" s="125"/>
      <c r="Q41" s="112"/>
      <c r="R41" s="112"/>
      <c r="S41" s="112"/>
      <c r="T41" s="112"/>
      <c r="U41" s="112"/>
      <c r="V41" s="112"/>
      <c r="W41" s="112"/>
      <c r="X41" s="112"/>
      <c r="Y41" s="112"/>
    </row>
    <row r="42" ht="138.5" customHeight="1">
      <c r="A42" s="120" t="str">
        <v>MEET_API_IT28</v>
      </c>
      <c r="B42" s="120" t="str">
        <v>Verify GET /api/meetings/{id} keeps MSG37 when the account check fails.</v>
      </c>
      <c r="C42" s="120" t="str">
        <v>1. Send GET request to /api/meetings/&lt;any id&gt;.
2. Request headers: Authorization: Bearer &lt;access token of thuky@trustcabinet.local&gt; (Secretary, MeetingCreator).
3. Query parameters: None.
4. Request body: None (GET request).</v>
      </c>
      <c r="D42" s="120" t="str">
        <v>1. HTTP 500 Internal Server Error response with code "MSG37".</v>
      </c>
      <c r="E42" s="120" t="str">
        <v>1. Backend is running.
2. Signed in as thuky@trustcabinet.local.
3. PostgreSQL becomes unreachable just before the request.</v>
      </c>
      <c r="F42" s="121" t="str">
        <v>Pending</v>
      </c>
      <c r="G42" s="122" t="str"/>
      <c r="H42" s="121" t="str"/>
      <c r="I42" s="121" t="str"/>
      <c r="J42" s="122" t="str"/>
      <c r="K42" s="121" t="str"/>
      <c r="L42" s="121" t="str"/>
      <c r="M42" s="123" t="str"/>
      <c r="N42" s="121" t="str"/>
      <c r="O42" s="124" t="str"/>
      <c r="P42" s="125"/>
      <c r="Q42" s="112"/>
      <c r="R42" s="112"/>
      <c r="S42" s="112"/>
      <c r="T42" s="112"/>
      <c r="U42" s="112"/>
      <c r="V42" s="112"/>
      <c r="W42" s="112"/>
      <c r="X42" s="112"/>
      <c r="Y42" s="112"/>
    </row>
    <row r="43" ht="24" customHeight="1">
      <c r="A43" s="120" t="str">
        <v>PUT /api/meetings/{id}</v>
      </c>
      <c r="B43" s="120"/>
      <c r="C43" s="120"/>
      <c r="D43" s="120"/>
      <c r="E43" s="120"/>
      <c r="F43" s="121"/>
      <c r="G43" s="122"/>
      <c r="H43" s="121"/>
      <c r="I43" s="121"/>
      <c r="J43" s="122"/>
      <c r="K43" s="121"/>
      <c r="L43" s="121"/>
      <c r="M43" s="123"/>
      <c r="N43" s="121"/>
      <c r="O43" s="124"/>
      <c r="P43" s="125"/>
      <c r="Q43" s="112"/>
      <c r="R43" s="112"/>
      <c r="S43" s="112"/>
      <c r="T43" s="112"/>
      <c r="U43" s="112"/>
      <c r="V43" s="112"/>
      <c r="W43" s="112"/>
      <c r="X43" s="112"/>
      <c r="Y43" s="112"/>
    </row>
    <row r="44" ht="312.5" customHeight="1">
      <c r="A44" s="120" t="str">
        <v>MEET_API_IT29</v>
      </c>
      <c r="B44" s="120" t="str">
        <v>Verify PUT /api/meetings/{id} updates an owned Draft and ignores fields the client may not set.</v>
      </c>
      <c r="C44" s="120" t="str">
        <v>1. Send PUT request to /api/meetings/&lt;id of thuky's Draft&gt;.
2. Request headers: Content-Type: application/json; Authorization: Bearer &lt;access token of thuky@trustcabinet.local&gt; (Secretary, MeetingCreator).
3. Query parameters: None.
4. Request JSON body: { "title": "Đã cập nhật", "plannedStartTime": "&lt;tomorrow 09:30+07:00&gt;", "plannedEndTime": "&lt;tomorrow 10:30+07:00&gt;", "mode": "Hybrid", "location": "Phòng họp B", "onlineLink": "https://meet.example.com/a", "sensitivity": "Confidential", "description": "Mới", "status": "Published", "createdById": "&lt;another id&gt;" }.</v>
      </c>
      <c r="D44" s="120" t="str">
        <v>1. HTTP 200 OK response.
2. Response JSON body: code "MSG30", message "Cập nhật cuộc họp thành công.".
3. The meeting shows the new title, schedule, mode, location and sensitivity.
4. status stays Draft and the organizer stays thuky.</v>
      </c>
      <c r="E44" s="120" t="str">
        <v>1. Backend is running.
2. Signed in as thuky@trustcabinet.local, who owns a Draft.</v>
      </c>
      <c r="F44" s="121" t="str">
        <v>Pending</v>
      </c>
      <c r="G44" s="122" t="str"/>
      <c r="H44" s="121" t="str"/>
      <c r="I44" s="121" t="str"/>
      <c r="J44" s="122" t="str"/>
      <c r="K44" s="121" t="str"/>
      <c r="L44" s="121" t="str"/>
      <c r="M44" s="123" t="str"/>
      <c r="N44" s="121" t="str"/>
      <c r="O44" s="124" t="str"/>
      <c r="P44" s="125"/>
      <c r="Q44" s="112"/>
      <c r="R44" s="112"/>
      <c r="S44" s="112"/>
      <c r="T44" s="112"/>
      <c r="U44" s="112"/>
      <c r="V44" s="112"/>
      <c r="W44" s="112"/>
      <c r="X44" s="112"/>
      <c r="Y44" s="112"/>
    </row>
    <row r="45" ht="182.0" customHeight="1">
      <c r="A45" s="120" t="str">
        <v>MEET_API_IT30</v>
      </c>
      <c r="B45" s="120" t="str">
        <v>Verify a Rejected meeting can be edited without restarting approval.</v>
      </c>
      <c r="C45" s="120" t="str">
        <v>1. Send PUT request to /api/meetings/&lt;id of the Rejected meeting&gt;.
2. Request headers: Content-Type: application/json; Authorization: Bearer &lt;access token of thuky@trustcabinet.local&gt; (Secretary, MeetingCreator).
3. Query parameters: None.
4. Request JSON body: { ...valid meeting with a new title... }.</v>
      </c>
      <c r="D45" s="120" t="str">
        <v>1. HTTP 200 OK response with code "MSG30".
2. status stays Rejected.
3. The rejection with reason "Cần bổ sung số liệu" is still in the history.</v>
      </c>
      <c r="E45" s="120" t="str">
        <v>1. Backend is running.
2. thuky@trustcabinet.local owns a meeting that was rejected with reason "Cần bổ sung số liệu".</v>
      </c>
      <c r="F45" s="121" t="str">
        <v>Pending</v>
      </c>
      <c r="G45" s="122" t="str"/>
      <c r="H45" s="121" t="str"/>
      <c r="I45" s="121" t="str"/>
      <c r="J45" s="122" t="str"/>
      <c r="K45" s="121" t="str"/>
      <c r="L45" s="121" t="str"/>
      <c r="M45" s="123" t="str"/>
      <c r="N45" s="121" t="str"/>
      <c r="O45" s="124" t="str"/>
      <c r="P45" s="125"/>
      <c r="Q45" s="112"/>
      <c r="R45" s="112"/>
      <c r="S45" s="112"/>
      <c r="T45" s="112"/>
      <c r="U45" s="112"/>
      <c r="V45" s="112"/>
      <c r="W45" s="112"/>
      <c r="X45" s="112"/>
      <c r="Y45" s="112"/>
    </row>
    <row r="46" ht="95.0" customHeight="1">
      <c r="A46" s="120" t="str">
        <v>MEET_API_IT31</v>
      </c>
      <c r="B46" s="120" t="str">
        <v>Verify a meeting that is WaitingApproval, Approved, InProgress or Ended cannot be edited (MSG33).</v>
      </c>
      <c r="C46" s="120" t="str">
        <v>1. For each meeting, send PUT request to /api/meetings/&lt;id&gt; as thuky with any body.</v>
      </c>
      <c r="D46" s="120" t="str">
        <v>1. Each request returns HTTP 409 Conflict.
2. Response JSON body: code "MSG33", message "Cuộc họp này không thể chỉnh sửa được nữa.".
3. No meeting changes.</v>
      </c>
      <c r="E46" s="120" t="str">
        <v>1. Backend is running.
2. thuky owns one meeting in each of the statuses WaitingApproval, Approved, InProgress and Ended.</v>
      </c>
      <c r="F46" s="121" t="str">
        <v>Pending</v>
      </c>
      <c r="G46" s="122" t="str"/>
      <c r="H46" s="121" t="str"/>
      <c r="I46" s="121" t="str"/>
      <c r="J46" s="122" t="str"/>
      <c r="K46" s="121" t="str"/>
      <c r="L46" s="121" t="str"/>
      <c r="M46" s="123" t="str"/>
      <c r="N46" s="121" t="str"/>
      <c r="O46" s="124" t="str"/>
      <c r="P46" s="125"/>
      <c r="Q46" s="112"/>
      <c r="R46" s="112"/>
      <c r="S46" s="112"/>
      <c r="T46" s="112"/>
      <c r="U46" s="112"/>
      <c r="V46" s="112"/>
      <c r="W46" s="112"/>
      <c r="X46" s="112"/>
      <c r="Y46" s="112"/>
    </row>
    <row r="47" ht="269.0" customHeight="1">
      <c r="A47" s="120" t="str">
        <v>MEET_API_IT32</v>
      </c>
      <c r="B47" s="120" t="str">
        <v>Verify rescheduling a Published meeting returns MSG138 and notifies every invitee.</v>
      </c>
      <c r="C47" s="120" t="str">
        <v>1. Send PUT request to /api/meetings/&lt;id of the Published meeting&gt;.
2. Request headers: Content-Type: application/json; Authorization: Bearer &lt;access token of thuky@trustcabinet.local&gt; (Secretary, MeetingCreator).
3. Query parameters: None.
4. Request JSON body: { ...same meeting..., "plannedStartTime": "&lt;day after tomorrow 09:00+07:00&gt;", "plannedEndTime": "&lt;day after tomorrow 11:00+07:00&gt;", "location": "Phòng họp B" }.
5. Open the notification bell of each invitee.</v>
      </c>
      <c r="D47" s="120" t="str">
        <v>1. HTTP 200 OK response.
2. Response JSON body: code "MSG138", message "Đã dời lịch cuộc họp. Người được mời sẽ nhận thông báo.".
3. Each invitee receives one reschedule notification.
4. The history records the reschedule.</v>
      </c>
      <c r="E47" s="120" t="str">
        <v>1. Backend is running.
2. thuky owns a Published meeting with several invitees.</v>
      </c>
      <c r="F47" s="121" t="str">
        <v>Pending</v>
      </c>
      <c r="G47" s="122" t="str"/>
      <c r="H47" s="121" t="str"/>
      <c r="I47" s="121" t="str"/>
      <c r="J47" s="122" t="str"/>
      <c r="K47" s="121" t="str"/>
      <c r="L47" s="121" t="str"/>
      <c r="M47" s="123" t="str"/>
      <c r="N47" s="121" t="str"/>
      <c r="O47" s="124" t="str"/>
      <c r="P47" s="125"/>
      <c r="Q47" s="112"/>
      <c r="R47" s="112"/>
      <c r="S47" s="112"/>
      <c r="T47" s="112"/>
      <c r="U47" s="112"/>
      <c r="V47" s="112"/>
      <c r="W47" s="112"/>
      <c r="X47" s="112"/>
      <c r="Y47" s="112"/>
    </row>
    <row r="48" ht="182.0" customHeight="1">
      <c r="A48" s="120" t="str">
        <v>MEET_API_IT33</v>
      </c>
      <c r="B48" s="120" t="str">
        <v>Verify the organizer is not notified of their own reschedule.</v>
      </c>
      <c r="C48" s="120" t="str">
        <v>1. Send PUT request to /api/meetings/&lt;id of the Published meeting&gt;.
2. Request headers: Content-Type: application/json; Authorization: Bearer &lt;access token of thuky@trustcabinet.local&gt; (Secretary, MeetingCreator).
3. Query parameters: None.
4. Request JSON body: { ...same meeting with the start moved one day later... }.</v>
      </c>
      <c r="D48" s="120" t="str">
        <v>1. HTTP 200 OK response.
2. Every other invitee is notified.
3. thuky, who is also on the roster, gets no notification.</v>
      </c>
      <c r="E48" s="120" t="str">
        <v>1. Backend is running.
2. thuky owns a Published meeting and is also its Chair on the roster.</v>
      </c>
      <c r="F48" s="121" t="str">
        <v>Pending</v>
      </c>
      <c r="G48" s="122" t="str"/>
      <c r="H48" s="121" t="str"/>
      <c r="I48" s="121" t="str"/>
      <c r="J48" s="122" t="str"/>
      <c r="K48" s="121" t="str"/>
      <c r="L48" s="121" t="str"/>
      <c r="M48" s="123" t="str"/>
      <c r="N48" s="121" t="str"/>
      <c r="O48" s="124" t="str"/>
      <c r="P48" s="125"/>
      <c r="Q48" s="112"/>
      <c r="R48" s="112"/>
      <c r="S48" s="112"/>
      <c r="T48" s="112"/>
      <c r="U48" s="112"/>
      <c r="V48" s="112"/>
      <c r="W48" s="112"/>
      <c r="X48" s="112"/>
      <c r="Y48" s="112"/>
    </row>
    <row r="49" ht="196.5" customHeight="1">
      <c r="A49" s="120" t="str">
        <v>MEET_API_IT34</v>
      </c>
      <c r="B49" s="120" t="str">
        <v>Verify a Published meeting refuses changes outside the schedule.</v>
      </c>
      <c r="C49" s="120" t="str">
        <v>1. Send PUT request to /api/meetings/&lt;id of the Published meeting&gt;.
2. Request headers: Content-Type: application/json; Authorization: Bearer &lt;access token of thuky@trustcabinet.local&gt; (Secretary, MeetingCreator).
3. Query parameters: None.
4. Request JSON body: { "title": "Tên mới", "sensitivity": "Secret", ...new schedule one day later... }.</v>
      </c>
      <c r="D49" s="120" t="str">
        <v>1. HTTP 400 Bad Request response with code "MSG31".
2. Errors name the locked fields (title, sensitivity).
3. Nothing changes and no notification is sent.</v>
      </c>
      <c r="E49" s="120" t="str">
        <v>1. Backend is running.
2. thuky owns a Published meeting.</v>
      </c>
      <c r="F49" s="121" t="str">
        <v>Pending</v>
      </c>
      <c r="G49" s="122" t="str"/>
      <c r="H49" s="121" t="str"/>
      <c r="I49" s="121" t="str"/>
      <c r="J49" s="122" t="str"/>
      <c r="K49" s="121" t="str"/>
      <c r="L49" s="121" t="str"/>
      <c r="M49" s="123" t="str"/>
      <c r="N49" s="121" t="str"/>
      <c r="O49" s="124" t="str"/>
      <c r="P49" s="125"/>
      <c r="Q49" s="112"/>
      <c r="R49" s="112"/>
      <c r="S49" s="112"/>
      <c r="T49" s="112"/>
      <c r="U49" s="112"/>
      <c r="V49" s="112"/>
      <c r="W49" s="112"/>
      <c r="X49" s="112"/>
      <c r="Y49" s="112"/>
    </row>
    <row r="50" ht="211.0" customHeight="1">
      <c r="A50" s="120" t="str">
        <v>MEET_API_IT35</v>
      </c>
      <c r="B50" s="120" t="str">
        <v>Verify rescheduling a Published meeting needs a start in the future.</v>
      </c>
      <c r="C50" s="120" t="str">
        <v>1. Send PUT request to /api/meetings/&lt;id of the Published meeting&gt;.
2. Request headers: Content-Type: application/json; Authorization: Bearer &lt;access token of thuky@trustcabinet.local&gt; (Secretary, MeetingCreator).
3. Query parameters: None.
4. Request JSON body: { ...same meeting..., "plannedStartTime": "&lt;30 minutes ago&gt;", "plannedEndTime": "&lt;30 minutes from now&gt;" }.</v>
      </c>
      <c r="D50" s="120" t="str">
        <v>1. HTTP 400 Bad Request response with an error on plannedStartTime.
2. Nothing changes.</v>
      </c>
      <c r="E50" s="120" t="str">
        <v>1. Backend is running.
2. thuky owns a Published meeting.</v>
      </c>
      <c r="F50" s="121" t="str">
        <v>Pending</v>
      </c>
      <c r="G50" s="122" t="str"/>
      <c r="H50" s="121" t="str"/>
      <c r="I50" s="121" t="str"/>
      <c r="J50" s="122" t="str"/>
      <c r="K50" s="121" t="str"/>
      <c r="L50" s="121" t="str"/>
      <c r="M50" s="123" t="str"/>
      <c r="N50" s="121" t="str"/>
      <c r="O50" s="124" t="str"/>
      <c r="P50" s="125"/>
      <c r="Q50" s="112"/>
      <c r="R50" s="112"/>
      <c r="S50" s="112"/>
      <c r="T50" s="112"/>
      <c r="U50" s="112"/>
      <c r="V50" s="112"/>
      <c r="W50" s="112"/>
      <c r="X50" s="112"/>
      <c r="Y50" s="112"/>
    </row>
    <row r="51" ht="182.0" customHeight="1">
      <c r="A51" s="120" t="str">
        <v>MEET_API_IT36</v>
      </c>
      <c r="B51" s="120" t="str">
        <v>Verify saving a Published meeting without changes notifies nobody.</v>
      </c>
      <c r="C51" s="120" t="str">
        <v>1. Send PUT request to /api/meetings/&lt;id of the Published meeting&gt;.
2. Request headers: Content-Type: application/json; Authorization: Bearer &lt;access token of thuky@trustcabinet.local&gt; (Secretary, MeetingCreator).
3. Query parameters: None.
4. Request JSON body: { ...exactly the current values... }.</v>
      </c>
      <c r="D51" s="120" t="str">
        <v>1. HTTP 200 OK response with code "MSG30".
2. No history entry and no notification are created.</v>
      </c>
      <c r="E51" s="120" t="str">
        <v>1. Backend is running.
2. thuky owns a Published meeting.</v>
      </c>
      <c r="F51" s="121" t="str">
        <v>Pending</v>
      </c>
      <c r="G51" s="122" t="str"/>
      <c r="H51" s="121" t="str"/>
      <c r="I51" s="121" t="str"/>
      <c r="J51" s="122" t="str"/>
      <c r="K51" s="121" t="str"/>
      <c r="L51" s="121" t="str"/>
      <c r="M51" s="123" t="str"/>
      <c r="N51" s="121" t="str"/>
      <c r="O51" s="124" t="str"/>
      <c r="P51" s="125"/>
      <c r="Q51" s="112"/>
      <c r="R51" s="112"/>
      <c r="S51" s="112"/>
      <c r="T51" s="112"/>
      <c r="U51" s="112"/>
      <c r="V51" s="112"/>
      <c r="W51" s="112"/>
      <c r="X51" s="112"/>
      <c r="Y51" s="112"/>
    </row>
    <row r="52" ht="182.0" customHeight="1">
      <c r="A52" s="120" t="str">
        <v>MEET_API_IT37</v>
      </c>
      <c r="B52" s="120" t="str">
        <v>Verify an online Published meeting ignores a stored location the form cannot show.</v>
      </c>
      <c r="C52" s="120" t="str">
        <v>1. Send PUT request to /api/meetings/&lt;id of the online Published meeting&gt;.
2. Request headers: Content-Type: application/json; Authorization: Bearer &lt;access token of thuky@trustcabinet.local&gt; (Secretary, MeetingCreator).
3. Query parameters: None.
4. Request JSON body: { ...same meeting..., "mode": "Online", "location": "" }.</v>
      </c>
      <c r="D52" s="120" t="str">
        <v>1. HTTP 200 OK response with code "MSG30".
2. It is not treated as a reschedule: no history entry, no notification.</v>
      </c>
      <c r="E52" s="120" t="str">
        <v>1. Backend is running.
2. thuky owns an Online Published meeting whose stored location is "Trực tuyến".</v>
      </c>
      <c r="F52" s="121" t="str">
        <v>Pending</v>
      </c>
      <c r="G52" s="122" t="str"/>
      <c r="H52" s="121" t="str"/>
      <c r="I52" s="121" t="str"/>
      <c r="J52" s="122" t="str"/>
      <c r="K52" s="121" t="str"/>
      <c r="L52" s="121" t="str"/>
      <c r="M52" s="123" t="str"/>
      <c r="N52" s="121" t="str"/>
      <c r="O52" s="124" t="str"/>
      <c r="P52" s="125"/>
      <c r="Q52" s="112"/>
      <c r="R52" s="112"/>
      <c r="S52" s="112"/>
      <c r="T52" s="112"/>
      <c r="U52" s="112"/>
      <c r="V52" s="112"/>
      <c r="W52" s="112"/>
      <c r="X52" s="112"/>
      <c r="Y52" s="112"/>
    </row>
    <row r="53" ht="109.5" customHeight="1">
      <c r="A53" s="120" t="str">
        <v>MEET_API_IT38</v>
      </c>
      <c r="B53" s="120" t="str">
        <v>Verify the meeting status is checked before invalid JSON is parsed.</v>
      </c>
      <c r="C53" s="120" t="str">
        <v>1. Send PUT request to /api/meetings/&lt;id of a WaitingApproval meeting&gt; as thuky with Content-Type: application/json and body {.
2. Repeat with body { "title": 42 }.</v>
      </c>
      <c r="D53" s="120" t="str">
        <v>1. Both requests return HTTP 409 Conflict with code "MSG33", not a JSON error.</v>
      </c>
      <c r="E53" s="120" t="str">
        <v>1. Backend is running.
2. thuky owns a WaitingApproval meeting.</v>
      </c>
      <c r="F53" s="121" t="str">
        <v>Pending</v>
      </c>
      <c r="G53" s="122" t="str"/>
      <c r="H53" s="121" t="str"/>
      <c r="I53" s="121" t="str"/>
      <c r="J53" s="122" t="str"/>
      <c r="K53" s="121" t="str"/>
      <c r="L53" s="121" t="str"/>
      <c r="M53" s="123" t="str"/>
      <c r="N53" s="121" t="str"/>
      <c r="O53" s="124" t="str"/>
      <c r="P53" s="125"/>
      <c r="Q53" s="112"/>
      <c r="R53" s="112"/>
      <c r="S53" s="112"/>
      <c r="T53" s="112"/>
      <c r="U53" s="112"/>
      <c r="V53" s="112"/>
      <c r="W53" s="112"/>
      <c r="X53" s="112"/>
      <c r="Y53" s="112"/>
    </row>
    <row r="54" ht="95.0" customHeight="1">
      <c r="A54" s="120" t="str">
        <v>MEET_API_IT39</v>
      </c>
      <c r="B54" s="120" t="str">
        <v>Verify invalid JSON on an editable meeting returns MSG31.</v>
      </c>
      <c r="C54" s="120" t="str">
        <v>1. Send PUT request to /api/meetings/&lt;id of a Draft&gt; as thuky with Content-Type: application/json and body {.
2. Repeat for a Rejected meeting.</v>
      </c>
      <c r="D54" s="120" t="str">
        <v>1. Both requests return HTTP 400 Bad Request with code "MSG31" ("Nội dung JSON không hợp lệ.").</v>
      </c>
      <c r="E54" s="120" t="str">
        <v>1. Backend is running.
2. thuky owns a Draft and a Rejected meeting.</v>
      </c>
      <c r="F54" s="121" t="str">
        <v>Pending</v>
      </c>
      <c r="G54" s="122" t="str"/>
      <c r="H54" s="121" t="str"/>
      <c r="I54" s="121" t="str"/>
      <c r="J54" s="122" t="str"/>
      <c r="K54" s="121" t="str"/>
      <c r="L54" s="121" t="str"/>
      <c r="M54" s="123" t="str"/>
      <c r="N54" s="121" t="str"/>
      <c r="O54" s="124" t="str"/>
      <c r="P54" s="125"/>
      <c r="Q54" s="112"/>
      <c r="R54" s="112"/>
      <c r="S54" s="112"/>
      <c r="T54" s="112"/>
      <c r="U54" s="112"/>
      <c r="V54" s="112"/>
      <c r="W54" s="112"/>
      <c r="X54" s="112"/>
      <c r="Y54" s="112"/>
    </row>
    <row r="55" ht="153.0" customHeight="1">
      <c r="A55" s="120" t="str">
        <v>MEET_API_IT40</v>
      </c>
      <c r="B55" s="120" t="str">
        <v>Verify the status is checked before a missing or wrong Content-Type is refused.</v>
      </c>
      <c r="C55" s="120" t="str">
        <v>1. Send PUT request to /api/meetings/&lt;id of a Draft&gt; with Content-Type: text/plain and body {}.
2. Send PUT request to the same Draft with no Content-Type.
3. Send the same two requests to a WaitingApproval meeting.</v>
      </c>
      <c r="D55" s="120" t="str">
        <v>1. For the Draft both requests return HTTP 415 Unsupported Media Type with code "MSG34" ("Content-Type phải là application/json.").
2. For the WaitingApproval meeting both return HTTP 409 Conflict with code "MSG33".</v>
      </c>
      <c r="E55" s="120" t="str">
        <v>1. Backend is running.
2. thuky owns a Draft and a WaitingApproval meeting.</v>
      </c>
      <c r="F55" s="121" t="str">
        <v>Pending</v>
      </c>
      <c r="G55" s="122" t="str"/>
      <c r="H55" s="121" t="str"/>
      <c r="I55" s="121" t="str"/>
      <c r="J55" s="122" t="str"/>
      <c r="K55" s="121" t="str"/>
      <c r="L55" s="121" t="str"/>
      <c r="M55" s="123" t="str"/>
      <c r="N55" s="121" t="str"/>
      <c r="O55" s="124" t="str"/>
      <c r="P55" s="125"/>
      <c r="Q55" s="112"/>
      <c r="R55" s="112"/>
      <c r="S55" s="112"/>
      <c r="T55" s="112"/>
      <c r="U55" s="112"/>
      <c r="V55" s="112"/>
      <c r="W55" s="112"/>
      <c r="X55" s="112"/>
      <c r="Y55" s="112"/>
    </row>
    <row r="56" ht="124.0" customHeight="1">
      <c r="A56" s="120" t="str">
        <v>MEET_API_IT41</v>
      </c>
      <c r="B56" s="120" t="str">
        <v>Verify PUT /api/meetings/{id} refuses a JSON body larger than 64 KiB.</v>
      </c>
      <c r="C56" s="120" t="str">
        <v>1. Send PUT request to /api/meetings/&lt;id of a Draft&gt; with Content-Type: application/json and a body of 64 KiB + 1 byte.
2. Repeat with the same body sent in chunks (no Content-Length).</v>
      </c>
      <c r="D56" s="120" t="str">
        <v>1. Both requests are refused with HTTP 413 (request too large) or 400 Bad Request.
2. The meeting is not changed.</v>
      </c>
      <c r="E56" s="120" t="str">
        <v>1. Backend is running.
2. thuky owns a Draft.</v>
      </c>
      <c r="F56" s="121" t="str">
        <v>Pending</v>
      </c>
      <c r="G56" s="122" t="str"/>
      <c r="H56" s="121" t="str"/>
      <c r="I56" s="121" t="str"/>
      <c r="J56" s="122" t="str"/>
      <c r="K56" s="121" t="str"/>
      <c r="L56" s="121" t="str"/>
      <c r="M56" s="123" t="str"/>
      <c r="N56" s="121" t="str"/>
      <c r="O56" s="124" t="str"/>
      <c r="P56" s="125"/>
      <c r="Q56" s="112"/>
      <c r="R56" s="112"/>
      <c r="S56" s="112"/>
      <c r="T56" s="112"/>
      <c r="U56" s="112"/>
      <c r="V56" s="112"/>
      <c r="W56" s="112"/>
      <c r="X56" s="112"/>
      <c r="Y56" s="112"/>
    </row>
    <row r="57" ht="167.5" customHeight="1">
      <c r="A57" s="120" t="str">
        <v>MEET_API_IT42</v>
      </c>
      <c r="B57" s="120" t="str">
        <v>Verify PUT /api/meetings/{id} returns validation errors without changing the meeting.</v>
      </c>
      <c r="C57" s="120" t="str">
        <v>1. Send PUT request to /api/meetings/&lt;id of a Draft&gt;.
2. Request headers: Content-Type: application/json; Authorization: Bearer &lt;access token of thuky@trustcabinet.local&gt; (Secretary, MeetingCreator).
3. Query parameters: None.
4. Request JSON body: { "title": "", ...other fields valid... }.</v>
      </c>
      <c r="D57" s="120" t="str">
        <v>1. HTTP 400 Bad Request response with code "MSG31" and an error on title.
2. The meeting keeps its previous values.</v>
      </c>
      <c r="E57" s="120" t="str">
        <v>1. Backend is running.
2. thuky owns a Draft.</v>
      </c>
      <c r="F57" s="121" t="str">
        <v>Pending</v>
      </c>
      <c r="G57" s="122" t="str"/>
      <c r="H57" s="121" t="str"/>
      <c r="I57" s="121" t="str"/>
      <c r="J57" s="122" t="str"/>
      <c r="K57" s="121" t="str"/>
      <c r="L57" s="121" t="str"/>
      <c r="M57" s="123" t="str"/>
      <c r="N57" s="121" t="str"/>
      <c r="O57" s="124" t="str"/>
      <c r="P57" s="125"/>
      <c r="Q57" s="112"/>
      <c r="R57" s="112"/>
      <c r="S57" s="112"/>
      <c r="T57" s="112"/>
      <c r="U57" s="112"/>
      <c r="V57" s="112"/>
      <c r="W57" s="112"/>
      <c r="X57" s="112"/>
      <c r="Y57" s="112"/>
    </row>
    <row r="58" ht="167.5" customHeight="1">
      <c r="A58" s="120" t="str">
        <v>MEET_API_IT43</v>
      </c>
      <c r="B58" s="120" t="str">
        <v>Verify PUT /api/meetings/{id} returns MSG36 with 500 when it cannot be saved.</v>
      </c>
      <c r="C58" s="120" t="str">
        <v>1. Send PUT request to /api/meetings/&lt;id of a Draft&gt;.
2. Request headers: Content-Type: application/json; Authorization: Bearer &lt;access token of thuky@trustcabinet.local&gt; (Secretary, MeetingCreator).
3. Query parameters: None.
4. Request JSON body: { "title": "Không được lưu", ...other fields valid... }.</v>
      </c>
      <c r="D58" s="120" t="str">
        <v>1. HTTP 500 Internal Server Error response.
2. Response JSON body: code "MSG36", message "Không thể cập nhật cuộc họp. Vui lòng thử lại.".</v>
      </c>
      <c r="E58" s="120" t="str">
        <v>1. Backend is running.
2. thuky owns a Draft.
3. The PostgreSQL container is stopped just before saving.</v>
      </c>
      <c r="F58" s="121" t="str">
        <v>Pending</v>
      </c>
      <c r="G58" s="122" t="str"/>
      <c r="H58" s="121" t="str"/>
      <c r="I58" s="121" t="str"/>
      <c r="J58" s="122" t="str"/>
      <c r="K58" s="121" t="str"/>
      <c r="L58" s="121" t="str"/>
      <c r="M58" s="123" t="str"/>
      <c r="N58" s="121" t="str"/>
      <c r="O58" s="124" t="str"/>
      <c r="P58" s="125"/>
      <c r="Q58" s="112"/>
      <c r="R58" s="112"/>
      <c r="S58" s="112"/>
      <c r="T58" s="112"/>
      <c r="U58" s="112"/>
      <c r="V58" s="112"/>
      <c r="W58" s="112"/>
      <c r="X58" s="112"/>
      <c r="Y58" s="112"/>
    </row>
    <row r="59" ht="24" customHeight="1">
      <c r="A59" s="120" t="str">
        <v>GET /api/meetings/{id}/submission-readiness</v>
      </c>
      <c r="B59" s="120"/>
      <c r="C59" s="120"/>
      <c r="D59" s="120"/>
      <c r="E59" s="120"/>
      <c r="F59" s="121"/>
      <c r="G59" s="122"/>
      <c r="H59" s="121"/>
      <c r="I59" s="121"/>
      <c r="J59" s="122"/>
      <c r="K59" s="121"/>
      <c r="L59" s="121"/>
      <c r="M59" s="123"/>
      <c r="N59" s="121"/>
      <c r="O59" s="124"/>
      <c r="P59" s="125"/>
      <c r="Q59" s="112"/>
      <c r="R59" s="112"/>
      <c r="S59" s="112"/>
      <c r="T59" s="112"/>
      <c r="U59" s="112"/>
      <c r="V59" s="112"/>
      <c r="W59" s="112"/>
      <c r="X59" s="112"/>
      <c r="Y59" s="112"/>
    </row>
    <row r="60" ht="153.0" customHeight="1">
      <c r="A60" s="120" t="str">
        <v>MEET_API_IT44</v>
      </c>
      <c r="B60" s="120" t="str">
        <v>Verify submission readiness does not need agenda items and changes nothing.</v>
      </c>
      <c r="C60" s="120" t="str">
        <v>1. Send GET request to /api/meetings/&lt;id of a complete Draft&gt;/submission-readiness.
2. Request headers: Authorization: Bearer &lt;access token of thuky@trustcabinet.local&gt; (Secretary, MeetingCreator).
3. Query parameters: None.
4. Request body: None (GET request).</v>
      </c>
      <c r="D60" s="120" t="str">
        <v>1. HTTP 200 OK response.
2. ready is true and errors is empty.
3. The meeting stays Draft; nothing is saved.</v>
      </c>
      <c r="E60" s="120" t="str">
        <v>1. Backend is running.
2. thuky owns a Draft with title, schedule and a Chair, but no agenda item.</v>
      </c>
      <c r="F60" s="121" t="str">
        <v>Pending</v>
      </c>
      <c r="G60" s="122" t="str"/>
      <c r="H60" s="121" t="str"/>
      <c r="I60" s="121" t="str"/>
      <c r="J60" s="122" t="str"/>
      <c r="K60" s="121" t="str"/>
      <c r="L60" s="121" t="str"/>
      <c r="M60" s="123" t="str"/>
      <c r="N60" s="121" t="str"/>
      <c r="O60" s="124" t="str"/>
      <c r="P60" s="125"/>
      <c r="Q60" s="112"/>
      <c r="R60" s="112"/>
      <c r="S60" s="112"/>
      <c r="T60" s="112"/>
      <c r="U60" s="112"/>
      <c r="V60" s="112"/>
      <c r="W60" s="112"/>
      <c r="X60" s="112"/>
      <c r="Y60" s="112"/>
    </row>
    <row r="61" ht="138.5" customHeight="1">
      <c r="A61" s="120" t="str">
        <v>MEET_API_IT45</v>
      </c>
      <c r="B61" s="120" t="str">
        <v>Verify readiness and submit on an Approved meeting return MSG41 without side effects.</v>
      </c>
      <c r="C61" s="120" t="str">
        <v>1. Send GET request to /api/meetings/&lt;id of an Approved meeting&gt;/submission-readiness as thuky.
2. Send POST request to /api/meetings/&lt;id&gt;/transitions with body { "action": "SubmitForApproval", "assignedApproverId": "&lt;id of chutoa&gt;" }.</v>
      </c>
      <c r="D61" s="120" t="str">
        <v>1. Both requests return HTTP 409 Conflict with code "MSG41" ("Cuộc họp không còn ở trạng thái Draft hoặc Rejected.").
2. The meeting stays Approved; no history or notification is added.</v>
      </c>
      <c r="E61" s="120" t="str">
        <v>1. Backend is running.
2. thuky owns an Approved meeting.</v>
      </c>
      <c r="F61" s="121" t="str">
        <v>Pending</v>
      </c>
      <c r="G61" s="122" t="str"/>
      <c r="H61" s="121" t="str"/>
      <c r="I61" s="121" t="str"/>
      <c r="J61" s="122" t="str"/>
      <c r="K61" s="121" t="str"/>
      <c r="L61" s="121" t="str"/>
      <c r="M61" s="123" t="str"/>
      <c r="N61" s="121" t="str"/>
      <c r="O61" s="124" t="str"/>
      <c r="P61" s="125"/>
      <c r="Q61" s="112"/>
      <c r="R61" s="112"/>
      <c r="S61" s="112"/>
      <c r="T61" s="112"/>
      <c r="U61" s="112"/>
      <c r="V61" s="112"/>
      <c r="W61" s="112"/>
      <c r="X61" s="112"/>
      <c r="Y61" s="112"/>
    </row>
    <row r="62" ht="124.0" customHeight="1">
      <c r="A62" s="120" t="str">
        <v>MEET_API_IT46</v>
      </c>
      <c r="B62" s="120" t="str">
        <v>Verify readiness and history return MSG136 and MSG131 with 503 on a temporary read failure.</v>
      </c>
      <c r="C62" s="120" t="str">
        <v>1. Send GET request to /api/meetings/&lt;id&gt;/submission-readiness as thuky.
2. Send GET request to /api/meetings/&lt;id&gt;/history as thuky.</v>
      </c>
      <c r="D62" s="120" t="str">
        <v>1. Readiness returns HTTP 503 with code "MSG136" ("Không thể tải dữ liệu quy trình cuộc họp. Vui lòng thử lại.").
2. History returns HTTP 503 with code "MSG131" ("Không thể kiểm tra tài khoản để thực hiện thao tác cuộc họp. Vui lòng thử lại.").</v>
      </c>
      <c r="E62" s="120" t="str">
        <v>1. Backend is running.
2. thuky owns a Draft.
3. PostgreSQL is made unreachable just before each request.</v>
      </c>
      <c r="F62" s="121" t="str">
        <v>Pending</v>
      </c>
      <c r="G62" s="122" t="str"/>
      <c r="H62" s="121" t="str"/>
      <c r="I62" s="121" t="str"/>
      <c r="J62" s="122" t="str"/>
      <c r="K62" s="121" t="str"/>
      <c r="L62" s="121" t="str"/>
      <c r="M62" s="123" t="str"/>
      <c r="N62" s="121" t="str"/>
      <c r="O62" s="124" t="str"/>
      <c r="P62" s="125"/>
      <c r="Q62" s="112"/>
      <c r="R62" s="112"/>
      <c r="S62" s="112"/>
      <c r="T62" s="112"/>
      <c r="U62" s="112"/>
      <c r="V62" s="112"/>
      <c r="W62" s="112"/>
      <c r="X62" s="112"/>
      <c r="Y62" s="112"/>
    </row>
    <row r="63" ht="24" customHeight="1">
      <c r="A63" s="120" t="str">
        <v>POST /api/meetings/{id}/transitions</v>
      </c>
      <c r="B63" s="120"/>
      <c r="C63" s="120"/>
      <c r="D63" s="120"/>
      <c r="E63" s="120"/>
      <c r="F63" s="121"/>
      <c r="G63" s="122"/>
      <c r="H63" s="121"/>
      <c r="I63" s="121"/>
      <c r="J63" s="122"/>
      <c r="K63" s="121"/>
      <c r="L63" s="121"/>
      <c r="M63" s="123"/>
      <c r="N63" s="121"/>
      <c r="O63" s="124"/>
      <c r="P63" s="125"/>
      <c r="Q63" s="112"/>
      <c r="R63" s="112"/>
      <c r="S63" s="112"/>
      <c r="T63" s="112"/>
      <c r="U63" s="112"/>
      <c r="V63" s="112"/>
      <c r="W63" s="112"/>
      <c r="X63" s="112"/>
      <c r="Y63" s="112"/>
    </row>
    <row r="64" ht="211.0" customHeight="1">
      <c r="A64" s="120" t="str">
        <v>MEET_API_IT47</v>
      </c>
      <c r="B64" s="120" t="str">
        <v>Verify SubmitForApproval moves a Draft to WaitingApproval and returns the history.</v>
      </c>
      <c r="C64" s="120" t="str">
        <v>1. Send POST request to /api/meetings/0199ac54-d000-7000-8000-000000000019/transitions.
2. Request headers: Content-Type: application/json; Authorization: Bearer &lt;access token of thuky@trustcabinet.local&gt; (Secretary, MeetingCreator).
3. Query parameters: None.
4. Request JSON body: { "action": "SubmitForApproval", "assignedApproverId": "&lt;id of chutoa from GET /api/meetings/approvers&gt;" }.</v>
      </c>
      <c r="D64" s="120" t="str">
        <v>1. HTTP 200 OK response.
2. status is "WaitingApproval" and assignedApproverId is chutoa.
3. The history now has a SubmitForApproval entry by thuky.
4. chutoa receives a notification.</v>
      </c>
      <c r="E64" s="120" t="str">
        <v>1. Backend is running.
2. The demo Draft "SCRUM-19 — Luồng duyệt và công bố (demo)" exists, owned by thuky, with an agenda item.</v>
      </c>
      <c r="F64" s="121" t="str">
        <v>Pending</v>
      </c>
      <c r="G64" s="122" t="str"/>
      <c r="H64" s="121" t="str"/>
      <c r="I64" s="121" t="str"/>
      <c r="J64" s="122" t="str"/>
      <c r="K64" s="121" t="str"/>
      <c r="L64" s="121" t="str"/>
      <c r="M64" s="123" t="str"/>
      <c r="N64" s="121" t="str"/>
      <c r="O64" s="124" t="str"/>
      <c r="P64" s="125"/>
      <c r="Q64" s="112"/>
      <c r="R64" s="112"/>
      <c r="S64" s="112"/>
      <c r="T64" s="112"/>
      <c r="U64" s="112"/>
      <c r="V64" s="112"/>
      <c r="W64" s="112"/>
      <c r="X64" s="112"/>
      <c r="Y64" s="112"/>
    </row>
    <row r="65" ht="153.0" customHeight="1">
      <c r="A65" s="120" t="str">
        <v>MEET_API_IT48</v>
      </c>
      <c r="B65" s="120" t="str">
        <v>Verify submit returns MSG81 when the meeting is incomplete and MSG82 for an ineligible approver.</v>
      </c>
      <c r="C65" s="120" t="str">
        <v>1. Clear the title of thuky's Draft, then send POST /api/meetings/&lt;id&gt;/transitions with { "action": "SubmitForApproval", "assignedApproverId": "&lt;id of chutoa&gt;" }.
2. Restore the title "Giao ban tuần", remove MeetingApprover from chutoa's role, and send the same request.</v>
      </c>
      <c r="D65" s="120" t="str">
        <v>1. The first request returns HTTP 400 Bad Request with code "MSG81" ("Cuộc họp chưa đủ thông tin để gửi duyệt.").
2. The second returns HTTP 400 Bad Request with code "MSG82" ("Người duyệt không hợp lệ hoặc không còn quyền duyệt cuộc họp.").
3. The meeting stays Draft.</v>
      </c>
      <c r="E65" s="120" t="str">
        <v>1. Backend is running.
2. thuky owns a Draft.</v>
      </c>
      <c r="F65" s="121" t="str">
        <v>Pending</v>
      </c>
      <c r="G65" s="122" t="str"/>
      <c r="H65" s="121" t="str"/>
      <c r="I65" s="121" t="str"/>
      <c r="J65" s="122" t="str"/>
      <c r="K65" s="121" t="str"/>
      <c r="L65" s="121" t="str"/>
      <c r="M65" s="123" t="str"/>
      <c r="N65" s="121" t="str"/>
      <c r="O65" s="124" t="str"/>
      <c r="P65" s="125"/>
      <c r="Q65" s="112"/>
      <c r="R65" s="112"/>
      <c r="S65" s="112"/>
      <c r="T65" s="112"/>
      <c r="U65" s="112"/>
      <c r="V65" s="112"/>
      <c r="W65" s="112"/>
      <c r="X65" s="112"/>
      <c r="Y65" s="112"/>
    </row>
    <row r="66" ht="124.0" customHeight="1">
      <c r="A66" s="120" t="str">
        <v>MEET_API_IT49</v>
      </c>
      <c r="B66" s="120" t="str">
        <v>Verify an organizer cannot submit a meeting to themselves for approval (MSG82), whatever its sensitivity.</v>
      </c>
      <c r="C66" s="120" t="str">
        <v>1. For a Normal, Internal, Confidential and Secret Draft owned by thuky, send POST /api/meetings/&lt;id&gt;/transitions with { "action": "SubmitForApproval", "assignedApproverId": "&lt;id of thuky&gt;" }.</v>
      </c>
      <c r="D66" s="120" t="str">
        <v>1. Each request returns HTTP 400 Bad Request with code "MSG82".
2. No status, history or notification is written.</v>
      </c>
      <c r="E66" s="120" t="str">
        <v>1. Backend is running.
2. thuky has both MeetingCreator and MeetingApprover.
3. thuky owns four Drafts, one per sensitivity, each with a Chair and an agenda item.</v>
      </c>
      <c r="F66" s="121" t="str">
        <v>Pending</v>
      </c>
      <c r="G66" s="122" t="str"/>
      <c r="H66" s="121" t="str"/>
      <c r="I66" s="121" t="str"/>
      <c r="J66" s="122" t="str"/>
      <c r="K66" s="121" t="str"/>
      <c r="L66" s="121" t="str"/>
      <c r="M66" s="123" t="str"/>
      <c r="N66" s="121" t="str"/>
      <c r="O66" s="124" t="str"/>
      <c r="P66" s="125"/>
      <c r="Q66" s="112"/>
      <c r="R66" s="112"/>
      <c r="S66" s="112"/>
      <c r="T66" s="112"/>
      <c r="U66" s="112"/>
      <c r="V66" s="112"/>
      <c r="W66" s="112"/>
      <c r="X66" s="112"/>
      <c r="Y66" s="112"/>
    </row>
    <row r="67" ht="124.0" customHeight="1">
      <c r="A67" s="120" t="str">
        <v>MEET_API_IT50</v>
      </c>
      <c r="B67" s="120" t="str">
        <v>Verify a Rejected meeting can be resubmitted directly and keeps the earlier rejection.</v>
      </c>
      <c r="C67" s="120" t="str">
        <v>1. Send GET request to /api/meetings/&lt;id&gt;/submission-readiness as thuky.
2. Send POST request to /api/meetings/&lt;id&gt;/transitions with { "action": "SubmitForApproval", "assignedApproverId": "&lt;id of the new approver&gt;" }.</v>
      </c>
      <c r="D67" s="120" t="str">
        <v>1. Readiness returns HTTP 200 OK with ready true.
2. Submit returns HTTP 200 OK with code "MSG78"; status is WaitingApproval with the new approver.
3. The history has 2 entries; the earlier rejection with reason "Cần bổ sung số liệu" is unchanged.</v>
      </c>
      <c r="E67" s="120" t="str">
        <v>1. Backend is running.
2. thuky owns a Rejected meeting rejected by a former approver with reason "Cần bổ sung số liệu".
3. A different active approver exists.</v>
      </c>
      <c r="F67" s="121" t="str">
        <v>Pending</v>
      </c>
      <c r="G67" s="122" t="str"/>
      <c r="H67" s="121" t="str"/>
      <c r="I67" s="121" t="str"/>
      <c r="J67" s="122" t="str"/>
      <c r="K67" s="121" t="str"/>
      <c r="L67" s="121" t="str"/>
      <c r="M67" s="123" t="str"/>
      <c r="N67" s="121" t="str"/>
      <c r="O67" s="124" t="str"/>
      <c r="P67" s="125"/>
      <c r="Q67" s="112"/>
      <c r="R67" s="112"/>
      <c r="S67" s="112"/>
      <c r="T67" s="112"/>
      <c r="U67" s="112"/>
      <c r="V67" s="112"/>
      <c r="W67" s="112"/>
      <c r="X67" s="112"/>
      <c r="Y67" s="112"/>
    </row>
    <row r="68" ht="225.5" customHeight="1">
      <c r="A68" s="120" t="str">
        <v>MEET_API_IT51</v>
      </c>
      <c r="B68" s="120" t="str">
        <v>Verify each transition returns its own success code.</v>
      </c>
      <c r="C68" s="120" t="str">
        <v>1. As the assigned approver (chutoa), send { "action": "Approve" } to a WaitingApproval meeting.
2. As chutoa, send { "action": "Reject", "reason": "Cần bổ sung số liệu" } to another WaitingApproval meeting.
3. As thuky, send { "action": "ReturnToDraft" } to a Rejected meeting.
4. As thuky, send { "action": "Publish" } to an Approved meeting with a Chair and a Secretary.</v>
      </c>
      <c r="D68" s="120" t="str">
        <v>1. Approve returns HTTP 200 with code "MSG43" ("Đã duyệt cuộc họp.").
2. Reject returns HTTP 200 with code "MSG44" ("Đã từ chối cuộc họp.").
3. ReturnToDraft returns HTTP 200 with code "MSG79" ("Đã đưa cuộc họp về bản nháp.").
4. Publish returns HTTP 200 with code "MSG45" ("Đã công bố cuộc họp.").</v>
      </c>
      <c r="E68" s="120" t="str">
        <v>1. Backend is running.
2. Meetings in the needed statuses exist; chutoa has MeetingApprover, thuky has MeetingCreator.</v>
      </c>
      <c r="F68" s="121" t="str">
        <v>Pending</v>
      </c>
      <c r="G68" s="122" t="str"/>
      <c r="H68" s="121" t="str"/>
      <c r="I68" s="121" t="str"/>
      <c r="J68" s="122" t="str"/>
      <c r="K68" s="121" t="str"/>
      <c r="L68" s="121" t="str"/>
      <c r="M68" s="123" t="str"/>
      <c r="N68" s="121" t="str"/>
      <c r="O68" s="124" t="str"/>
      <c r="P68" s="125"/>
      <c r="Q68" s="112"/>
      <c r="R68" s="112"/>
      <c r="S68" s="112"/>
      <c r="T68" s="112"/>
      <c r="U68" s="112"/>
      <c r="V68" s="112"/>
      <c r="W68" s="112"/>
      <c r="X68" s="112"/>
      <c r="Y68" s="112"/>
    </row>
    <row r="69" ht="124.0" customHeight="1">
      <c r="A69" s="120" t="str">
        <v>MEET_API_IT52</v>
      </c>
      <c r="B69" s="120" t="str">
        <v>Verify a transition from the wrong status returns its own conflict code.</v>
      </c>
      <c r="C69" s="120" t="str">
        <v>1. As chutoa, send { "action": "Approve" } to a Rejected meeting.
2. As thuky, send { "action": "ReturnToDraft" } to a Draft.
3. As thuky, send { "action": "Publish" } to a Draft.</v>
      </c>
      <c r="D69" s="120" t="str">
        <v>1. Approve returns HTTP 409 with code "MSG132".
2. ReturnToDraft returns HTTP 409 with code "MSG133".
3. Publish returns HTTP 409 with code "MSG46".
4. No status changes.</v>
      </c>
      <c r="E69" s="120" t="str">
        <v>1. Backend is running.
2. Meetings in the needed statuses exist.</v>
      </c>
      <c r="F69" s="121" t="str">
        <v>Pending</v>
      </c>
      <c r="G69" s="122" t="str"/>
      <c r="H69" s="121" t="str"/>
      <c r="I69" s="121" t="str"/>
      <c r="J69" s="122" t="str"/>
      <c r="K69" s="121" t="str"/>
      <c r="L69" s="121" t="str"/>
      <c r="M69" s="123" t="str"/>
      <c r="N69" s="121" t="str"/>
      <c r="O69" s="124" t="str"/>
      <c r="P69" s="125"/>
      <c r="Q69" s="112"/>
      <c r="R69" s="112"/>
      <c r="S69" s="112"/>
      <c r="T69" s="112"/>
      <c r="U69" s="112"/>
      <c r="V69" s="112"/>
      <c r="W69" s="112"/>
      <c r="X69" s="112"/>
      <c r="Y69" s="112"/>
    </row>
    <row r="70" ht="138.5" customHeight="1">
      <c r="A70" s="120" t="str">
        <v>MEET_API_IT53</v>
      </c>
      <c r="B70" s="120" t="str">
        <v>Verify a transition that cannot be saved returns its own code.</v>
      </c>
      <c r="C70" s="120" t="str">
        <v>1. Stop PostgreSQL just before each request.
2. As thuky, submit a complete Draft.
3. As chutoa, approve a WaitingApproval meeting.
4. As thuky, publish an Approved meeting with its roster.</v>
      </c>
      <c r="D70" s="120" t="str">
        <v>1. Submit returns HTTP 503 with code "MSG42".
2. Approve returns HTTP 503 with code "MSG88".
3. Publish returns HTTP 503 with code "MSG47".
4. The message of each is "Không thể chuyển trạng thái cuộc họp. Vui lòng thử lại.".</v>
      </c>
      <c r="E70" s="120" t="str">
        <v>1. Backend is running.
2. Meetings in the needed statuses exist.</v>
      </c>
      <c r="F70" s="121" t="str">
        <v>Pending</v>
      </c>
      <c r="G70" s="122" t="str"/>
      <c r="H70" s="121" t="str"/>
      <c r="I70" s="121" t="str"/>
      <c r="J70" s="122" t="str"/>
      <c r="K70" s="121" t="str"/>
      <c r="L70" s="121" t="str"/>
      <c r="M70" s="123" t="str"/>
      <c r="N70" s="121" t="str"/>
      <c r="O70" s="124" t="str"/>
      <c r="P70" s="125"/>
      <c r="Q70" s="112"/>
      <c r="R70" s="112"/>
      <c r="S70" s="112"/>
      <c r="T70" s="112"/>
      <c r="U70" s="112"/>
      <c r="V70" s="112"/>
      <c r="W70" s="112"/>
      <c r="X70" s="112"/>
      <c r="Y70" s="112"/>
    </row>
    <row r="71" ht="182.0" customHeight="1">
      <c r="A71" s="120" t="str">
        <v>MEET_API_IT54</v>
      </c>
      <c r="B71" s="120" t="str">
        <v>Verify a rejection reason longer than 1000 characters returns MSG84.</v>
      </c>
      <c r="C71" s="120" t="str">
        <v>1. Send POST request to /api/meetings/&lt;id of the WaitingApproval meeting&gt;/transitions.
2. Request headers: Content-Type: application/json; Authorization: Bearer &lt;access token of chutoa@trustcabinet.local&gt; (Chair).
3. Query parameters: None.
4. Request JSON body: { "action": "Reject", "reason": "&lt;1001 characters&gt;" }.</v>
      </c>
      <c r="D71" s="120" t="str">
        <v>1. HTTP 400 Bad Request response with code "MSG84" ("Lý do từ chối không được vượt quá 1.000 ký tự.").
2. The meeting stays WaitingApproval.</v>
      </c>
      <c r="E71" s="120" t="str">
        <v>1. Backend is running.
2. chutoa is the assigned approver of a WaitingApproval meeting.</v>
      </c>
      <c r="F71" s="121" t="str">
        <v>Pending</v>
      </c>
      <c r="G71" s="122" t="str"/>
      <c r="H71" s="121" t="str"/>
      <c r="I71" s="121" t="str"/>
      <c r="J71" s="122" t="str"/>
      <c r="K71" s="121" t="str"/>
      <c r="L71" s="121" t="str"/>
      <c r="M71" s="123" t="str"/>
      <c r="N71" s="121" t="str"/>
      <c r="O71" s="124" t="str"/>
      <c r="P71" s="125"/>
      <c r="Q71" s="112"/>
      <c r="R71" s="112"/>
      <c r="S71" s="112"/>
      <c r="T71" s="112"/>
      <c r="U71" s="112"/>
      <c r="V71" s="112"/>
      <c r="W71" s="112"/>
      <c r="X71" s="112"/>
      <c r="Y71" s="112"/>
    </row>
    <row r="72" ht="182.0" customHeight="1">
      <c r="A72" s="120" t="str">
        <v>MEET_API_IT55</v>
      </c>
      <c r="B72" s="120" t="str">
        <v>Verify a Reject with a null reason is refused as a missing reason.</v>
      </c>
      <c r="C72" s="120" t="str">
        <v>1. Send POST request to /api/meetings/&lt;id of the WaitingApproval meeting&gt;/transitions.
2. Request headers: Content-Type: application/json; Authorization: Bearer &lt;access token of chutoa@trustcabinet.local&gt; (Chair).
3. Query parameters: None.
4. Request JSON body: { "action": "Reject", "reason": null }.</v>
      </c>
      <c r="D72" s="120" t="str">
        <v>1. HTTP 400 Bad Request response with a required-reason error.
2. The meeting stays WaitingApproval.</v>
      </c>
      <c r="E72" s="120" t="str">
        <v>1. Backend is running.
2. chutoa is the assigned approver of a WaitingApproval meeting.</v>
      </c>
      <c r="F72" s="121" t="str">
        <v>Pending</v>
      </c>
      <c r="G72" s="122" t="str"/>
      <c r="H72" s="121" t="str"/>
      <c r="I72" s="121" t="str"/>
      <c r="J72" s="122" t="str"/>
      <c r="K72" s="121" t="str"/>
      <c r="L72" s="121" t="str"/>
      <c r="M72" s="123" t="str"/>
      <c r="N72" s="121" t="str"/>
      <c r="O72" s="124" t="str"/>
      <c r="P72" s="125"/>
      <c r="Q72" s="112"/>
      <c r="R72" s="112"/>
      <c r="S72" s="112"/>
      <c r="T72" s="112"/>
      <c r="U72" s="112"/>
      <c r="V72" s="112"/>
      <c r="W72" s="112"/>
      <c r="X72" s="112"/>
      <c r="Y72" s="112"/>
    </row>
    <row r="73" ht="153.0" customHeight="1">
      <c r="A73" s="120" t="str">
        <v>MEET_API_IT56</v>
      </c>
      <c r="B73" s="120" t="str">
        <v>Verify transitions require JSON and return MSG34 otherwise.</v>
      </c>
      <c r="C73" s="120" t="str">
        <v>1. Send POST request to /api/meetings/&lt;id of a Draft&gt;/transitions.
2. Request headers: Content-Type: application/json; Content-Type: text/plain; Authorization: Bearer &lt;access token of thuky@trustcabinet.local&gt;.
3. Query parameters: None.
4. Request JSON body: {}.</v>
      </c>
      <c r="D73" s="120" t="str">
        <v>1. HTTP 415 Unsupported Media Type response with code "MSG34".</v>
      </c>
      <c r="E73" s="120" t="str">
        <v>1. Backend is running.
2. thuky owns a Draft.</v>
      </c>
      <c r="F73" s="121" t="str">
        <v>Pending</v>
      </c>
      <c r="G73" s="122" t="str"/>
      <c r="H73" s="121" t="str"/>
      <c r="I73" s="121" t="str"/>
      <c r="J73" s="122" t="str"/>
      <c r="K73" s="121" t="str"/>
      <c r="L73" s="121" t="str"/>
      <c r="M73" s="123" t="str"/>
      <c r="N73" s="121" t="str"/>
      <c r="O73" s="124" t="str"/>
      <c r="P73" s="125"/>
      <c r="Q73" s="112"/>
      <c r="R73" s="112"/>
      <c r="S73" s="112"/>
      <c r="T73" s="112"/>
      <c r="U73" s="112"/>
      <c r="V73" s="112"/>
      <c r="W73" s="112"/>
      <c r="X73" s="112"/>
      <c r="Y73" s="112"/>
    </row>
    <row r="74" ht="109.5" customHeight="1">
      <c r="A74" s="120" t="str">
        <v>MEET_API_IT57</v>
      </c>
      <c r="B74" s="120" t="str">
        <v>Verify transitions refuse unknown fields, a null reason on ReturnToDraft and numeric actions.</v>
      </c>
      <c r="C74" s="120" t="str">
        <v>1. Send { "action": "ReturnToDraft", "status": "Draft" } to /api/meetings/&lt;id&gt;/transitions as thuky.
2. Send { "action": "ReturnToDraft", "reason": null }.
3. Send { "action": 4 }.</v>
      </c>
      <c r="D74" s="120" t="str">
        <v>1. Each request returns HTTP 400 Bad Request with code "MSG80" ("Yêu cầu chuyển trạng thái không hợp lệ.").
2. The meeting does not change.</v>
      </c>
      <c r="E74" s="120" t="str">
        <v>1. Backend is running.
2. thuky owns a WaitingApproval meeting with an assigned approver.</v>
      </c>
      <c r="F74" s="121" t="str">
        <v>Pending</v>
      </c>
      <c r="G74" s="122" t="str"/>
      <c r="H74" s="121" t="str"/>
      <c r="I74" s="121" t="str"/>
      <c r="J74" s="122" t="str"/>
      <c r="K74" s="121" t="str"/>
      <c r="L74" s="121" t="str"/>
      <c r="M74" s="123" t="str"/>
      <c r="N74" s="121" t="str"/>
      <c r="O74" s="124" t="str"/>
      <c r="P74" s="125"/>
      <c r="Q74" s="112"/>
      <c r="R74" s="112"/>
      <c r="S74" s="112"/>
      <c r="T74" s="112"/>
      <c r="U74" s="112"/>
      <c r="V74" s="112"/>
      <c r="W74" s="112"/>
      <c r="X74" s="112"/>
      <c r="Y74" s="112"/>
    </row>
    <row r="75" ht="95.0" customHeight="1">
      <c r="A75" s="120" t="str">
        <v>MEET_API_IT58</v>
      </c>
      <c r="B75" s="120" t="str">
        <v>Verify the action must be one exact name; nothing is published otherwise.</v>
      </c>
      <c r="C75" s="120" t="str">
        <v>1. Send POST /api/meetings/&lt;id&gt;/transitions as thuky with each action value: "4", "04", "+4", "SubmitForApproval,Publish", "Publish,Publish", " Publish ", "publish".</v>
      </c>
      <c r="D75" s="120" t="str">
        <v>1. Every request returns HTTP 400 Bad Request with code "MSG80".
2. The meeting stays Approved and has no new history.</v>
      </c>
      <c r="E75" s="120" t="str">
        <v>1. Backend is running.
2. thuky owns an Approved meeting with a Chair and a Secretary.</v>
      </c>
      <c r="F75" s="121" t="str">
        <v>Pending</v>
      </c>
      <c r="G75" s="122" t="str"/>
      <c r="H75" s="121" t="str"/>
      <c r="I75" s="121" t="str"/>
      <c r="J75" s="122" t="str"/>
      <c r="K75" s="121" t="str"/>
      <c r="L75" s="121" t="str"/>
      <c r="M75" s="123" t="str"/>
      <c r="N75" s="121" t="str"/>
      <c r="O75" s="124" t="str"/>
      <c r="P75" s="125"/>
      <c r="Q75" s="112"/>
      <c r="R75" s="112"/>
      <c r="S75" s="112"/>
      <c r="T75" s="112"/>
      <c r="U75" s="112"/>
      <c r="V75" s="112"/>
      <c r="W75" s="112"/>
      <c r="X75" s="112"/>
      <c r="Y75" s="112"/>
    </row>
    <row r="76" ht="167.5" customHeight="1">
      <c r="A76" s="120" t="str">
        <v>MEET_API_IT59</v>
      </c>
      <c r="B76" s="120" t="str">
        <v>Verify ReturnToDraft from WaitingApproval checks the current approver and the organizer's rights.</v>
      </c>
      <c r="C76" s="120" t="str">
        <v>1. Case A: approver still eligible, organizer has MeetingCreator - send { "action": "ReturnToDraft" } as thuky.
2. Case B: approver lost MeetingApprover, organizer has MeetingCreator - send the same.
3. Case C: approver lost MeetingApprover, organizer lost MeetingCreator - send the same.</v>
      </c>
      <c r="D76" s="120" t="str">
        <v>1. Case A is refused (403 with code "MSG85"); the approver is still able to act.
2. Case B returns HTTP 200 with code "MSG79"; the meeting is Draft again.
3. Case C is refused; the meeting stays WaitingApproval.</v>
      </c>
      <c r="E76" s="120" t="str">
        <v>1. Backend is running.
2. thuky owns a WaitingApproval meeting assigned to an approver.</v>
      </c>
      <c r="F76" s="121" t="str">
        <v>Pending</v>
      </c>
      <c r="G76" s="122" t="str"/>
      <c r="H76" s="121" t="str"/>
      <c r="I76" s="121" t="str"/>
      <c r="J76" s="122" t="str"/>
      <c r="K76" s="121" t="str"/>
      <c r="L76" s="121" t="str"/>
      <c r="M76" s="123" t="str"/>
      <c r="N76" s="121" t="str"/>
      <c r="O76" s="124" t="str"/>
      <c r="P76" s="125"/>
      <c r="Q76" s="112"/>
      <c r="R76" s="112"/>
      <c r="S76" s="112"/>
      <c r="T76" s="112"/>
      <c r="U76" s="112"/>
      <c r="V76" s="112"/>
      <c r="W76" s="112"/>
      <c r="X76" s="112"/>
      <c r="Y76" s="112"/>
    </row>
    <row r="77" ht="153.0" customHeight="1">
      <c r="A77" s="120" t="str">
        <v>MEET_API_IT60</v>
      </c>
      <c r="B77" s="120" t="str">
        <v>Verify the current approver cannot withdraw a blocked meeting on the organizer's behalf.</v>
      </c>
      <c r="C77" s="120" t="str">
        <v>1. Send POST request to /api/meetings/&lt;id of the WaitingApproval meeting&gt;/transitions.
2. Request headers: Content-Type: application/json; Authorization: Bearer &lt;access token of the blocked approver&gt;.
3. Query parameters: None.
4. Request JSON body: { "action": "ReturnToDraft" }.</v>
      </c>
      <c r="D77" s="120" t="str">
        <v>1. HTTP 403 Forbidden response.
2. The meeting stays WaitingApproval with no new history or notification.</v>
      </c>
      <c r="E77" s="120" t="str">
        <v>1. Backend is running.
2. The assigned approver lost MeetingApprover but has MeetingCreator.</v>
      </c>
      <c r="F77" s="121" t="str">
        <v>Pending</v>
      </c>
      <c r="G77" s="122" t="str"/>
      <c r="H77" s="121" t="str"/>
      <c r="I77" s="121" t="str"/>
      <c r="J77" s="122" t="str"/>
      <c r="K77" s="121" t="str"/>
      <c r="L77" s="121" t="str"/>
      <c r="M77" s="123" t="str"/>
      <c r="N77" s="121" t="str"/>
      <c r="O77" s="124" t="str"/>
      <c r="P77" s="125"/>
      <c r="Q77" s="112"/>
      <c r="R77" s="112"/>
      <c r="S77" s="112"/>
      <c r="T77" s="112"/>
      <c r="U77" s="112"/>
      <c r="V77" s="112"/>
      <c r="W77" s="112"/>
      <c r="X77" s="112"/>
      <c r="Y77" s="112"/>
    </row>
    <row r="78" ht="109.5" customHeight="1">
      <c r="A78" s="120" t="str">
        <v>MEET_API_IT61</v>
      </c>
      <c r="B78" s="120" t="str">
        <v>Verify an old self-assignment cannot be used to approve or reject (MSG85).</v>
      </c>
      <c r="C78" s="120" t="str">
        <v>1. As thuky, send { "action": "Approve" } to the meeting.
2. As thuky, send { "action": "Reject", "reason": "Lý do" }.</v>
      </c>
      <c r="D78" s="120" t="str">
        <v>1. Both requests return HTTP 403 Forbidden with code "MSG85" ("Bạn không có quyền thực hiện thao tác này.").
2. The meeting stays WaitingApproval.</v>
      </c>
      <c r="E78" s="120" t="str">
        <v>1. Backend is running.
2. A WaitingApproval meeting owned by thuky has thuky as its own approver (legacy data).
3. thuky has MeetingCreator and MeetingApprover.</v>
      </c>
      <c r="F78" s="121" t="str">
        <v>Pending</v>
      </c>
      <c r="G78" s="122" t="str"/>
      <c r="H78" s="121" t="str"/>
      <c r="I78" s="121" t="str"/>
      <c r="J78" s="122" t="str"/>
      <c r="K78" s="121" t="str"/>
      <c r="L78" s="121" t="str"/>
      <c r="M78" s="123" t="str"/>
      <c r="N78" s="121" t="str"/>
      <c r="O78" s="124" t="str"/>
      <c r="P78" s="125"/>
      <c r="Q78" s="112"/>
      <c r="R78" s="112"/>
      <c r="S78" s="112"/>
      <c r="T78" s="112"/>
      <c r="U78" s="112"/>
      <c r="V78" s="112"/>
      <c r="W78" s="112"/>
      <c r="X78" s="112"/>
      <c r="Y78" s="112"/>
    </row>
    <row r="79" ht="109.5" customHeight="1">
      <c r="A79" s="120" t="str">
        <v>MEET_API_IT62</v>
      </c>
      <c r="B79" s="120" t="str">
        <v>Verify the organizer can withdraw a meeting with a missing or self approver (MSG79).</v>
      </c>
      <c r="C79" s="120" t="str">
        <v>1. As thuky, send { "action": "ReturnToDraft" } to a WaitingApproval meeting assigned to thuky.
2. Repeat for a WaitingApproval meeting with no assigned approver.</v>
      </c>
      <c r="D79" s="120" t="str">
        <v>1. Both requests return HTTP 200 OK with code "MSG79".
2. Both meetings are Draft again.</v>
      </c>
      <c r="E79" s="120" t="str">
        <v>1. Backend is running.
2. thuky owns both meetings (legacy data).</v>
      </c>
      <c r="F79" s="121" t="str">
        <v>Pending</v>
      </c>
      <c r="G79" s="122" t="str"/>
      <c r="H79" s="121" t="str"/>
      <c r="I79" s="121" t="str"/>
      <c r="J79" s="122" t="str"/>
      <c r="K79" s="121" t="str"/>
      <c r="L79" s="121" t="str"/>
      <c r="M79" s="123" t="str"/>
      <c r="N79" s="121" t="str"/>
      <c r="O79" s="124" t="str"/>
      <c r="P79" s="125"/>
      <c r="Q79" s="112"/>
      <c r="R79" s="112"/>
      <c r="S79" s="112"/>
      <c r="T79" s="112"/>
      <c r="U79" s="112"/>
      <c r="V79" s="112"/>
      <c r="W79" s="112"/>
      <c r="X79" s="112"/>
      <c r="Y79" s="112"/>
    </row>
    <row r="80" ht="167.5" customHeight="1">
      <c r="A80" s="120" t="str">
        <v>MEET_API_IT63</v>
      </c>
      <c r="B80" s="120" t="str">
        <v>Verify Publish returns MSG46 when the organizer no longer has MeetingCreator.</v>
      </c>
      <c r="C80" s="120" t="str">
        <v>1. Send POST request to /api/meetings/&lt;id of the Approved meeting&gt;/transitions.
2. Request headers: Content-Type: application/json; Authorization: Bearer &lt;access token of thuky@trustcabinet.local&gt; (Secretary, MeetingCreator).
3. Query parameters: None.
4. Request JSON body: { "action": "Publish" }.</v>
      </c>
      <c r="D80" s="120" t="str">
        <v>1. HTTP 403 Forbidden response.
2. Response JSON body: code "MSG46", message "Cuộc họp này không còn có thể công bố.".
3. The meeting stays Approved.</v>
      </c>
      <c r="E80" s="120" t="str">
        <v>1. Backend is running.
2. thuky owns an Approved meeting with a Chair and a Secretary.
3. MeetingCreator was removed from thuky's role.</v>
      </c>
      <c r="F80" s="121" t="str">
        <v>Pending</v>
      </c>
      <c r="G80" s="122" t="str"/>
      <c r="H80" s="121" t="str"/>
      <c r="I80" s="121" t="str"/>
      <c r="J80" s="122" t="str"/>
      <c r="K80" s="121" t="str"/>
      <c r="L80" s="121" t="str"/>
      <c r="M80" s="123" t="str"/>
      <c r="N80" s="121" t="str"/>
      <c r="O80" s="124" t="str"/>
      <c r="P80" s="125"/>
      <c r="Q80" s="112"/>
      <c r="R80" s="112"/>
      <c r="S80" s="112"/>
      <c r="T80" s="112"/>
      <c r="U80" s="112"/>
      <c r="V80" s="112"/>
      <c r="W80" s="112"/>
      <c r="X80" s="112"/>
      <c r="Y80" s="112"/>
    </row>
    <row r="81" ht="167.5" customHeight="1">
      <c r="A81" s="120" t="str">
        <v>MEET_API_IT64</v>
      </c>
      <c r="B81" s="120" t="str">
        <v>Verify Publish returns MSG137 when the meeting lacks a Chair or a Secretary.</v>
      </c>
      <c r="C81" s="120" t="str">
        <v>1. Send POST request to /api/meetings/&lt;id of the Approved meeting&gt;/transitions.
2. Request headers: Content-Type: application/json; Authorization: Bearer &lt;access token of thuky@trustcabinet.local&gt; (Secretary, MeetingCreator).
3. Query parameters: None.
4. Request JSON body: { "action": "Publish" }.</v>
      </c>
      <c r="D81" s="120" t="str">
        <v>1. HTTP 409 Conflict response.
2. Response JSON body: code "MSG137", message "Cuộc họp cần có đúng một Chủ tọa đang hoạt động và ít nhất một Thư ký đang hoạt động trước khi công bố.".
3. The meeting stays Approved.</v>
      </c>
      <c r="E81" s="120" t="str">
        <v>1. Backend is running.
2. thuky owns an Approved meeting with no active Secretary on the roster.</v>
      </c>
      <c r="F81" s="121" t="str">
        <v>Pending</v>
      </c>
      <c r="G81" s="122" t="str"/>
      <c r="H81" s="121" t="str"/>
      <c r="I81" s="121" t="str"/>
      <c r="J81" s="122" t="str"/>
      <c r="K81" s="121" t="str"/>
      <c r="L81" s="121" t="str"/>
      <c r="M81" s="123" t="str"/>
      <c r="N81" s="121" t="str"/>
      <c r="O81" s="124" t="str"/>
      <c r="P81" s="125"/>
      <c r="Q81" s="112"/>
      <c r="R81" s="112"/>
      <c r="S81" s="112"/>
      <c r="T81" s="112"/>
      <c r="U81" s="112"/>
      <c r="V81" s="112"/>
      <c r="W81" s="112"/>
      <c r="X81" s="112"/>
      <c r="Y81" s="112"/>
    </row>
    <row r="82" ht="167.5" customHeight="1">
      <c r="A82" s="120" t="str">
        <v>MEET_API_IT65</v>
      </c>
      <c r="B82" s="120" t="str">
        <v>Verify Publish succeeds without a separate meeting session and returns MSG45.</v>
      </c>
      <c r="C82" s="120" t="str">
        <v>1. Send POST request to /api/meetings/&lt;id of the Approved meeting&gt;/transitions.
2. Request headers: Content-Type: application/json; Authorization: Bearer &lt;access token of thuky@trustcabinet.local&gt; (Secretary, MeetingCreator).
3. Query parameters: None.
4. Request JSON body: { "action": "Publish" }.</v>
      </c>
      <c r="D82" s="120" t="str">
        <v>1. HTTP 200 OK response with code "MSG45".
2. status is Published and the history has a Publish entry.
3. Invitations are queued for the roster.</v>
      </c>
      <c r="E82" s="120" t="str">
        <v>1. Backend is running.
2. thuky owns an Approved meeting with an active Chair and Secretary.</v>
      </c>
      <c r="F82" s="121" t="str">
        <v>Pending</v>
      </c>
      <c r="G82" s="122" t="str"/>
      <c r="H82" s="121" t="str"/>
      <c r="I82" s="121" t="str"/>
      <c r="J82" s="122" t="str"/>
      <c r="K82" s="121" t="str"/>
      <c r="L82" s="121" t="str"/>
      <c r="M82" s="123" t="str"/>
      <c r="N82" s="121" t="str"/>
      <c r="O82" s="124" t="str"/>
      <c r="P82" s="125"/>
      <c r="Q82" s="112"/>
      <c r="R82" s="112"/>
      <c r="S82" s="112"/>
      <c r="T82" s="112"/>
      <c r="U82" s="112"/>
      <c r="V82" s="112"/>
      <c r="W82" s="112"/>
      <c r="X82" s="112"/>
      <c r="Y82" s="112"/>
    </row>
    <row r="83" ht="24" customHeight="1">
      <c r="A83" s="120" t="str">
        <v>POST /api/meetings/{id}/transitions (Cancel)</v>
      </c>
      <c r="B83" s="120"/>
      <c r="C83" s="120"/>
      <c r="D83" s="120"/>
      <c r="E83" s="120"/>
      <c r="F83" s="121"/>
      <c r="G83" s="122"/>
      <c r="H83" s="121"/>
      <c r="I83" s="121"/>
      <c r="J83" s="122"/>
      <c r="K83" s="121"/>
      <c r="L83" s="121"/>
      <c r="M83" s="123"/>
      <c r="N83" s="121"/>
      <c r="O83" s="124"/>
      <c r="P83" s="125"/>
      <c r="Q83" s="112"/>
      <c r="R83" s="112"/>
      <c r="S83" s="112"/>
      <c r="T83" s="112"/>
      <c r="U83" s="112"/>
      <c r="V83" s="112"/>
      <c r="W83" s="112"/>
      <c r="X83" s="112"/>
      <c r="Y83" s="112"/>
    </row>
    <row r="84" ht="182.0" customHeight="1">
      <c r="A84" s="120" t="str">
        <v>MEET_API_IT66</v>
      </c>
      <c r="B84" s="120" t="str">
        <v>Verify Cancel returns MSG261 and the meeting with its cancellation.</v>
      </c>
      <c r="C84" s="120" t="str">
        <v>1. Send POST request to /api/meetings/&lt;id of a Draft&gt;/transitions.
2. Request headers: Content-Type: application/json; Authorization: Bearer &lt;access token of thuky@trustcabinet.local&gt; (Secretary, MeetingCreator).
3. Query parameters: None.
4. Request JSON body: { "action": "Cancel", "reason": "Đổi kế hoạch" }.</v>
      </c>
      <c r="D84" s="120" t="str">
        <v>1. HTTP 200 OK response.
2. Response JSON body: code "MSG261" ("Đã huỷ cuộc họp."), meeting.status "Cancelled".
3. meeting.cancellation.reason is "Đổi kế hoạch" with who cancelled and when.</v>
      </c>
      <c r="E84" s="120" t="str">
        <v>1. Backend is running.
2. thuky owns a Draft.</v>
      </c>
      <c r="F84" s="121" t="str">
        <v>Pending</v>
      </c>
      <c r="G84" s="122" t="str"/>
      <c r="H84" s="121" t="str"/>
      <c r="I84" s="121" t="str"/>
      <c r="J84" s="122" t="str"/>
      <c r="K84" s="121" t="str"/>
      <c r="L84" s="121" t="str"/>
      <c r="M84" s="123" t="str"/>
      <c r="N84" s="121" t="str"/>
      <c r="O84" s="124" t="str"/>
      <c r="P84" s="125"/>
      <c r="Q84" s="112"/>
      <c r="R84" s="112"/>
      <c r="S84" s="112"/>
      <c r="T84" s="112"/>
      <c r="U84" s="112"/>
      <c r="V84" s="112"/>
      <c r="W84" s="112"/>
      <c r="X84" s="112"/>
      <c r="Y84" s="112"/>
    </row>
    <row r="85" ht="80.5" customHeight="1">
      <c r="A85" s="120" t="str">
        <v>MEET_API_IT67</v>
      </c>
      <c r="B85" s="120" t="str">
        <v>Verify Cancel without a reason returns MSG262.</v>
      </c>
      <c r="C85" s="120" t="str">
        <v>1. Send { "action": "Cancel" } to /api/meetings/&lt;id&gt;/transitions as thuky.
2. Send { "action": "Cancel", "reason": "  " }.</v>
      </c>
      <c r="D85" s="120" t="str">
        <v>1. Both requests return HTTP 400 Bad Request with code "MSG262" ("Cần nhập lý do huỷ cuộc họp.").
2. The meeting stays Draft.</v>
      </c>
      <c r="E85" s="120" t="str">
        <v>1. Backend is running.
2. thuky owns a Draft.</v>
      </c>
      <c r="F85" s="121" t="str">
        <v>Pending</v>
      </c>
      <c r="G85" s="122" t="str"/>
      <c r="H85" s="121" t="str"/>
      <c r="I85" s="121" t="str"/>
      <c r="J85" s="122" t="str"/>
      <c r="K85" s="121" t="str"/>
      <c r="L85" s="121" t="str"/>
      <c r="M85" s="123" t="str"/>
      <c r="N85" s="121" t="str"/>
      <c r="O85" s="124" t="str"/>
      <c r="P85" s="125"/>
      <c r="Q85" s="112"/>
      <c r="R85" s="112"/>
      <c r="S85" s="112"/>
      <c r="T85" s="112"/>
      <c r="U85" s="112"/>
      <c r="V85" s="112"/>
      <c r="W85" s="112"/>
      <c r="X85" s="112"/>
      <c r="Y85" s="112"/>
    </row>
    <row r="86" ht="182.0" customHeight="1">
      <c r="A86" s="120" t="str">
        <v>MEET_API_IT68</v>
      </c>
      <c r="B86" s="120" t="str">
        <v>Verify a cancellation reason over 1000 characters returns MSG345.</v>
      </c>
      <c r="C86" s="120" t="str">
        <v>1. Send POST request to /api/meetings/&lt;id of a Draft&gt;/transitions.
2. Request headers: Content-Type: application/json; Authorization: Bearer &lt;access token of thuky@trustcabinet.local&gt; (Secretary, MeetingCreator).
3. Query parameters: None.
4. Request JSON body: { "action": "Cancel", "reason": "&lt;1001 characters&gt;" }.</v>
      </c>
      <c r="D86" s="120" t="str">
        <v>1. HTTP 400 Bad Request response with code "MSG345" ("Lý do huỷ không được vượt quá 1.000 ký tự.").</v>
      </c>
      <c r="E86" s="120" t="str">
        <v>1. Backend is running.
2. thuky owns a Draft.</v>
      </c>
      <c r="F86" s="121" t="str">
        <v>Pending</v>
      </c>
      <c r="G86" s="122" t="str"/>
      <c r="H86" s="121" t="str"/>
      <c r="I86" s="121" t="str"/>
      <c r="J86" s="122" t="str"/>
      <c r="K86" s="121" t="str"/>
      <c r="L86" s="121" t="str"/>
      <c r="M86" s="123" t="str"/>
      <c r="N86" s="121" t="str"/>
      <c r="O86" s="124" t="str"/>
      <c r="P86" s="125"/>
      <c r="Q86" s="112"/>
      <c r="R86" s="112"/>
      <c r="S86" s="112"/>
      <c r="T86" s="112"/>
      <c r="U86" s="112"/>
      <c r="V86" s="112"/>
      <c r="W86" s="112"/>
      <c r="X86" s="112"/>
      <c r="Y86" s="112"/>
    </row>
    <row r="87" ht="182.0" customHeight="1">
      <c r="A87" s="120" t="str">
        <v>MEET_API_IT69</v>
      </c>
      <c r="B87" s="120" t="str">
        <v>Verify a meeting that has started cannot be cancelled (409 MSG263).</v>
      </c>
      <c r="C87" s="120" t="str">
        <v>1. Send POST request to /api/meetings/&lt;id of the InProgress meeting&gt;/transitions.
2. Request headers: Content-Type: application/json; Authorization: Bearer &lt;access token of thuky@trustcabinet.local&gt; (Secretary, MeetingCreator).
3. Query parameters: None.
4. Request JSON body: { "action": "Cancel", "reason": "Muộn rồi" }.</v>
      </c>
      <c r="D87" s="120" t="str">
        <v>1. HTTP 409 Conflict response with code "MSG263" ("Cuộc họp này không còn có thể huỷ.").
2. The meeting stays InProgress.</v>
      </c>
      <c r="E87" s="120" t="str">
        <v>1. Backend is running.
2. thuky owns a meeting that is InProgress.</v>
      </c>
      <c r="F87" s="121" t="str">
        <v>Pending</v>
      </c>
      <c r="G87" s="122" t="str"/>
      <c r="H87" s="121" t="str"/>
      <c r="I87" s="121" t="str"/>
      <c r="J87" s="122" t="str"/>
      <c r="K87" s="121" t="str"/>
      <c r="L87" s="121" t="str"/>
      <c r="M87" s="123" t="str"/>
      <c r="N87" s="121" t="str"/>
      <c r="O87" s="124" t="str"/>
      <c r="P87" s="125"/>
      <c r="Q87" s="112"/>
      <c r="R87" s="112"/>
      <c r="S87" s="112"/>
      <c r="T87" s="112"/>
      <c r="U87" s="112"/>
      <c r="V87" s="112"/>
      <c r="W87" s="112"/>
      <c r="X87" s="112"/>
      <c r="Y87" s="112"/>
    </row>
    <row r="88" ht="182.0" customHeight="1">
      <c r="A88" s="120" t="str">
        <v>MEET_API_IT70</v>
      </c>
      <c r="B88" s="120" t="str">
        <v>Verify someone who is not the organizer cannot cancel (403 MSG263).</v>
      </c>
      <c r="C88" s="120" t="str">
        <v>1. Send POST request to /api/meetings/&lt;id of the WaitingApproval meeting&gt;/transitions.
2. Request headers: Content-Type: application/json; Authorization: Bearer &lt;access token of chutoa@trustcabinet.local&gt; (Chair).
3. Query parameters: None.
4. Request JSON body: { "action": "Cancel", "reason": "Không phải của tôi" }.</v>
      </c>
      <c r="D88" s="120" t="str">
        <v>1. HTTP 403 Forbidden response with code "MSG263".
2. The meeting stays WaitingApproval.</v>
      </c>
      <c r="E88" s="120" t="str">
        <v>1. Backend is running.
2. chutoa is the assigned approver (and has MeetingCreator) of a meeting owned by thuky.</v>
      </c>
      <c r="F88" s="121" t="str">
        <v>Pending</v>
      </c>
      <c r="G88" s="122" t="str"/>
      <c r="H88" s="121" t="str"/>
      <c r="I88" s="121" t="str"/>
      <c r="J88" s="122" t="str"/>
      <c r="K88" s="121" t="str"/>
      <c r="L88" s="121" t="str"/>
      <c r="M88" s="123" t="str"/>
      <c r="N88" s="121" t="str"/>
      <c r="O88" s="124" t="str"/>
      <c r="P88" s="125"/>
      <c r="Q88" s="112"/>
      <c r="R88" s="112"/>
      <c r="S88" s="112"/>
      <c r="T88" s="112"/>
      <c r="U88" s="112"/>
      <c r="V88" s="112"/>
      <c r="W88" s="112"/>
      <c r="X88" s="112"/>
      <c r="Y88" s="112"/>
    </row>
    <row r="89" ht="182.0" customHeight="1">
      <c r="A89" s="120" t="str">
        <v>MEET_API_IT71</v>
      </c>
      <c r="B89" s="120" t="str">
        <v>Verify a cancellation that cannot be saved returns MSG264.</v>
      </c>
      <c r="C89" s="120" t="str">
        <v>1. Send POST request to /api/meetings/&lt;id of a Draft&gt;/transitions.
2. Request headers: Content-Type: application/json; Authorization: Bearer &lt;access token of thuky@trustcabinet.local&gt; (Secretary, MeetingCreator).
3. Query parameters: None.
4. Request JSON body: { "action": "Cancel", "reason": "Đổi kế hoạch" }.</v>
      </c>
      <c r="D89" s="120" t="str">
        <v>1. HTTP 503 Service Unavailable response with code "MSG264" ("Không thể huỷ cuộc họp. Vui lòng thử lại.").</v>
      </c>
      <c r="E89" s="120" t="str">
        <v>1. Backend is running.
2. thuky owns a Draft.
3. The PostgreSQL container is stopped just before the request.</v>
      </c>
      <c r="F89" s="121" t="str">
        <v>Pending</v>
      </c>
      <c r="G89" s="122" t="str"/>
      <c r="H89" s="121" t="str"/>
      <c r="I89" s="121" t="str"/>
      <c r="J89" s="122" t="str"/>
      <c r="K89" s="121" t="str"/>
      <c r="L89" s="121" t="str"/>
      <c r="M89" s="123" t="str"/>
      <c r="N89" s="121" t="str"/>
      <c r="O89" s="124" t="str"/>
      <c r="P89" s="125"/>
      <c r="Q89" s="112"/>
      <c r="R89" s="112"/>
      <c r="S89" s="112"/>
      <c r="T89" s="112"/>
      <c r="U89" s="112"/>
      <c r="V89" s="112"/>
      <c r="W89" s="112"/>
      <c r="X89" s="112"/>
      <c r="Y89" s="112"/>
    </row>
    <row r="90" ht="24" customHeight="1">
      <c r="A90" s="120" t="str">
        <v>POST /api/meetings/{id}/transitions (TransferOrganizer)</v>
      </c>
      <c r="B90" s="120"/>
      <c r="C90" s="120"/>
      <c r="D90" s="120"/>
      <c r="E90" s="120"/>
      <c r="F90" s="121"/>
      <c r="G90" s="122"/>
      <c r="H90" s="121"/>
      <c r="I90" s="121"/>
      <c r="J90" s="122"/>
      <c r="K90" s="121"/>
      <c r="L90" s="121"/>
      <c r="M90" s="123"/>
      <c r="N90" s="121"/>
      <c r="O90" s="124"/>
      <c r="P90" s="125"/>
      <c r="Q90" s="112"/>
      <c r="R90" s="112"/>
      <c r="S90" s="112"/>
      <c r="T90" s="112"/>
      <c r="U90" s="112"/>
      <c r="V90" s="112"/>
      <c r="W90" s="112"/>
      <c r="X90" s="112"/>
      <c r="Y90" s="112"/>
    </row>
    <row r="91" ht="196.5" customHeight="1">
      <c r="A91" s="120" t="str">
        <v>MEET_API_IT72</v>
      </c>
      <c r="B91" s="120" t="str">
        <v>Verify an administrator can transfer a deactivated organizer's meeting (MSG89) with typed history.</v>
      </c>
      <c r="C91" s="120" t="str">
        <v>1. Send POST request to /api/meetings/&lt;id of the Approved meeting&gt;/transitions.
2. Request headers: Content-Type: application/json; Authorization: Bearer &lt;access token of quantri@trustcabinet.local&gt; (Admin, AdminUsers).
3. Query parameters: None.
4. Request JSON body: { "action": "TransferOrganizer", "organizerId": "&lt;id of the replacement organizer&gt;" }.</v>
      </c>
      <c r="D91" s="120" t="str">
        <v>1. HTTP 200 OK response.
2. Response JSON body: code "MSG89" ("Đã chuyển cuộc họp cho người tổ chức mới."), meetingId, status "Approved".
3. The history records the previous and new organizer; the approver is unchanged.
4. The new organizer is notified.</v>
      </c>
      <c r="E91" s="120" t="str">
        <v>1. Backend is running.
2. The organizer of an Approved meeting has been deactivated.
3. The replacement is active and has MeetingCreator.
4. Signed in as quantri@trustcabinet.local (AdminUsers).</v>
      </c>
      <c r="F91" s="121" t="str">
        <v>Pending</v>
      </c>
      <c r="G91" s="122" t="str"/>
      <c r="H91" s="121" t="str"/>
      <c r="I91" s="121" t="str"/>
      <c r="J91" s="122" t="str"/>
      <c r="K91" s="121" t="str"/>
      <c r="L91" s="121" t="str"/>
      <c r="M91" s="123" t="str"/>
      <c r="N91" s="121" t="str"/>
      <c r="O91" s="124" t="str"/>
      <c r="P91" s="125"/>
      <c r="Q91" s="112"/>
      <c r="R91" s="112"/>
      <c r="S91" s="112"/>
      <c r="T91" s="112"/>
      <c r="U91" s="112"/>
      <c r="V91" s="112"/>
      <c r="W91" s="112"/>
      <c r="X91" s="112"/>
      <c r="Y91" s="112"/>
    </row>
    <row r="92" ht="109.5" customHeight="1">
      <c r="A92" s="120" t="str">
        <v>MEET_API_IT73</v>
      </c>
      <c r="B92" s="120" t="str">
        <v>Verify a recovery administrator receives no sensitive meeting content.</v>
      </c>
      <c r="C92" s="120" t="str">
        <v>1. As quantri, send GET /api/meetings/&lt;id&gt; and GET /api/meetings/&lt;id&gt;/history.
2. As quantri, send the TransferOrganizer transition for the meeting.</v>
      </c>
      <c r="D92" s="120" t="str">
        <v>1. Both GET requests return HTTP 404 Not Found.
2. The transfer returns HTTP 200 OK with code "MSG89" but no title, description or location.</v>
      </c>
      <c r="E92" s="120" t="str">
        <v>1. Backend is running.
2. A Secret meeting titled "Restricted title for recovery" belongs to a deactivated organizer.
3. quantri is not related to the meeting.</v>
      </c>
      <c r="F92" s="121" t="str">
        <v>Pending</v>
      </c>
      <c r="G92" s="122" t="str"/>
      <c r="H92" s="121" t="str"/>
      <c r="I92" s="121" t="str"/>
      <c r="J92" s="122" t="str"/>
      <c r="K92" s="121" t="str"/>
      <c r="L92" s="121" t="str"/>
      <c r="M92" s="123" t="str"/>
      <c r="N92" s="121" t="str"/>
      <c r="O92" s="124" t="str"/>
      <c r="P92" s="125"/>
      <c r="Q92" s="112"/>
      <c r="R92" s="112"/>
      <c r="S92" s="112"/>
      <c r="T92" s="112"/>
      <c r="U92" s="112"/>
      <c r="V92" s="112"/>
      <c r="W92" s="112"/>
      <c r="X92" s="112"/>
      <c r="Y92" s="112"/>
    </row>
    <row r="93" ht="182.0" customHeight="1">
      <c r="A93" s="120" t="str">
        <v>MEET_API_IT74</v>
      </c>
      <c r="B93" s="120" t="str">
        <v>Verify the transfer rechecks AdminUsers even with an old access token.</v>
      </c>
      <c r="C93" s="120" t="str">
        <v>1. Send POST request to /api/meetings/&lt;id&gt;/transitions.
2. Request headers: Content-Type: application/json; Authorization: Bearer &lt;administrator token issued before the role lost AdminUsers&gt;.
3. Query parameters: None.
4. Request JSON body: { "action": "TransferOrganizer", "organizerId": "&lt;id of the replacement&gt;" }.</v>
      </c>
      <c r="D93" s="120" t="str">
        <v>1. HTTP 404 Not Found response.
2. The organizer is not changed; no history or notification is written.</v>
      </c>
      <c r="E93" s="120" t="str">
        <v>1. Backend is running.
2. The administrator's role lost AdminUsers after the token was issued.</v>
      </c>
      <c r="F93" s="121" t="str">
        <v>Pending</v>
      </c>
      <c r="G93" s="122" t="str"/>
      <c r="H93" s="121" t="str"/>
      <c r="I93" s="121" t="str"/>
      <c r="J93" s="122" t="str"/>
      <c r="K93" s="121" t="str"/>
      <c r="L93" s="121" t="str"/>
      <c r="M93" s="123" t="str"/>
      <c r="N93" s="121" t="str"/>
      <c r="O93" s="124" t="str"/>
      <c r="P93" s="125"/>
      <c r="Q93" s="112"/>
      <c r="R93" s="112"/>
      <c r="S93" s="112"/>
      <c r="T93" s="112"/>
      <c r="U93" s="112"/>
      <c r="V93" s="112"/>
      <c r="W93" s="112"/>
      <c r="X93" s="112"/>
      <c r="Y93" s="112"/>
    </row>
    <row r="94" ht="182.0" customHeight="1">
      <c r="A94" s="120" t="str">
        <v>MEET_API_IT75</v>
      </c>
      <c r="B94" s="120" t="str">
        <v>Verify the transfer body is strict and other actions do not accept organizerId.</v>
      </c>
      <c r="C94" s="120" t="str">
        <v>1. As quantri, send each body to /api/meetings/&lt;id&gt;/transitions: { "action": "TransferOrganizer" }; with "organizerId": null; with "organizerId": 23; with the all-zero UUID; with an extra "reason": null; with an extra "assignedApproverId"; with organizerId given twice; and { "action": "Publish", "organizerId": "&lt;id&gt;" }.</v>
      </c>
      <c r="D94" s="120" t="str">
        <v>1. Every request returns HTTP 400 Bad Request with code "MSG80".
2. No history or notification is written.</v>
      </c>
      <c r="E94" s="120" t="str">
        <v>1. Backend is running.
2. A meeting of a deactivated organizer exists.
3. Signed in as quantri@trustcabinet.local (AdminUsers).</v>
      </c>
      <c r="F94" s="121" t="str">
        <v>Pending</v>
      </c>
      <c r="G94" s="122" t="str"/>
      <c r="H94" s="121" t="str"/>
      <c r="I94" s="121" t="str"/>
      <c r="J94" s="122" t="str"/>
      <c r="K94" s="121" t="str"/>
      <c r="L94" s="121" t="str"/>
      <c r="M94" s="123" t="str"/>
      <c r="N94" s="121" t="str"/>
      <c r="O94" s="124" t="str"/>
      <c r="P94" s="125"/>
      <c r="Q94" s="112"/>
      <c r="R94" s="112"/>
      <c r="S94" s="112"/>
      <c r="T94" s="112"/>
      <c r="U94" s="112"/>
      <c r="V94" s="112"/>
      <c r="W94" s="112"/>
      <c r="X94" s="112"/>
      <c r="Y94" s="112"/>
    </row>
    <row r="95" ht="124.0" customHeight="1">
      <c r="A95" s="120" t="str">
        <v>MEET_API_IT76</v>
      </c>
      <c r="B95" s="120" t="str">
        <v>Verify an invalid replacement returns MSG134 and a failed save returns MSG88.</v>
      </c>
      <c r="C95" s="120" t="str">
        <v>1. Deactivate the replacement, then send the TransferOrganizer request as quantri.
2. Reactivate the replacement, stop PostgreSQL and send the request again.</v>
      </c>
      <c r="D95" s="120" t="str">
        <v>1. The first returns HTTP 400 with code "MSG134" ("Người tổ chức mới không hợp lệ hoặc không còn quyền tạo cuộc họp.").
2. The second returns HTTP 503 with code "MSG88".
3. The organizer stays the previous one.</v>
      </c>
      <c r="E95" s="120" t="str">
        <v>1. Backend is running.
2. A meeting of a deactivated organizer exists.
3. Signed in as quantri@trustcabinet.local (AdminUsers).</v>
      </c>
      <c r="F95" s="121" t="str">
        <v>Pending</v>
      </c>
      <c r="G95" s="122" t="str"/>
      <c r="H95" s="121" t="str"/>
      <c r="I95" s="121" t="str"/>
      <c r="J95" s="122" t="str"/>
      <c r="K95" s="121" t="str"/>
      <c r="L95" s="121" t="str"/>
      <c r="M95" s="123" t="str"/>
      <c r="N95" s="121" t="str"/>
      <c r="O95" s="124" t="str"/>
      <c r="P95" s="125"/>
      <c r="Q95" s="112"/>
      <c r="R95" s="112"/>
      <c r="S95" s="112"/>
      <c r="T95" s="112"/>
      <c r="U95" s="112"/>
      <c r="V95" s="112"/>
      <c r="W95" s="112"/>
      <c r="X95" s="112"/>
      <c r="Y95" s="112"/>
    </row>
    <row r="96" ht="24" customHeight="1">
      <c r="A96" s="120" t="str">
        <v>GET /api/meetings/{id}/history</v>
      </c>
      <c r="B96" s="120"/>
      <c r="C96" s="120"/>
      <c r="D96" s="120"/>
      <c r="E96" s="120"/>
      <c r="F96" s="121"/>
      <c r="G96" s="122"/>
      <c r="H96" s="121"/>
      <c r="I96" s="121"/>
      <c r="J96" s="122"/>
      <c r="K96" s="121"/>
      <c r="L96" s="121"/>
      <c r="M96" s="123"/>
      <c r="N96" s="121"/>
      <c r="O96" s="124"/>
      <c r="P96" s="125"/>
      <c r="Q96" s="112"/>
      <c r="R96" s="112"/>
      <c r="S96" s="112"/>
      <c r="T96" s="112"/>
      <c r="U96" s="112"/>
      <c r="V96" s="112"/>
      <c r="W96" s="112"/>
      <c r="X96" s="112"/>
      <c r="Y96" s="112"/>
    </row>
    <row r="97" ht="109.5" customHeight="1">
      <c r="A97" s="120" t="str">
        <v>MEET_API_IT77</v>
      </c>
      <c r="B97" s="120" t="str">
        <v>Verify the assigned Secretary can read the detail, the list entry and the rejection before publication.</v>
      </c>
      <c r="C97" s="120" t="str">
        <v>1. For a Draft, a Rejected and an Approved meeting with the Secretary on the roster, send GET /api/meetings/&lt;id&gt;, GET /api/meetings and GET /api/meetings/&lt;id&gt;/history as the Secretary.</v>
      </c>
      <c r="D97" s="120" t="str">
        <v>1. All requests return HTTP 200 OK.
2. The meeting appears in the Secretary's list.
3. The history shows the rejection reason "Lý do dành cho thư ký".</v>
      </c>
      <c r="E97" s="120" t="str">
        <v>1. Backend is running.
2. An active member is on the roster as Secretary (accepted, not delegated).</v>
      </c>
      <c r="F97" s="121" t="str">
        <v>Pending</v>
      </c>
      <c r="G97" s="122" t="str"/>
      <c r="H97" s="121" t="str"/>
      <c r="I97" s="121" t="str"/>
      <c r="J97" s="122" t="str"/>
      <c r="K97" s="121" t="str"/>
      <c r="L97" s="121" t="str"/>
      <c r="M97" s="123" t="str"/>
      <c r="N97" s="121" t="str"/>
      <c r="O97" s="124" t="str"/>
      <c r="P97" s="125"/>
      <c r="Q97" s="112"/>
      <c r="R97" s="112"/>
      <c r="S97" s="112"/>
      <c r="T97" s="112"/>
      <c r="U97" s="112"/>
      <c r="V97" s="112"/>
      <c r="W97" s="112"/>
      <c r="X97" s="112"/>
      <c r="Y97" s="112"/>
    </row>
    <row r="98" ht="124.0" customHeight="1">
      <c r="A98" s="120" t="str">
        <v>MEET_API_IT78</v>
      </c>
      <c r="B98" s="120" t="str">
        <v>Verify an invalid Secretary assignment does not grant access to the history.</v>
      </c>
      <c r="C98" s="120" t="str">
        <v>1. As each user, send GET /api/meetings/&lt;id of the Rejected meeting&gt;/history: a user with only the global Secretary role; a Secretary of another meeting; a Secretary who delegated; a Secretary whose seat points to a delegate.</v>
      </c>
      <c r="D98" s="120" t="str">
        <v>1. Every request returns HTTP 404 Not Found.</v>
      </c>
      <c r="E98" s="120" t="str">
        <v>1. Backend is running.
2. A Rejected meeting exists; none of these users is its active Secretary.</v>
      </c>
      <c r="F98" s="121" t="str">
        <v>Pending</v>
      </c>
      <c r="G98" s="122" t="str"/>
      <c r="H98" s="121" t="str"/>
      <c r="I98" s="121" t="str"/>
      <c r="J98" s="122" t="str"/>
      <c r="K98" s="121" t="str"/>
      <c r="L98" s="121" t="str"/>
      <c r="M98" s="123" t="str"/>
      <c r="N98" s="121" t="str"/>
      <c r="O98" s="124" t="str"/>
      <c r="P98" s="125"/>
      <c r="Q98" s="112"/>
      <c r="R98" s="112"/>
      <c r="S98" s="112"/>
      <c r="T98" s="112"/>
      <c r="U98" s="112"/>
      <c r="V98" s="112"/>
      <c r="W98" s="112"/>
      <c r="X98" s="112"/>
      <c r="Y98" s="112"/>
    </row>
    <row r="99" ht="153.0" customHeight="1">
      <c r="A99" s="120" t="str">
        <v>MEET_API_IT79</v>
      </c>
      <c r="B99" s="120" t="str">
        <v>Verify the current assigned approver sees the full history.</v>
      </c>
      <c r="C99" s="120" t="str">
        <v>1. Send GET request to /api/meetings/&lt;id of the Rejected meeting&gt;/history.
2. Request headers: Authorization: Bearer &lt;access token of chutoa@trustcabinet.local&gt; (Chair).
3. Query parameters: None.
4. Request body: None (GET request).</v>
      </c>
      <c r="D99" s="120" t="str">
        <v>1. HTTP 200 OK response.
2. items include the Reject entry with reason "Cần bổ sung số liệu".</v>
      </c>
      <c r="E99" s="120" t="str">
        <v>1. Backend is running.
2. chutoa is the current assigned approver and rejected the meeting with reason "Cần bổ sung số liệu".</v>
      </c>
      <c r="F99" s="121" t="str">
        <v>Pending</v>
      </c>
      <c r="G99" s="122" t="str"/>
      <c r="H99" s="121" t="str"/>
      <c r="I99" s="121" t="str"/>
      <c r="J99" s="122" t="str"/>
      <c r="K99" s="121" t="str"/>
      <c r="L99" s="121" t="str"/>
      <c r="M99" s="123" t="str"/>
      <c r="N99" s="121" t="str"/>
      <c r="O99" s="124" t="str"/>
      <c r="P99" s="125"/>
      <c r="Q99" s="112"/>
      <c r="R99" s="112"/>
      <c r="S99" s="112"/>
      <c r="T99" s="112"/>
      <c r="U99" s="112"/>
      <c r="V99" s="112"/>
      <c r="W99" s="112"/>
      <c r="X99" s="112"/>
      <c r="Y99" s="112"/>
    </row>
    <row r="100" ht="153.0" customHeight="1">
      <c r="A100" s="120" t="str">
        <v>MEET_API_IT80</v>
      </c>
      <c r="B100" s="120" t="str">
        <v>Verify a participant of a Published meeting sees a redacted timeline.</v>
      </c>
      <c r="C100" s="120" t="str">
        <v>1. Send GET request to /api/meetings/&lt;id of the Published meeting&gt;/history.
2. Request headers: Authorization: Bearer &lt;access token of thanhvien@trustcabinet.local&gt; (Member, no capability).
3. Query parameters: None.
4. Request body: None (GET request).</v>
      </c>
      <c r="D100" s="120" t="str">
        <v>1. HTTP 200 OK response.
2. The timeline lists the steps but hides the internal rejection reason "Lý do nội bộ".</v>
      </c>
      <c r="E100" s="120" t="str">
        <v>1. Backend is running.
2. thanhvien is a participant of a Published meeting that was once rejected with reason "Lý do nội bộ".</v>
      </c>
      <c r="F100" s="121" t="str">
        <v>Pending</v>
      </c>
      <c r="G100" s="122" t="str"/>
      <c r="H100" s="121" t="str"/>
      <c r="I100" s="121" t="str"/>
      <c r="J100" s="122" t="str"/>
      <c r="K100" s="121" t="str"/>
      <c r="L100" s="121" t="str"/>
      <c r="M100" s="123" t="str"/>
      <c r="N100" s="121" t="str"/>
      <c r="O100" s="124" t="str"/>
      <c r="P100" s="125"/>
      <c r="Q100" s="112"/>
      <c r="R100" s="112"/>
      <c r="S100" s="112"/>
      <c r="T100" s="112"/>
      <c r="U100" s="112"/>
      <c r="V100" s="112"/>
      <c r="W100" s="112"/>
      <c r="X100" s="112"/>
      <c r="Y100" s="112"/>
    </row>
    <row r="101" ht="66.0" customHeight="1">
      <c r="A101" s="120" t="str">
        <v>MEET_API_IT81</v>
      </c>
      <c r="B101" s="120" t="str">
        <v>Verify the assigned Chair can read the meeting before publication, with organizer-only details hidden.</v>
      </c>
      <c r="C101" s="120" t="str">
        <v>1. As the Chair, send GET /api/meetings/&lt;id&gt; and GET /api/meetings/&lt;id&gt;/history.</v>
      </c>
      <c r="D101" s="120" t="str">
        <v>1. Both requests return HTTP 200 OK.
2. The history hides the reason meant only for the organizer and secretary and the previous organizer id.</v>
      </c>
      <c r="E101" s="120" t="str">
        <v>1. Backend is running.
2. An active member is the accepted Chair of a Rejected meeting.</v>
      </c>
      <c r="F101" s="121" t="str">
        <v>Pending</v>
      </c>
      <c r="G101" s="122" t="str"/>
      <c r="H101" s="121" t="str"/>
      <c r="I101" s="121" t="str"/>
      <c r="J101" s="122" t="str"/>
      <c r="K101" s="121" t="str"/>
      <c r="L101" s="121" t="str"/>
      <c r="M101" s="123" t="str"/>
      <c r="N101" s="121" t="str"/>
      <c r="O101" s="124" t="str"/>
      <c r="P101" s="125"/>
      <c r="Q101" s="112"/>
      <c r="R101" s="112"/>
      <c r="S101" s="112"/>
      <c r="T101" s="112"/>
      <c r="U101" s="112"/>
      <c r="V101" s="112"/>
      <c r="W101" s="112"/>
      <c r="X101" s="112"/>
      <c r="Y101" s="112"/>
    </row>
    <row r="102" ht="66.0" customHeight="1">
      <c r="A102" s="120" t="str">
        <v>MEET_API_IT82</v>
      </c>
      <c r="B102" s="120" t="str">
        <v>Verify an approver left on a Draft from old data is not treated as the current approver.</v>
      </c>
      <c r="C102" s="120" t="str">
        <v>1. As that approver, send GET /api/meetings/&lt;id&gt;, GET /api/meetings/&lt;id&gt;/history and GET /api/meetings.</v>
      </c>
      <c r="D102" s="120" t="str">
        <v>1. Detail and history return HTTP 404 Not Found.
2. The meeting does not appear in the approver's list.</v>
      </c>
      <c r="E102" s="120" t="str">
        <v>1. Backend is running.
2. A Draft still stores a former approver from legacy data.</v>
      </c>
      <c r="F102" s="121" t="str">
        <v>Pending</v>
      </c>
      <c r="G102" s="122" t="str"/>
      <c r="H102" s="121" t="str"/>
      <c r="I102" s="121" t="str"/>
      <c r="J102" s="122" t="str"/>
      <c r="K102" s="121" t="str"/>
      <c r="L102" s="121" t="str"/>
      <c r="M102" s="123" t="str"/>
      <c r="N102" s="121" t="str"/>
      <c r="O102" s="124" t="str"/>
      <c r="P102" s="125"/>
      <c r="Q102" s="112"/>
      <c r="R102" s="112"/>
      <c r="S102" s="112"/>
      <c r="T102" s="112"/>
      <c r="U102" s="112"/>
      <c r="V102" s="112"/>
      <c r="W102" s="112"/>
      <c r="X102" s="112"/>
      <c r="Y102" s="112"/>
    </row>
    <row r="103" ht="167.5" customHeight="1">
      <c r="A103" s="120" t="str">
        <v>MEET_API_IT83</v>
      </c>
      <c r="B103" s="120" t="str">
        <v>Verify a page far beyond the end returns an empty page.</v>
      </c>
      <c r="C103" s="120" t="str">
        <v>1. Send GET request to /api/meetings/&lt;id&gt;/history?page=2147483647&amp;pageSize=100.
2. Request headers: Authorization: Bearer &lt;access token of thuky@trustcabinet.local&gt; (Secretary, MeetingCreator).
3. Query parameters: page=2147483647; pageSize=100.
4. Request body: None (GET request).</v>
      </c>
      <c r="D103" s="120" t="str">
        <v>1. HTTP 200 OK response.
2. items is empty and totalCount is 1.</v>
      </c>
      <c r="E103" s="120" t="str">
        <v>1. Backend is running.
2. thuky owns a meeting with one history entry.</v>
      </c>
      <c r="F103" s="121" t="str">
        <v>Pending</v>
      </c>
      <c r="G103" s="122" t="str"/>
      <c r="H103" s="121" t="str"/>
      <c r="I103" s="121" t="str"/>
      <c r="J103" s="122" t="str"/>
      <c r="K103" s="121" t="str"/>
      <c r="L103" s="121" t="str"/>
      <c r="M103" s="123" t="str"/>
      <c r="N103" s="121" t="str"/>
      <c r="O103" s="124" t="str"/>
      <c r="P103" s="125"/>
      <c r="Q103" s="112"/>
      <c r="R103" s="112"/>
      <c r="S103" s="112"/>
      <c r="T103" s="112"/>
      <c r="U103" s="112"/>
      <c r="V103" s="112"/>
      <c r="W103" s="112"/>
      <c r="X103" s="112"/>
      <c r="Y103" s="112"/>
    </row>
    <row r="104" ht="167.5" customHeight="1">
      <c r="A104" s="120" t="str">
        <v>MEET_API_IT84</v>
      </c>
      <c r="B104" s="120" t="str">
        <v>Verify a page whose offset cannot be represented returns MSG86.</v>
      </c>
      <c r="C104" s="120" t="str">
        <v>1. Send GET request to /api/meetings/&lt;id&gt;/history?page=2147483647&amp;pageSize=100.
2. Request headers: Authorization: Bearer &lt;access token of thuky@trustcabinet.local&gt; (Secretary, MeetingCreator).
3. Query parameters: page=2147483647; pageSize=100.
4. Request body: None (GET request).</v>
      </c>
      <c r="D104" s="120" t="str">
        <v>1. HTTP 400 Bad Request response with code "MSG86" ("Tham số truy vấn không hợp lệ.").</v>
      </c>
      <c r="E104" s="120" t="str">
        <v>1. Backend is running.
2. thuky owns a meeting whose history count is too large for that offset (test data).</v>
      </c>
      <c r="F104" s="121" t="str">
        <v>Pending</v>
      </c>
      <c r="G104" s="122" t="str"/>
      <c r="H104" s="121" t="str"/>
      <c r="I104" s="121" t="str"/>
      <c r="J104" s="122" t="str"/>
      <c r="K104" s="121" t="str"/>
      <c r="L104" s="121" t="str"/>
      <c r="M104" s="123" t="str"/>
      <c r="N104" s="121" t="str"/>
      <c r="O104" s="124" t="str"/>
      <c r="P104" s="125"/>
      <c r="Q104" s="112"/>
      <c r="R104" s="112"/>
      <c r="S104" s="112"/>
      <c r="T104" s="112"/>
      <c r="U104" s="112"/>
      <c r="V104" s="112"/>
      <c r="W104" s="112"/>
      <c r="X104" s="112"/>
      <c r="Y104" s="112"/>
    </row>
    <row r="105" ht="24" customHeight="1">
      <c r="A105" s="120" t="str">
        <v>Meeting workflow (PostgreSQL)</v>
      </c>
      <c r="B105" s="120"/>
      <c r="C105" s="120"/>
      <c r="D105" s="120"/>
      <c r="E105" s="120"/>
      <c r="F105" s="121"/>
      <c r="G105" s="122"/>
      <c r="H105" s="121"/>
      <c r="I105" s="121"/>
      <c r="J105" s="122"/>
      <c r="K105" s="121"/>
      <c r="L105" s="121"/>
      <c r="M105" s="123"/>
      <c r="N105" s="121"/>
      <c r="O105" s="124"/>
      <c r="P105" s="125"/>
      <c r="Q105" s="112"/>
      <c r="R105" s="112"/>
      <c r="S105" s="112"/>
      <c r="T105" s="112"/>
      <c r="U105" s="112"/>
      <c r="V105" s="112"/>
      <c r="W105" s="112"/>
      <c r="X105" s="112"/>
      <c r="Y105" s="112"/>
    </row>
    <row r="106" ht="124.0" customHeight="1">
      <c r="A106" s="120" t="str">
        <v>MEET_API_IT85</v>
      </c>
      <c r="B106" s="120" t="str">
        <v>Verify the organizer recovers a meeting from an ineligible approver and resubmits to a new one.</v>
      </c>
      <c r="C106" s="120" t="str">
        <v>1. Submit thuky's Draft to approver A.
2. Remove MeetingApprover from A (or deactivate A).
3. As thuky, send { "action": "ReturnToDraft" }.
4. Submit again to approver B.</v>
      </c>
      <c r="D106" s="120" t="str">
        <v>1. ReturnToDraft returns HTTP 200 with code "MSG79".
2. The second submit returns HTTP 200; the approver is B.
3. The history keeps every earlier step.</v>
      </c>
      <c r="E106" s="120" t="str">
        <v>1. Backend runs on PostgreSQL.
2. Two approvers A and B exist.</v>
      </c>
      <c r="F106" s="121" t="str">
        <v>Pending</v>
      </c>
      <c r="G106" s="122" t="str"/>
      <c r="H106" s="121" t="str"/>
      <c r="I106" s="121" t="str"/>
      <c r="J106" s="122" t="str"/>
      <c r="K106" s="121" t="str"/>
      <c r="L106" s="121" t="str"/>
      <c r="M106" s="123" t="str"/>
      <c r="N106" s="121" t="str"/>
      <c r="O106" s="124" t="str"/>
      <c r="P106" s="125"/>
      <c r="Q106" s="112"/>
      <c r="R106" s="112"/>
      <c r="S106" s="112"/>
      <c r="T106" s="112"/>
      <c r="U106" s="112"/>
      <c r="V106" s="112"/>
      <c r="W106" s="112"/>
      <c r="X106" s="112"/>
      <c r="Y106" s="112"/>
    </row>
    <row r="107" ht="95.0" customHeight="1">
      <c r="A107" s="120" t="str">
        <v>MEET_API_IT86</v>
      </c>
      <c r="B107" s="120" t="str">
        <v>Verify a legacy missing or self assignment can be withdrawn and history stays unchanged.</v>
      </c>
      <c r="C107" s="120" t="str">
        <v>1. As thuky, send { "action": "ReturnToDraft" } to the legacy WaitingApproval meeting.
2. Submit it to a new approver.</v>
      </c>
      <c r="D107" s="120" t="str">
        <v>1. Both requests succeed.
2. The original SubmitForApproval history row is unchanged.</v>
      </c>
      <c r="E107" s="120" t="str">
        <v>1. Backend runs on PostgreSQL.
2. A WaitingApproval meeting has no approver or thuky as approver (legacy data).</v>
      </c>
      <c r="F107" s="121" t="str">
        <v>Pending</v>
      </c>
      <c r="G107" s="122" t="str"/>
      <c r="H107" s="121" t="str"/>
      <c r="I107" s="121" t="str"/>
      <c r="J107" s="122" t="str"/>
      <c r="K107" s="121" t="str"/>
      <c r="L107" s="121" t="str"/>
      <c r="M107" s="123" t="str"/>
      <c r="N107" s="121" t="str"/>
      <c r="O107" s="124" t="str"/>
      <c r="P107" s="125"/>
      <c r="Q107" s="112"/>
      <c r="R107" s="112"/>
      <c r="S107" s="112"/>
      <c r="T107" s="112"/>
      <c r="U107" s="112"/>
      <c r="V107" s="112"/>
      <c r="W107" s="112"/>
      <c r="X107" s="112"/>
      <c r="Y107" s="112"/>
    </row>
    <row r="108" ht="95.0" customHeight="1">
      <c r="A108" s="120" t="str">
        <v>MEET_API_IT87</v>
      </c>
      <c r="B108" s="120" t="str">
        <v>Verify an administrator transfers an Approved meeting and the new organizer publishes it.</v>
      </c>
      <c r="C108" s="120" t="str">
        <v>1. Deactivate the organizer of an Approved meeting.
2. As quantri, transfer the meeting to the replacement.
3. As the replacement, publish the meeting.</v>
      </c>
      <c r="D108" s="120" t="str">
        <v>1. Transfer returns HTTP 200 with code "MSG89".
2. Publish returns HTTP 200 with code "MSG45".
3. History holds both steps and earlier rows are unchanged.</v>
      </c>
      <c r="E108" s="120" t="str">
        <v>1. Backend runs on PostgreSQL.
2. The meeting has an active Chair and Secretary.</v>
      </c>
      <c r="F108" s="121" t="str">
        <v>Pending</v>
      </c>
      <c r="G108" s="122" t="str"/>
      <c r="H108" s="121" t="str"/>
      <c r="I108" s="121" t="str"/>
      <c r="J108" s="122" t="str"/>
      <c r="K108" s="121" t="str"/>
      <c r="L108" s="121" t="str"/>
      <c r="M108" s="123" t="str"/>
      <c r="N108" s="121" t="str"/>
      <c r="O108" s="124" t="str"/>
      <c r="P108" s="125"/>
      <c r="Q108" s="112"/>
      <c r="R108" s="112"/>
      <c r="S108" s="112"/>
      <c r="T108" s="112"/>
      <c r="U108" s="112"/>
      <c r="V108" s="112"/>
      <c r="W108" s="112"/>
      <c r="X108" s="112"/>
      <c r="Y108" s="112"/>
    </row>
    <row r="109" ht="95.0" customHeight="1">
      <c r="A109" s="120" t="str">
        <v>MEET_API_IT88</v>
      </c>
      <c r="B109" s="120" t="str">
        <v>Verify the history can be read while another transaction locks the meeting row.</v>
      </c>
      <c r="C109" s="120" t="str">
        <v>1. In psql, run BEGIN; SELECT id FROM meetings WHERE id = '&lt;id&gt;' FOR UPDATE; and keep the transaction open.
2. Send GET /api/meetings/&lt;id&gt;/history as thuky.</v>
      </c>
      <c r="D109" s="120" t="str">
        <v>1. The history request returns HTTP 200 OK without waiting for the lock.</v>
      </c>
      <c r="E109" s="120" t="str">
        <v>1. Backend runs on PostgreSQL.
2. thuky owns the meeting.</v>
      </c>
      <c r="F109" s="121" t="str">
        <v>Pending</v>
      </c>
      <c r="G109" s="122" t="str"/>
      <c r="H109" s="121" t="str"/>
      <c r="I109" s="121" t="str"/>
      <c r="J109" s="122" t="str"/>
      <c r="K109" s="121" t="str"/>
      <c r="L109" s="121" t="str"/>
      <c r="M109" s="123" t="str"/>
      <c r="N109" s="121" t="str"/>
      <c r="O109" s="124" t="str"/>
      <c r="P109" s="125"/>
      <c r="Q109" s="112"/>
      <c r="R109" s="112"/>
      <c r="S109" s="112"/>
      <c r="T109" s="112"/>
      <c r="U109" s="112"/>
      <c r="V109" s="112"/>
      <c r="W109" s="112"/>
      <c r="X109" s="112"/>
      <c r="Y109" s="112"/>
    </row>
    <row r="110" ht="109.5" customHeight="1">
      <c r="A110" s="120" t="str">
        <v>MEET_API_IT89</v>
      </c>
      <c r="B110" s="120" t="str">
        <v>Verify the development demo meeting is ready and can be published without reseeding.</v>
      </c>
      <c r="C110" s="120" t="str">
        <v>1. Start the backend on a fresh development database.
2. As thuky, submit the demo meeting to chutoa; as chutoa, approve it; as thuky, publish it.
3. Restart the backend.</v>
      </c>
      <c r="D110" s="120" t="str">
        <v>1. Each step succeeds (MSG78, MSG43, MSG45).
2. After restart the demo stays Published and is not recreated.</v>
      </c>
      <c r="E110" s="120" t="str">
        <v>1. Backend is running.
2. Fresh development database with the seeded demo accounts.</v>
      </c>
      <c r="F110" s="121" t="str">
        <v>Pending</v>
      </c>
      <c r="G110" s="122" t="str"/>
      <c r="H110" s="121" t="str"/>
      <c r="I110" s="121" t="str"/>
      <c r="J110" s="122" t="str"/>
      <c r="K110" s="121" t="str"/>
      <c r="L110" s="121" t="str"/>
      <c r="M110" s="123" t="str"/>
      <c r="N110" s="121" t="str"/>
      <c r="O110" s="124" t="str"/>
      <c r="P110" s="125"/>
      <c r="Q110" s="112"/>
      <c r="R110" s="112"/>
      <c r="S110" s="112"/>
      <c r="T110" s="112"/>
      <c r="U110" s="112"/>
      <c r="V110" s="112"/>
      <c r="W110" s="112"/>
      <c r="X110" s="112"/>
      <c r="Y110" s="112"/>
    </row>
    <row r="111" ht="80.5" customHeight="1">
      <c r="A111" s="120" t="str">
        <v>MEET_API_IT90</v>
      </c>
      <c r="B111" s="120" t="str">
        <v>Verify Publish commits the invitation dispatch in the same transaction.</v>
      </c>
      <c r="C111" s="120" t="str">
        <v>1. As thuky, publish an Approved meeting with a Chair and a Secretary.
2. Query the invitation dispatch table for the meeting.</v>
      </c>
      <c r="D111" s="120" t="str">
        <v>1. Publish returns HTTP 200 with code "MSG45".
2. One invitation dispatch row exists for the meeting.</v>
      </c>
      <c r="E111" s="120" t="str">
        <v>1. Backend runs on PostgreSQL.</v>
      </c>
      <c r="F111" s="121" t="str">
        <v>Pending</v>
      </c>
      <c r="G111" s="122" t="str"/>
      <c r="H111" s="121" t="str"/>
      <c r="I111" s="121" t="str"/>
      <c r="J111" s="122" t="str"/>
      <c r="K111" s="121" t="str"/>
      <c r="L111" s="121" t="str"/>
      <c r="M111" s="123" t="str"/>
      <c r="N111" s="121" t="str"/>
      <c r="O111" s="124" t="str"/>
      <c r="P111" s="125"/>
      <c r="Q111" s="112"/>
      <c r="R111" s="112"/>
      <c r="S111" s="112"/>
      <c r="T111" s="112"/>
      <c r="U111" s="112"/>
      <c r="V111" s="112"/>
      <c r="W111" s="112"/>
      <c r="X111" s="112"/>
      <c r="Y111" s="112"/>
    </row>
    <row r="112" ht="95.0" customHeight="1">
      <c r="A112" s="120" t="str">
        <v>MEET_API_IT91</v>
      </c>
      <c r="B112" s="120" t="str">
        <v>Verify Approve saves the status and history through the real database.</v>
      </c>
      <c r="C112" s="120" t="str">
        <v>1. As the assigned approver, send { "action": "Approve" }.
2. Query the meetings and meeting_status_history tables.</v>
      </c>
      <c r="D112" s="120" t="str">
        <v>1. HTTP 200 OK with code "MSG43".
2. The meeting is Approved and a new Approve history row exists.</v>
      </c>
      <c r="E112" s="120" t="str">
        <v>1. Backend runs on PostgreSQL.
2. A WaitingApproval meeting "EF-backed approval" is assigned to the approver.</v>
      </c>
      <c r="F112" s="121" t="str">
        <v>Pending</v>
      </c>
      <c r="G112" s="122" t="str"/>
      <c r="H112" s="121" t="str"/>
      <c r="I112" s="121" t="str"/>
      <c r="J112" s="122" t="str"/>
      <c r="K112" s="121" t="str"/>
      <c r="L112" s="121" t="str"/>
      <c r="M112" s="123" t="str"/>
      <c r="N112" s="121" t="str"/>
      <c r="O112" s="124" t="str"/>
      <c r="P112" s="125"/>
      <c r="Q112" s="112"/>
      <c r="R112" s="112"/>
      <c r="S112" s="112"/>
      <c r="T112" s="112"/>
      <c r="U112" s="112"/>
      <c r="V112" s="112"/>
      <c r="W112" s="112"/>
      <c r="X112" s="112"/>
      <c r="Y112" s="112"/>
    </row>
    <row r="113" ht="66.0" customHeight="1">
      <c r="A113" s="120" t="str">
        <v>MEET_API_IT92</v>
      </c>
      <c r="B113" s="120" t="str">
        <v>Verify Publish works for a meeting without sessions on the real database.</v>
      </c>
      <c r="C113" s="120" t="str">
        <v>1. As thuky, publish an Approved meeting with a Chair and a Secretary and no session rows.</v>
      </c>
      <c r="D113" s="120" t="str">
        <v>1. HTTP 200 OK with code "MSG45"; the meeting is Published.</v>
      </c>
      <c r="E113" s="120" t="str">
        <v>1. Backend runs on PostgreSQL.</v>
      </c>
      <c r="F113" s="121" t="str">
        <v>Pending</v>
      </c>
      <c r="G113" s="122" t="str"/>
      <c r="H113" s="121" t="str"/>
      <c r="I113" s="121" t="str"/>
      <c r="J113" s="122" t="str"/>
      <c r="K113" s="121" t="str"/>
      <c r="L113" s="121" t="str"/>
      <c r="M113" s="123" t="str"/>
      <c r="N113" s="121" t="str"/>
      <c r="O113" s="124" t="str"/>
      <c r="P113" s="125"/>
      <c r="Q113" s="112"/>
      <c r="R113" s="112"/>
      <c r="S113" s="112"/>
      <c r="T113" s="112"/>
      <c r="U113" s="112"/>
      <c r="V113" s="112"/>
      <c r="W113" s="112"/>
      <c r="X113" s="112"/>
      <c r="Y113" s="112"/>
    </row>
    <row r="114" ht="124.0" customHeight="1">
      <c r="A114" s="120" t="str">
        <v>MEET_API_IT93</v>
      </c>
      <c r="B114" s="120" t="str">
        <v>Verify Secretary history access follows the stored assignment and keeps details private.</v>
      </c>
      <c r="C114" s="120" t="str">
        <v>1. Change the Secretary's seat to a plain member, then request the history.
2. Mark the Secretary as delegated, then request the history.
3. Point the seat to a delegate, then request the history.</v>
      </c>
      <c r="D114" s="120" t="str">
        <v>1. Each request returns HTTP 404 Not Found.
2. No detail of the Secret meeting is returned.</v>
      </c>
      <c r="E114" s="120" t="str">
        <v>1. Backend runs on PostgreSQL.
2. A Secret, Rejected meeting "Restricted meeting" has an accepted Secretary.</v>
      </c>
      <c r="F114" s="121" t="str">
        <v>Pending</v>
      </c>
      <c r="G114" s="122" t="str"/>
      <c r="H114" s="121" t="str"/>
      <c r="I114" s="121" t="str"/>
      <c r="J114" s="122" t="str"/>
      <c r="K114" s="121" t="str"/>
      <c r="L114" s="121" t="str"/>
      <c r="M114" s="123" t="str"/>
      <c r="N114" s="121" t="str"/>
      <c r="O114" s="124" t="str"/>
      <c r="P114" s="125"/>
      <c r="Q114" s="112"/>
      <c r="R114" s="112"/>
      <c r="S114" s="112"/>
      <c r="T114" s="112"/>
      <c r="U114" s="112"/>
      <c r="V114" s="112"/>
      <c r="W114" s="112"/>
      <c r="X114" s="112"/>
      <c r="Y114" s="112"/>
    </row>
    <row r="115" ht="66.0" customHeight="1">
      <c r="A115" s="120" t="str">
        <v>MEET_API_IT94</v>
      </c>
      <c r="B115" s="120" t="str">
        <v>Verify the meeting sessions migration only adds its table and index.</v>
      </c>
      <c r="C115" s="120" t="str">
        <v>1. Apply migrations up to MeetingSessionsForPublication on an empty database.
2. Inspect the schema change.</v>
      </c>
      <c r="D115" s="120" t="str">
        <v>1. Only the table meeting_sessions and its index are created.</v>
      </c>
      <c r="E115" s="120" t="str">
        <v>1. Backend is running.
2. PostgreSQL test database is available.</v>
      </c>
      <c r="F115" s="121" t="str">
        <v>Pending</v>
      </c>
      <c r="G115" s="122" t="str"/>
      <c r="H115" s="121" t="str"/>
      <c r="I115" s="121" t="str"/>
      <c r="J115" s="122" t="str"/>
      <c r="K115" s="121" t="str"/>
      <c r="L115" s="121" t="str"/>
      <c r="M115" s="123" t="str"/>
      <c r="N115" s="121" t="str"/>
      <c r="O115" s="124" t="str"/>
      <c r="P115" s="125"/>
      <c r="Q115" s="112"/>
      <c r="R115" s="112"/>
      <c r="S115" s="112"/>
      <c r="T115" s="112"/>
      <c r="U115" s="112"/>
      <c r="V115" s="112"/>
      <c r="W115" s="112"/>
      <c r="X115" s="112"/>
      <c r="Y115" s="112"/>
    </row>
  </sheetData>
  <mergeCells count="14">
    <mergeCell ref="B2:E2"/>
    <mergeCell ref="B3:E3"/>
    <mergeCell ref="B4:E4"/>
    <mergeCell ref="A11:O11"/>
    <mergeCell ref="A18:O18"/>
    <mergeCell ref="A29:O29"/>
    <mergeCell ref="A36:O36"/>
    <mergeCell ref="A43:O43"/>
    <mergeCell ref="A59:O59"/>
    <mergeCell ref="A63:O63"/>
    <mergeCell ref="A83:O83"/>
    <mergeCell ref="A90:O90"/>
    <mergeCell ref="A96:O96"/>
    <mergeCell ref="A105:O105"/>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Notifications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notifications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5</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COUNTIF(F12:F16,"Passed")</f>
        <v>0</v>
      </c>
      <c r="C6" s="114" t="n">
        <f>COUNTIF(F12:F16,"Failed")</f>
        <v>0</v>
      </c>
      <c r="D6" s="114" t="n">
        <f>B4-B6-C6-E6</f>
        <v>5</v>
      </c>
      <c r="E6" s="114" t="n">
        <f>COUNTIF(F12:F16,"Skipped")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COUNTIF(I12:I16,"Passed")</f>
        <v>0</v>
      </c>
      <c r="C7" s="114" t="n">
        <f>COUNTIF(I12:I16,"Failed")</f>
        <v>0</v>
      </c>
      <c r="D7" s="114" t="n">
        <f>B4-B7-C7-E7</f>
        <v>5</v>
      </c>
      <c r="E7" s="114" t="n">
        <f>COUNTIF(I12:I16,"Skipped")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COUNTIF(L12:L16,"Passed")</f>
        <v>0</v>
      </c>
      <c r="C8" s="114" t="n">
        <f>COUNTIF(L12:L16,"Failed")</f>
        <v>0</v>
      </c>
      <c r="D8" s="114" t="n">
        <f>B4-B8-C8-E8</f>
        <v>5</v>
      </c>
      <c r="E8" s="114" t="n">
        <f>COUNTIF(L12:L16,"Skipped")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GET /api/notifications</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80.5" customHeight="1">
      <c r="A12" s="120" t="str">
        <v>SYS_API_IT10</v>
      </c>
      <c r="B12" s="120" t="str">
        <v>Verify notifications and their realtime hub require a valid sign-in.</v>
      </c>
      <c r="C12" s="120" t="str">
        <v>1. GET /api/notifications without authentication.
2. POST /hubs/notifications/negotiate without authentication.</v>
      </c>
      <c r="D12" s="120" t="str">
        <v>1. Both return HTTP 401 Unauthorized.</v>
      </c>
      <c r="E12" s="120" t="str">
        <v>1. Backend is running.
2. Request is sent without authentication.</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95.0" customHeight="1">
      <c r="A13" s="120" t="str">
        <v>SYS_API_IT11</v>
      </c>
      <c r="B13" s="120" t="str">
        <v>Verify the list, mark-all-read and target check only touch the signed-in user's notifications.</v>
      </c>
      <c r="C13" s="120" t="str">
        <v>1. As thuky, GET /api/notifications.
2. POST /api/notifications/read-all.
3. GET the target of the other user's notification.</v>
      </c>
      <c r="D13" s="120" t="str">
        <v>1. The list contains only "Thông báo của tôi".
2. Mark-all-read changes only thuky's notifications.
3. The other user's notification is not found (HTTP 404).</v>
      </c>
      <c r="E13" s="120" t="str">
        <v>1. Backend is running.
2. thuky has the notification "Thông báo của tôi"; thanhvien has "Thông báo người khác".</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138.5" customHeight="1">
      <c r="A14" s="120" t="str">
        <v>SYS_API_IT12</v>
      </c>
      <c r="B14" s="120" t="str">
        <v>Verify a deactivated account cannot read notifications even with a valid token.</v>
      </c>
      <c r="C14" s="120" t="str">
        <v>1. Send GET request to /api/notifications.
2. Request headers: Authorization: Bearer &lt;access token of an account that has since been deactivated&gt;.
3. Query parameters: None.
4. Request body: None (GET request).</v>
      </c>
      <c r="D14" s="120" t="str">
        <v>1. HTTP 403 Forbidden.</v>
      </c>
      <c r="E14" s="120" t="str">
        <v>1. Backend is running.
2. The account signed in, kept its token and was then deactivated.</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138.5" customHeight="1">
      <c r="A15" s="120" t="str">
        <v>SYS_API_IT13</v>
      </c>
      <c r="B15" s="120" t="str">
        <v>Verify the notification list returns MSG40 with 500 when the account check fails.</v>
      </c>
      <c r="C15" s="120" t="str">
        <v>1. Send GET request to /api/notifications.
2. Request headers: Authorization: Bearer &lt;access token of thuky@trustcabinet.local&gt; (Secretary, MeetingCreator).
3. Query parameters: None.
4. Request body: None (GET request).</v>
      </c>
      <c r="D15" s="120" t="str">
        <v>1. HTTP 500 with code "MSG40" ("Không thể tải thông báo. Vui lòng thử lại.").</v>
      </c>
      <c r="E15" s="120" t="str">
        <v>1. Backend is running.
2. Signed in as thuky@trustcabinet.local.
3. The PostgreSQL container is stopped after sign-in.</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80.5" customHeight="1">
      <c r="A16" s="120" t="str">
        <v>SYS_API_IT14</v>
      </c>
      <c r="B16" s="120" t="str">
        <v>Verify the backend can run without the background notification worker (test configuration).</v>
      </c>
      <c r="C16" s="120" t="str">
        <v>1. Start the backend with the notification worker disabled.
2. GET /api/notifications as thuky.</v>
      </c>
      <c r="D16" s="120" t="str">
        <v>1. The API still answers HTTP 200.
2. No reminder is created in the background while the worker is off.</v>
      </c>
      <c r="E16" s="120" t="str">
        <v>1. Backend configuration that disables the notification worker.</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sheetData>
  <mergeCells count="4">
    <mergeCell ref="B2:E2"/>
    <mergeCell ref="B3:E3"/>
    <mergeCell ref="B4:E4"/>
    <mergeCell ref="A11:O11"/>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Participants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participants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31</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COUNTIF(F12:F52,"Passed")</f>
        <v>0</v>
      </c>
      <c r="C6" s="114" t="n">
        <f>COUNTIF(F12:F52,"Failed")</f>
        <v>0</v>
      </c>
      <c r="D6" s="114" t="n">
        <f>B4-B6-C6-E6</f>
        <v>31</v>
      </c>
      <c r="E6" s="114" t="n">
        <f>COUNTIF(F12:F52,"Skipped")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COUNTIF(I12:I52,"Passed")</f>
        <v>0</v>
      </c>
      <c r="C7" s="114" t="n">
        <f>COUNTIF(I12:I52,"Failed")</f>
        <v>0</v>
      </c>
      <c r="D7" s="114" t="n">
        <f>B4-B7-C7-E7</f>
        <v>31</v>
      </c>
      <c r="E7" s="114" t="n">
        <f>COUNTIF(I12:I52,"Skipped")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COUNTIF(L12:L52,"Passed")</f>
        <v>0</v>
      </c>
      <c r="C8" s="114" t="n">
        <f>COUNTIF(L12:L52,"Failed")</f>
        <v>0</v>
      </c>
      <c r="D8" s="114" t="n">
        <f>B4-B8-C8-E8</f>
        <v>31</v>
      </c>
      <c r="E8" s="114" t="n">
        <f>COUNTIF(L12:L52,"Skipped")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GET /api/meetings/{id}/participants</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96.5" customHeight="1">
      <c r="A12" s="120" t="str">
        <v>PART_API_IT01</v>
      </c>
      <c r="B12" s="120" t="str">
        <v>Verify the roster requires sign-in, hides the meeting from outsiders and reports read and write failures.</v>
      </c>
      <c r="C12" s="120" t="str">
        <v>1. Send GET /api/meetings/&lt;id&gt;/participants without authentication.
2. Send it as an outsider who is not on the roster.
3. Stop PostgreSQL and send it as the meeting Secretary.
4. Restart PostgreSQL; as the Secretary send POST /api/meetings/&lt;id&gt;/participants with { "userIds": ["&lt;outsider id&gt;"], "role": "Member" } and no If-Match header.</v>
      </c>
      <c r="D12" s="120" t="str">
        <v>1. Anonymous: HTTP 401 Unauthorized.
2. Outsider: HTTP 404 Not Found.
3. Read failure: HTTP 500 with code "MSG95" ("Không tải được danh sách thành phần hoặc phản hồi lời mời.").
4. Missing If-Match: HTTP 400 with code "MSG276".</v>
      </c>
      <c r="E12" s="120" t="str">
        <v>1. Backend is running.
2. A Published meeting has an organizer, a Chair, a Secretary and a Member.
3. An active outsider account exists.</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211.0" customHeight="1">
      <c r="A13" s="120" t="str">
        <v>PART_API_IT02</v>
      </c>
      <c r="B13" s="120" t="str">
        <v>Verify each meeting status allows reading, managing and responding as the state matrix says.</v>
      </c>
      <c r="C13" s="120" t="str">
        <v>1. For each status Draft, WaitingApproval, Rejected, Approved, Published, InProgress, Ended: as the Secretary and the Chair, send GET /api/meetings/&lt;id&gt;/participants.
2. As the Secretary, add the outsider as Member (POST /participants with the current If-Match).
3. As the Member, send PUT /api/meetings/&lt;id&gt;/invitation-response with { "response": "Accepted" }.</v>
      </c>
      <c r="D13" s="120" t="str">
        <v>1. Reading the roster returns HTTP 200 OK for the Secretary and the Chair in every status.
2. Adding returns HTTP 201 with code "MSG96" in Draft, Rejected, Approved, Published and InProgress, and HTTP 409 with code "MSG98" in WaitingApproval and Ended.
3. Responding is allowed only in Published, InProgress and Ended; otherwise it is refused.</v>
      </c>
      <c r="E13" s="120" t="str">
        <v>1. Backend is running.
2. One meeting per status exists with an organizer, a Chair, a Secretary and a Member.</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24" customHeight="1">
      <c r="A14" s="120" t="str">
        <v>GET /api/meetings/participant-options</v>
      </c>
      <c r="B14" s="120"/>
      <c r="C14" s="120"/>
      <c r="D14" s="120"/>
      <c r="E14" s="120"/>
      <c r="F14" s="121"/>
      <c r="G14" s="122"/>
      <c r="H14" s="121"/>
      <c r="I14" s="121"/>
      <c r="J14" s="122"/>
      <c r="K14" s="121"/>
      <c r="L14" s="121"/>
      <c r="M14" s="123"/>
      <c r="N14" s="121"/>
      <c r="O14" s="124"/>
      <c r="P14" s="125"/>
      <c r="Q14" s="112"/>
      <c r="R14" s="112"/>
      <c r="S14" s="112"/>
      <c r="T14" s="112"/>
      <c r="U14" s="112"/>
      <c r="V14" s="112"/>
      <c r="W14" s="112"/>
      <c r="X14" s="112"/>
      <c r="Y14" s="112"/>
    </row>
    <row r="15" ht="138.5" customHeight="1">
      <c r="A15" s="120" t="str">
        <v>PART_API_IT03</v>
      </c>
      <c r="B15" s="120" t="str">
        <v>Verify a meeting creator can find active people and create a meeting without AdminUsers.</v>
      </c>
      <c r="C15" s="120" t="str">
        <v>1. Sign in as an account whose role has only MeetingCreator.
2. Send GET /api/meetings/participant-options?q=&lt;part of a name&gt;.
3. Create a meeting with POST /api/meetings using one of the returned people as Chair.</v>
      </c>
      <c r="D15" s="120" t="str">
        <v>1. The lookup returns HTTP 200 OK with active people only.
2. The meeting is created with HTTP 201 and code "MSG29".</v>
      </c>
      <c r="E15" s="120" t="str">
        <v>1. Backend is running.
2. A role with only MeetingCreator exists and is held by the tester's account.</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24" customHeight="1">
      <c r="A16" s="120" t="str">
        <v>POST /api/meetings/{id}/participants</v>
      </c>
      <c r="B16" s="120"/>
      <c r="C16" s="120"/>
      <c r="D16" s="120"/>
      <c r="E16" s="120"/>
      <c r="F16" s="121"/>
      <c r="G16" s="122"/>
      <c r="H16" s="121"/>
      <c r="I16" s="121"/>
      <c r="J16" s="122"/>
      <c r="K16" s="121"/>
      <c r="L16" s="121"/>
      <c r="M16" s="123"/>
      <c r="N16" s="121"/>
      <c r="O16" s="124"/>
      <c r="P16" s="125"/>
      <c r="Q16" s="112"/>
      <c r="R16" s="112"/>
      <c r="S16" s="112"/>
      <c r="T16" s="112"/>
      <c r="U16" s="112"/>
      <c r="V16" s="112"/>
      <c r="W16" s="112"/>
      <c r="X16" s="112"/>
      <c r="Y16" s="112"/>
    </row>
    <row r="17" ht="240.0" customHeight="1">
      <c r="A17" s="120" t="str">
        <v>PART_API_IT04</v>
      </c>
      <c r="B17" s="120" t="str">
        <v>Verify a batch add is all-or-nothing and guest emails are compared without case.</v>
      </c>
      <c r="C17" s="120" t="str">
        <v>1. As the Secretary, POST /participants with { "userIds": ["&lt;outsider id&gt;", "&lt;random UUID&gt;"], "role": "Member" }.
2. POST /participants with { "userIds": ["&lt;outsider id&gt;"], "role": "Member", "additionalPermissions": ["AdminUsers"] }.
3. POST /guest-invitations with { "invitedName": "Khách", "email": "Case@example.test" }.
4. POST /guest-invitations again with "email": "case@EXAMPLE.test".</v>
      </c>
      <c r="D17" s="120" t="str">
        <v>1. The first two requests return HTTP 400 with code "MSG97" and add nobody.
2. The first guest invitation returns HTTP 201 with code "MSG96".
3. The second is refused with code "MSG97" as the same email.</v>
      </c>
      <c r="E17" s="120" t="str">
        <v>1. Backend is running.
2. A Draft meeting with its Secretary signed in; each write sends If-Match with the current roster revision.</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138.5" customHeight="1">
      <c r="A18" s="120" t="str">
        <v>PART_API_IT05</v>
      </c>
      <c r="B18" s="120" t="str">
        <v>Verify an internal invitee whose email matches a current guest is refused on userIds.</v>
      </c>
      <c r="C18" s="120" t="str">
        <v>1. As the Secretary, invite guest duplicate@guests.test (POST /guest-invitations).
2. Change the outsider's email to DUPLICATE@guests.test.
3. POST /participants with { "userIds": ["&lt;outsider id&gt;"], "role": "Member" } and the current If-Match.</v>
      </c>
      <c r="D18" s="120" t="str">
        <v>1. The guest invitation returns HTTP 201 with code "MSG96".
2. The add returns HTTP 400 with code "MSG97" and an error under userIds.</v>
      </c>
      <c r="E18" s="120" t="str">
        <v>1. Backend is running.
2. A Draft meeting with its Secretary signed in.</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138.5" customHeight="1">
      <c r="A19" s="120" t="str">
        <v>PART_API_IT06</v>
      </c>
      <c r="B19" s="120" t="str">
        <v>Verify two simultaneous adds with the same revision store one assignment.</v>
      </c>
      <c r="C19" s="120" t="str">
        <v>1. In two Postman tabs signed in as the Secretary, prepare POST /participants with { "userIds": ["&lt;outsider id&gt;"], "role": "Member" } and the same If-Match.
2. Send both at the same time (Postman runner, 2 parallel requests).</v>
      </c>
      <c r="D19" s="120" t="str">
        <v>1. One request returns HTTP 201 with code "MSG96".
2. The other returns HTTP 409 with code "MSG275" ("Danh sách thành phần đã thay đổi. Vui lòng tải lại và thử lại.").
3. The outsider appears once on the roster and receives one invitation.</v>
      </c>
      <c r="E19" s="120" t="str">
        <v>1. Backend is running.
2. A Draft meeting with its Secretary signed in.</v>
      </c>
      <c r="F19" s="121" t="str">
        <v>Pending</v>
      </c>
      <c r="G19" s="122" t="str"/>
      <c r="H19" s="121" t="str"/>
      <c r="I19" s="121" t="str"/>
      <c r="J19" s="122" t="str"/>
      <c r="K19" s="121" t="str"/>
      <c r="L19" s="121" t="str"/>
      <c r="M19" s="123" t="str"/>
      <c r="N19" s="121" t="str"/>
      <c r="O19" s="124" t="str"/>
      <c r="P19" s="125"/>
      <c r="Q19" s="112"/>
      <c r="R19" s="112"/>
      <c r="S19" s="112"/>
      <c r="T19" s="112"/>
      <c r="U19" s="112"/>
      <c r="V19" s="112"/>
      <c r="W19" s="112"/>
      <c r="X19" s="112"/>
      <c r="Y19" s="112"/>
    </row>
    <row r="20" ht="24" customHeight="1">
      <c r="A20" s="120" t="str">
        <v>DELETE /api/meetings/{id}/participants/{participantId}</v>
      </c>
      <c r="B20" s="120"/>
      <c r="C20" s="120"/>
      <c r="D20" s="120"/>
      <c r="E20" s="120"/>
      <c r="F20" s="121"/>
      <c r="G20" s="122"/>
      <c r="H20" s="121"/>
      <c r="I20" s="121"/>
      <c r="J20" s="122"/>
      <c r="K20" s="121"/>
      <c r="L20" s="121"/>
      <c r="M20" s="123"/>
      <c r="N20" s="121"/>
      <c r="O20" s="124"/>
      <c r="P20" s="125"/>
      <c r="Q20" s="112"/>
      <c r="R20" s="112"/>
      <c r="S20" s="112"/>
      <c r="T20" s="112"/>
      <c r="U20" s="112"/>
      <c r="V20" s="112"/>
      <c r="W20" s="112"/>
      <c r="X20" s="112"/>
      <c r="Y20" s="112"/>
    </row>
    <row r="21" ht="182.0" customHeight="1">
      <c r="A21" s="120" t="str">
        <v>PART_API_IT07</v>
      </c>
      <c r="B21" s="120" t="str">
        <v>Verify removing and re-inviting keeps the history and revokes the meeting and agenda access.</v>
      </c>
      <c r="C21" s="120" t="str">
        <v>1. As the Member, decline the invitation (PUT /invitation-response { "response": "Declined" }).
2. As the Secretary, DELETE /api/meetings/&lt;id&gt;/participants/&lt;member participant id&gt;.
3. As the Member, GET the meeting, GET its agenda and PUT a response again.
4. As the Secretary, add the Member again.</v>
      </c>
      <c r="D21" s="120" t="str">
        <v>1. Decline returns HTTP 200 with code "MSG105"; remove returns HTTP 200 with code "MSG103" ("Gỡ thành phần tham dự thành công.").
2. After removal the Member gets HTTP 404 for the meeting, the agenda and the response.
3. Re-inviting creates a new seat; the earlier decline stays in the history.</v>
      </c>
      <c r="E21" s="120" t="str">
        <v>1. Backend is running.
2. A Published meeting with the Member invited.</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24" customHeight="1">
      <c r="A22" s="120" t="str">
        <v>PUT /api/meetings/{id}/participants/assignments</v>
      </c>
      <c r="B22" s="120"/>
      <c r="C22" s="120"/>
      <c r="D22" s="120"/>
      <c r="E22" s="120"/>
      <c r="F22" s="121"/>
      <c r="G22" s="122"/>
      <c r="H22" s="121"/>
      <c r="I22" s="121"/>
      <c r="J22" s="122"/>
      <c r="K22" s="121"/>
      <c r="L22" s="121"/>
      <c r="M22" s="123"/>
      <c r="N22" s="121"/>
      <c r="O22" s="124"/>
      <c r="P22" s="125"/>
      <c r="Q22" s="112"/>
      <c r="R22" s="112"/>
      <c r="S22" s="112"/>
      <c r="T22" s="112"/>
      <c r="U22" s="112"/>
      <c r="V22" s="112"/>
      <c r="W22" s="112"/>
      <c r="X22" s="112"/>
      <c r="Y22" s="112"/>
    </row>
    <row r="23" ht="153.0" customHeight="1">
      <c r="A23" s="120" t="str">
        <v>PART_API_IT08</v>
      </c>
      <c r="B23" s="120" t="str">
        <v>Verify the last Secretary cannot be removed but can be swapped atomically.</v>
      </c>
      <c r="C23" s="120" t="str">
        <v>1. As the Secretary, DELETE /participants/&lt;secretary participant id&gt;.
2. PUT /participants/assignments with { "changes": [{ "participantId": "&lt;secretary participant id&gt;", "role": "Member" }, { "participantId": "&lt;member participant id&gt;", "role": "Secretary" }] }.</v>
      </c>
      <c r="D23" s="120" t="str">
        <v>1. The removal returns HTTP 409 with code "MSG109" ("Cuộc họp phải giữ Chủ tọa và Thư ký theo quy định. Hãy phân công người thay thế.").
2. The swap returns HTTP 200 with code "MSG100" ("Cập nhật vai trò cuộc họp thành công.").
3. The roster still loads.</v>
      </c>
      <c r="E23" s="120" t="str">
        <v>1. Backend is running.
2. A meeting with exactly one Secretary and one Member.</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196.5" customHeight="1">
      <c r="A24" s="120" t="str">
        <v>PART_API_IT09</v>
      </c>
      <c r="B24" s="120" t="str">
        <v>Verify a Chair replacement needs confirmation and both roles roll back if the second save fails.</v>
      </c>
      <c r="C24" s="120" t="str">
        <v>1. As the Chair, PUT /participants/assignments swapping Chair and Member without chairReplacement.
2. Send it again with "chairReplacement": { "outgoingParticipantId": "&lt;chair id&gt;", "incomingParticipantId": "&lt;member id&gt;", "confirmed": true } while the database fails on the second save.
3. Send it once more with the database available.</v>
      </c>
      <c r="D24" s="120" t="str">
        <v>1. Without confirmation: HTTP 400 with code "MSG101".
2. On the save failure: HTTP 503 with code "MSG102"; neither role changed.
3. Retry: success; the Member is Chair.</v>
      </c>
      <c r="E24" s="120" t="str">
        <v>1. Backend is running.
2. A Published meeting with a Chair and a Member.</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row r="25" ht="124.0" customHeight="1">
      <c r="A25" s="120" t="str">
        <v>PART_API_IT10</v>
      </c>
      <c r="B25" s="120" t="str">
        <v>Verify an inactive Chair can only be demoted through a confirmed replacement by an active member.</v>
      </c>
      <c r="C25" s="120" t="str">
        <v>1. Deactivate the Chair's account.
2. As the Secretary, PUT /participants/assignments swapping Chair and Member without confirmation.
3. Send it with the confirmed chairReplacement.</v>
      </c>
      <c r="D25" s="120" t="str">
        <v>1. Without confirmation: HTTP 400 with code "MSG101".
2. With confirmation: HTTP 200; the active Member is Chair and the old Chair is Member.</v>
      </c>
      <c r="E25" s="120" t="str">
        <v>1. Backend is running.
2. A Published or InProgress meeting with a Chair, a Secretary and a Member.</v>
      </c>
      <c r="F25" s="121" t="str">
        <v>Pending</v>
      </c>
      <c r="G25" s="122" t="str"/>
      <c r="H25" s="121" t="str"/>
      <c r="I25" s="121" t="str"/>
      <c r="J25" s="122" t="str"/>
      <c r="K25" s="121" t="str"/>
      <c r="L25" s="121" t="str"/>
      <c r="M25" s="123" t="str"/>
      <c r="N25" s="121" t="str"/>
      <c r="O25" s="124" t="str"/>
      <c r="P25" s="125"/>
      <c r="Q25" s="112"/>
      <c r="R25" s="112"/>
      <c r="S25" s="112"/>
      <c r="T25" s="112"/>
      <c r="U25" s="112"/>
      <c r="V25" s="112"/>
      <c r="W25" s="112"/>
      <c r="X25" s="112"/>
      <c r="Y25" s="112"/>
    </row>
    <row r="26" ht="124.0" customHeight="1">
      <c r="A26" s="120" t="str">
        <v>PART_API_IT11</v>
      </c>
      <c r="B26" s="120" t="str">
        <v>Verify an inactive Secretary loses management rights and a chunked body is limited.</v>
      </c>
      <c r="C26" s="120" t="str">
        <v>1. Deactivate the Secretary.
2. As the organizer, GET /participant-context.
3. As the deactivated Secretary, GET /participants.
4. As the organizer, send a write with a body over 64 KiB in chunks.</v>
      </c>
      <c r="D26" s="120" t="str">
        <v>1. canManageParticipants is false.
2. The deactivated Secretary gets HTTP 403 Forbidden.
3. The oversized write is refused (HTTP 413 with code "MSG87" or 405 for an unsupported method).</v>
      </c>
      <c r="E26" s="120" t="str">
        <v>1. Backend is running.
2. An Approved meeting with organizer and Secretary.</v>
      </c>
      <c r="F26" s="121" t="str">
        <v>Pending</v>
      </c>
      <c r="G26" s="122" t="str"/>
      <c r="H26" s="121" t="str"/>
      <c r="I26" s="121" t="str"/>
      <c r="J26" s="122" t="str"/>
      <c r="K26" s="121" t="str"/>
      <c r="L26" s="121" t="str"/>
      <c r="M26" s="123" t="str"/>
      <c r="N26" s="121" t="str"/>
      <c r="O26" s="124" t="str"/>
      <c r="P26" s="125"/>
      <c r="Q26" s="112"/>
      <c r="R26" s="112"/>
      <c r="S26" s="112"/>
      <c r="T26" s="112"/>
      <c r="U26" s="112"/>
      <c r="V26" s="112"/>
      <c r="W26" s="112"/>
      <c r="X26" s="112"/>
      <c r="Y26" s="112"/>
    </row>
    <row r="27" ht="24" customHeight="1">
      <c r="A27" s="120" t="str">
        <v>PUT /api/meetings/{id}/invitation-response</v>
      </c>
      <c r="B27" s="120"/>
      <c r="C27" s="120"/>
      <c r="D27" s="120"/>
      <c r="E27" s="120"/>
      <c r="F27" s="121"/>
      <c r="G27" s="122"/>
      <c r="H27" s="121"/>
      <c r="I27" s="121"/>
      <c r="J27" s="122"/>
      <c r="K27" s="121"/>
      <c r="L27" s="121"/>
      <c r="M27" s="123"/>
      <c r="N27" s="121"/>
      <c r="O27" s="124"/>
      <c r="P27" s="125"/>
      <c r="Q27" s="112"/>
      <c r="R27" s="112"/>
      <c r="S27" s="112"/>
      <c r="T27" s="112"/>
      <c r="U27" s="112"/>
      <c r="V27" s="112"/>
      <c r="W27" s="112"/>
      <c r="X27" s="112"/>
      <c r="Y27" s="112"/>
    </row>
    <row r="28" ht="124.0" customHeight="1">
      <c r="A28" s="120" t="str">
        <v>PART_API_IT12</v>
      </c>
      <c r="B28" s="120" t="str">
        <v>Verify a participant answers their own invitation without changing attendance.</v>
      </c>
      <c r="C28" s="120" t="str">
        <v>1. As the Member, PUT /invitation-response with { "response": "Accepted" }.
2. Send the same answer again.
3. Send { "response": "Delegated" }.</v>
      </c>
      <c r="D28" s="120" t="str">
        <v>1. First: HTTP 200 with code "MSG105" ("Đã ghi nhận phản hồi lời mời.").
2. Repeat: HTTP 200 with code "MSG154" ("Không có thay đổi cần lưu.").
3. Delegated: HTTP 400 with code "MSG106".
4. The response is Accepted; attendance is unchanged.</v>
      </c>
      <c r="E28" s="120" t="str">
        <v>1. Backend is running.
2. A Published meeting with the Member invited.</v>
      </c>
      <c r="F28" s="121" t="str">
        <v>Pending</v>
      </c>
      <c r="G28" s="122" t="str"/>
      <c r="H28" s="121" t="str"/>
      <c r="I28" s="121" t="str"/>
      <c r="J28" s="122" t="str"/>
      <c r="K28" s="121" t="str"/>
      <c r="L28" s="121" t="str"/>
      <c r="M28" s="123" t="str"/>
      <c r="N28" s="121" t="str"/>
      <c r="O28" s="124" t="str"/>
      <c r="P28" s="125"/>
      <c r="Q28" s="112"/>
      <c r="R28" s="112"/>
      <c r="S28" s="112"/>
      <c r="T28" s="112"/>
      <c r="U28" s="112"/>
      <c r="V28" s="112"/>
      <c r="W28" s="112"/>
      <c r="X28" s="112"/>
      <c r="Y28" s="112"/>
    </row>
    <row r="29" ht="109.5" customHeight="1">
      <c r="A29" s="120" t="str">
        <v>PART_API_IT13</v>
      </c>
      <c r="B29" s="120" t="str">
        <v>Verify an answered invitation can be changed and a repeated answer is a no-op, for members and guests.</v>
      </c>
      <c r="C29" s="120" t="str">
        <v>1. As the Member, GET /invitation-response, then PUT { "response": "Accepted" } and repeat it.
2. Repeat with Declined.
3. Repeat the same steps as an invited guest.</v>
      </c>
      <c r="D29" s="120" t="str">
        <v>1. canRespond is true before answering.
2. The first answer returns HTTP 200 with code "MSG105"; the repeat returns code "MSG154".
3. The saved answer is visible to readers of the roster.</v>
      </c>
      <c r="E29" s="120" t="str">
        <v>1. Backend is running.
2. A Published meeting with the Member and a guest invited.</v>
      </c>
      <c r="F29" s="121" t="str">
        <v>Pending</v>
      </c>
      <c r="G29" s="122" t="str"/>
      <c r="H29" s="121" t="str"/>
      <c r="I29" s="121" t="str"/>
      <c r="J29" s="122" t="str"/>
      <c r="K29" s="121" t="str"/>
      <c r="L29" s="121" t="str"/>
      <c r="M29" s="123" t="str"/>
      <c r="N29" s="121" t="str"/>
      <c r="O29" s="124" t="str"/>
      <c r="P29" s="125"/>
      <c r="Q29" s="112"/>
      <c r="R29" s="112"/>
      <c r="S29" s="112"/>
      <c r="T29" s="112"/>
      <c r="U29" s="112"/>
      <c r="V29" s="112"/>
      <c r="W29" s="112"/>
      <c r="X29" s="112"/>
      <c r="Y29" s="112"/>
    </row>
    <row r="30" ht="124.0" customHeight="1">
      <c r="A30" s="120" t="str">
        <v>PART_API_IT14</v>
      </c>
      <c r="B30" s="120" t="str">
        <v>Verify the response is asked once and never of the Chair.</v>
      </c>
      <c r="C30" s="120" t="str">
        <v>1. As the Member, GET /api/meetings/&lt;id&gt;.
2. As the Chair, GET /api/meetings/&lt;id&gt; and GET /participant-context.
3. As the Chair, PUT /invitation-response with { "response": "Accepted" }.</v>
      </c>
      <c r="D30" s="120" t="str">
        <v>1. The Member sees canRespond true and myResponse null.
2. The Chair sees canRespond false in both places.
3. The Chair's PUT is refused.</v>
      </c>
      <c r="E30" s="120" t="str">
        <v>1. Backend is running.
2. A Published meeting with a Chair and a Member.</v>
      </c>
      <c r="F30" s="121" t="str">
        <v>Pending</v>
      </c>
      <c r="G30" s="122" t="str"/>
      <c r="H30" s="121" t="str"/>
      <c r="I30" s="121" t="str"/>
      <c r="J30" s="122" t="str"/>
      <c r="K30" s="121" t="str"/>
      <c r="L30" s="121" t="str"/>
      <c r="M30" s="123" t="str"/>
      <c r="N30" s="121" t="str"/>
      <c r="O30" s="124" t="str"/>
      <c r="P30" s="125"/>
      <c r="Q30" s="112"/>
      <c r="R30" s="112"/>
      <c r="S30" s="112"/>
      <c r="T30" s="112"/>
      <c r="U30" s="112"/>
      <c r="V30" s="112"/>
      <c r="W30" s="112"/>
      <c r="X30" s="112"/>
      <c r="Y30" s="112"/>
    </row>
    <row r="31" ht="109.5" customHeight="1">
      <c r="A31" s="120" t="str">
        <v>PART_API_IT15</v>
      </c>
      <c r="B31" s="120" t="str">
        <v>Verify a declined meeting leaves only the decliner's calendar.</v>
      </c>
      <c r="C31" s="120" t="str">
        <v>1. As the Member, GET /api/meetings?pageSize=100&amp;excludeDeclined=true.
2. Decline the invitation.
3. Repeat the list request as the Member and as the Secretary.</v>
      </c>
      <c r="D31" s="120" t="str">
        <v>1. Before declining, the meeting is listed for the Member with canRespond true.
2. After declining, it is gone from the Member's excludeDeclined list.
3. It is still in the Secretary's list.</v>
      </c>
      <c r="E31" s="120" t="str">
        <v>1. Backend is running.
2. A Published meeting with the Member and a Secretary.</v>
      </c>
      <c r="F31" s="121" t="str">
        <v>Pending</v>
      </c>
      <c r="G31" s="122" t="str"/>
      <c r="H31" s="121" t="str"/>
      <c r="I31" s="121" t="str"/>
      <c r="J31" s="122" t="str"/>
      <c r="K31" s="121" t="str"/>
      <c r="L31" s="121" t="str"/>
      <c r="M31" s="123" t="str"/>
      <c r="N31" s="121" t="str"/>
      <c r="O31" s="124" t="str"/>
      <c r="P31" s="125"/>
      <c r="Q31" s="112"/>
      <c r="R31" s="112"/>
      <c r="S31" s="112"/>
      <c r="T31" s="112"/>
      <c r="U31" s="112"/>
      <c r="V31" s="112"/>
      <c r="W31" s="112"/>
      <c r="X31" s="112"/>
      <c r="Y31" s="112"/>
    </row>
    <row r="32" ht="153.0" customHeight="1">
      <c r="A32" s="120" t="str">
        <v>PART_API_IT16</v>
      </c>
      <c r="B32" s="120" t="str">
        <v>Verify the response body is strict.</v>
      </c>
      <c r="C32" s="120" t="str">
        <v>1. As the Member, PUT /invitation-response with Content-Type: text/plain and body {}.
2. Send { "response": "Accepted", "response": "Declined" }.
3. Send { "response": "Accepted", "userId": "spoof" }.
4. Send { "Response": "Accepted" }.</v>
      </c>
      <c r="D32" s="120" t="str">
        <v>1. text/plain: HTTP 415 with code "MSG34".
2. Each of the other bodies: HTTP 400 with code "MSG106".
3. No answer is saved.</v>
      </c>
      <c r="E32" s="120" t="str">
        <v>1. Backend is running.
2. A Published meeting with the Member invited.</v>
      </c>
      <c r="F32" s="121" t="str">
        <v>Pending</v>
      </c>
      <c r="G32" s="122" t="str"/>
      <c r="H32" s="121" t="str"/>
      <c r="I32" s="121" t="str"/>
      <c r="J32" s="122" t="str"/>
      <c r="K32" s="121" t="str"/>
      <c r="L32" s="121" t="str"/>
      <c r="M32" s="123" t="str"/>
      <c r="N32" s="121" t="str"/>
      <c r="O32" s="124" t="str"/>
      <c r="P32" s="125"/>
      <c r="Q32" s="112"/>
      <c r="R32" s="112"/>
      <c r="S32" s="112"/>
      <c r="T32" s="112"/>
      <c r="U32" s="112"/>
      <c r="V32" s="112"/>
      <c r="W32" s="112"/>
      <c r="X32" s="112"/>
      <c r="Y32" s="112"/>
    </row>
    <row r="33" ht="24" customHeight="1">
      <c r="A33" s="120" t="str">
        <v>POST /api/meetings/{id}/guest-invitations</v>
      </c>
      <c r="B33" s="120"/>
      <c r="C33" s="120"/>
      <c r="D33" s="120"/>
      <c r="E33" s="120"/>
      <c r="F33" s="121"/>
      <c r="G33" s="122"/>
      <c r="H33" s="121"/>
      <c r="I33" s="121"/>
      <c r="J33" s="122"/>
      <c r="K33" s="121"/>
      <c r="L33" s="121"/>
      <c r="M33" s="123"/>
      <c r="N33" s="121"/>
      <c r="O33" s="124"/>
      <c r="P33" s="125"/>
      <c r="Q33" s="112"/>
      <c r="R33" s="112"/>
      <c r="S33" s="112"/>
      <c r="T33" s="112"/>
      <c r="U33" s="112"/>
      <c r="V33" s="112"/>
      <c r="W33" s="112"/>
      <c r="X33" s="112"/>
      <c r="Y33" s="112"/>
    </row>
    <row r="34" ht="167.5" customHeight="1">
      <c r="A34" s="120" t="str">
        <v>PART_API_IT17</v>
      </c>
      <c r="B34" s="120" t="str">
        <v>Verify a guest needs a verified, current session and never gets internal roles.</v>
      </c>
      <c r="C34" s="120" t="str">
        <v>1. As the Secretary, POST /guest-invitations with { "invitedName": "Khách", "email": "guest@example.test" }.
2. As the guest with a verified session, GET /participants.
3. Repeat with an unverified session, an expired session and a session mixed with an internal user.</v>
      </c>
      <c r="D34" s="120" t="str">
        <v>1. The invitation returns HTTP 201 with code "MSG96" and createdIds.
2. The verified guest reads the roster (HTTP 200).
3. The other sessions are refused.
4. The guest can never be given Chair, Secretary or Member.</v>
      </c>
      <c r="E34" s="120" t="str">
        <v>1. Backend is running.
2. A Published meeting with its Secretary signed in.</v>
      </c>
      <c r="F34" s="121" t="str">
        <v>Pending</v>
      </c>
      <c r="G34" s="122" t="str"/>
      <c r="H34" s="121" t="str"/>
      <c r="I34" s="121" t="str"/>
      <c r="J34" s="122" t="str"/>
      <c r="K34" s="121" t="str"/>
      <c r="L34" s="121" t="str"/>
      <c r="M34" s="123" t="str"/>
      <c r="N34" s="121" t="str"/>
      <c r="O34" s="124" t="str"/>
      <c r="P34" s="125"/>
      <c r="Q34" s="112"/>
      <c r="R34" s="112"/>
      <c r="S34" s="112"/>
      <c r="T34" s="112"/>
      <c r="U34" s="112"/>
      <c r="V34" s="112"/>
      <c r="W34" s="112"/>
      <c r="X34" s="112"/>
      <c r="Y34" s="112"/>
    </row>
    <row r="35" ht="124.0" customHeight="1">
      <c r="A35" s="120" t="str">
        <v>PART_API_IT18</v>
      </c>
      <c r="B35" s="120" t="str">
        <v>Verify guest sessions are independent and the self-declared profile does not replace the invitation.</v>
      </c>
      <c r="C35" s="120" t="str">
        <v>1. Invite guest "Tên trên lời mời" (identity@example.test).
2. As the guest, fill the profile "Tên tự khai", "Chức danh tự khai".
3. Open a second guest session and read the roster.</v>
      </c>
      <c r="D35" s="120" t="str">
        <v>1. The roster still shows the invited name from the invitation as evidence.
2. Each session is separate; ending one does not end the other.</v>
      </c>
      <c r="E35" s="120" t="str">
        <v>1. Backend is running.
2. A Published meeting with its Secretary signed in.</v>
      </c>
      <c r="F35" s="121" t="str">
        <v>Pending</v>
      </c>
      <c r="G35" s="122" t="str"/>
      <c r="H35" s="121" t="str"/>
      <c r="I35" s="121" t="str"/>
      <c r="J35" s="122" t="str"/>
      <c r="K35" s="121" t="str"/>
      <c r="L35" s="121" t="str"/>
      <c r="M35" s="123" t="str"/>
      <c r="N35" s="121" t="str"/>
      <c r="O35" s="124" t="str"/>
      <c r="P35" s="125"/>
      <c r="Q35" s="112"/>
      <c r="R35" s="112"/>
      <c r="S35" s="112"/>
      <c r="T35" s="112"/>
      <c r="U35" s="112"/>
      <c r="V35" s="112"/>
      <c r="W35" s="112"/>
      <c r="X35" s="112"/>
      <c r="Y35" s="112"/>
    </row>
    <row r="36" ht="24" customHeight="1">
      <c r="A36" s="120" t="str">
        <v>GET /api/meetings/{id}/participants/chair-handover-candidates</v>
      </c>
      <c r="B36" s="120"/>
      <c r="C36" s="120"/>
      <c r="D36" s="120"/>
      <c r="E36" s="120"/>
      <c r="F36" s="121"/>
      <c r="G36" s="122"/>
      <c r="H36" s="121"/>
      <c r="I36" s="121"/>
      <c r="J36" s="122"/>
      <c r="K36" s="121"/>
      <c r="L36" s="121"/>
      <c r="M36" s="123"/>
      <c r="N36" s="121"/>
      <c r="O36" s="124"/>
      <c r="P36" s="125"/>
      <c r="Q36" s="112"/>
      <c r="R36" s="112"/>
      <c r="S36" s="112"/>
      <c r="T36" s="112"/>
      <c r="U36" s="112"/>
      <c r="V36" s="112"/>
      <c r="W36" s="112"/>
      <c r="X36" s="112"/>
      <c r="Y36" s="112"/>
    </row>
    <row r="37" ht="124.0" customHeight="1">
      <c r="A37" s="120" t="str">
        <v>PART_API_IT19</v>
      </c>
      <c r="B37" s="120" t="str">
        <v>Verify chair handover candidates are filtered before search and paging.</v>
      </c>
      <c r="C37" s="120" t="str">
        <v>1. As the Chair, GET /participants/chair-handover-candidates?q=same&amp;page=1&amp;pageSize=1.</v>
      </c>
      <c r="D37" s="120" t="str">
        <v>1. HTTP 200 OK response.
2. Only current, active, non-delegated internal Members of this meeting are offered; inactive, removed, delegated, guest and other-meeting people are not.
3. total counts after search and before paging.</v>
      </c>
      <c r="E37" s="120" t="str">
        <v>1. Backend is running.
2. A Published meeting whose roster includes six extra users: two named "same", one inactive, one removed, one delegated, one guest.</v>
      </c>
      <c r="F37" s="121" t="str">
        <v>Pending</v>
      </c>
      <c r="G37" s="122" t="str"/>
      <c r="H37" s="121" t="str"/>
      <c r="I37" s="121" t="str"/>
      <c r="J37" s="122" t="str"/>
      <c r="K37" s="121" t="str"/>
      <c r="L37" s="121" t="str"/>
      <c r="M37" s="123" t="str"/>
      <c r="N37" s="121" t="str"/>
      <c r="O37" s="124" t="str"/>
      <c r="P37" s="125"/>
      <c r="Q37" s="112"/>
      <c r="R37" s="112"/>
      <c r="S37" s="112"/>
      <c r="T37" s="112"/>
      <c r="U37" s="112"/>
      <c r="V37" s="112"/>
      <c r="W37" s="112"/>
      <c r="X37" s="112"/>
      <c r="Y37" s="112"/>
    </row>
    <row r="38" ht="167.5" customHeight="1">
      <c r="A38" s="120" t="str">
        <v>PART_API_IT20</v>
      </c>
      <c r="B38" s="120" t="str">
        <v>Verify no eligible member is a successful empty answer with no side effects.</v>
      </c>
      <c r="C38" s="120" t="str">
        <v>1. Send GET request to /api/meetings/&lt;id&gt;/participants/chair-handover-candidates?q=missing.
2. Request headers: Authorization: Bearer &lt;access token of the meeting Chair&gt;.
3. Query parameters: q=missing.
4. Request body: None (GET request).</v>
      </c>
      <c r="D38" s="120" t="str">
        <v>1. HTTP 200 OK response with code "MSG258".
2. items is empty; total and eligibleTotal are 0.
3. Nothing is changed.</v>
      </c>
      <c r="E38" s="120" t="str">
        <v>1. Backend is running.
2. A Published meeting whose only Member has been deactivated.</v>
      </c>
      <c r="F38" s="121" t="str">
        <v>Pending</v>
      </c>
      <c r="G38" s="122" t="str"/>
      <c r="H38" s="121" t="str"/>
      <c r="I38" s="121" t="str"/>
      <c r="J38" s="122" t="str"/>
      <c r="K38" s="121" t="str"/>
      <c r="L38" s="121" t="str"/>
      <c r="M38" s="123" t="str"/>
      <c r="N38" s="121" t="str"/>
      <c r="O38" s="124" t="str"/>
      <c r="P38" s="125"/>
      <c r="Q38" s="112"/>
      <c r="R38" s="112"/>
      <c r="S38" s="112"/>
      <c r="T38" s="112"/>
      <c r="U38" s="112"/>
      <c r="V38" s="112"/>
      <c r="W38" s="112"/>
      <c r="X38" s="112"/>
      <c r="Y38" s="112"/>
    </row>
    <row r="39" ht="24" customHeight="1">
      <c r="A39" s="120" t="str">
        <v>POST /api/meetings/{id}/participants/chair-handover</v>
      </c>
      <c r="B39" s="120"/>
      <c r="C39" s="120"/>
      <c r="D39" s="120"/>
      <c r="E39" s="120"/>
      <c r="F39" s="121"/>
      <c r="G39" s="122"/>
      <c r="H39" s="121"/>
      <c r="I39" s="121"/>
      <c r="J39" s="122"/>
      <c r="K39" s="121"/>
      <c r="L39" s="121"/>
      <c r="M39" s="123"/>
      <c r="N39" s="121"/>
      <c r="O39" s="124"/>
      <c r="P39" s="125"/>
      <c r="Q39" s="112"/>
      <c r="R39" s="112"/>
      <c r="S39" s="112"/>
      <c r="T39" s="112"/>
      <c r="U39" s="112"/>
      <c r="V39" s="112"/>
      <c r="W39" s="112"/>
      <c r="X39" s="112"/>
      <c r="Y39" s="112"/>
    </row>
    <row r="40" ht="109.5" customHeight="1">
      <c r="A40" s="120" t="str">
        <v>PART_API_IT21</v>
      </c>
      <c r="B40" s="120" t="str">
        <v>Verify the status is checked before the input.</v>
      </c>
      <c r="C40" s="120" t="str">
        <v>1. For a Draft, WaitingApproval, Rejected, Approved and Ended meeting: as the Chair, GET /chair-handover-candidates?unknown=x and POST /chair-handover with { "invalid": true }.</v>
      </c>
      <c r="D40" s="120" t="str">
        <v>1. Every request returns HTTP 409 with code "MSG260" ("Bạn không còn quyền giao vai trò Chủ tọa ...").</v>
      </c>
      <c r="E40" s="120" t="str">
        <v>1. Backend is running.
2. Meetings in those statuses with the same Chair.</v>
      </c>
      <c r="F40" s="121" t="str">
        <v>Pending</v>
      </c>
      <c r="G40" s="122" t="str"/>
      <c r="H40" s="121" t="str"/>
      <c r="I40" s="121" t="str"/>
      <c r="J40" s="122" t="str"/>
      <c r="K40" s="121" t="str"/>
      <c r="L40" s="121" t="str"/>
      <c r="M40" s="123" t="str"/>
      <c r="N40" s="121" t="str"/>
      <c r="O40" s="124" t="str"/>
      <c r="P40" s="125"/>
      <c r="Q40" s="112"/>
      <c r="R40" s="112"/>
      <c r="S40" s="112"/>
      <c r="T40" s="112"/>
      <c r="U40" s="112"/>
      <c r="V40" s="112"/>
      <c r="W40" s="112"/>
      <c r="X40" s="112"/>
      <c r="Y40" s="112"/>
    </row>
    <row r="41" ht="80.5" customHeight="1">
      <c r="A41" s="120" t="str">
        <v>PART_API_IT22</v>
      </c>
      <c r="B41" s="120" t="str">
        <v>Verify only the current Chair can hand over and others learn nothing.</v>
      </c>
      <c r="C41" s="120" t="str">
        <v>1. Send GET /chair-handover-candidates?bad=1 and POST /chair-handover as: anonymous, an outsider, the Member, the Secretary and the organizer.</v>
      </c>
      <c r="D41" s="120" t="str">
        <v>1. Anonymous: HTTP 401.
2. Outsider: HTTP 404 with an empty body.
3. Member, Secretary and organizer: HTTP 409 with code "MSG260".</v>
      </c>
      <c r="E41" s="120" t="str">
        <v>1. Backend is running.
2. A Published meeting with Chair, Secretary, Member and organizer.</v>
      </c>
      <c r="F41" s="121" t="str">
        <v>Pending</v>
      </c>
      <c r="G41" s="122" t="str"/>
      <c r="H41" s="121" t="str"/>
      <c r="I41" s="121" t="str"/>
      <c r="J41" s="122" t="str"/>
      <c r="K41" s="121" t="str"/>
      <c r="L41" s="121" t="str"/>
      <c r="M41" s="123" t="str"/>
      <c r="N41" s="121" t="str"/>
      <c r="O41" s="124" t="str"/>
      <c r="P41" s="125"/>
      <c r="Q41" s="112"/>
      <c r="R41" s="112"/>
      <c r="S41" s="112"/>
      <c r="T41" s="112"/>
      <c r="U41" s="112"/>
      <c r="V41" s="112"/>
      <c r="W41" s="112"/>
      <c r="X41" s="112"/>
      <c r="Y41" s="112"/>
    </row>
    <row r="42" ht="138.5" customHeight="1">
      <c r="A42" s="120" t="str">
        <v>PART_API_IT23</v>
      </c>
      <c r="B42" s="120" t="str">
        <v>Verify an invalid new Chair is reported before a stale revision.</v>
      </c>
      <c r="C42" s="120" t="str">
        <v>1. As the Chair, POST /chair-handover with an old If-Match and newChairParticipantId set to, in turn: the Chair, the Secretary, an inactive Member, a removed Member, an unknown id, a guest, a member of another meeting, a delegated Member.</v>
      </c>
      <c r="D42" s="120" t="str">
        <v>1. Each request returns HTTP 400 with code "MSG259" (the new Chair must be a current internal member), not 409 MSG275.</v>
      </c>
      <c r="E42" s="120" t="str">
        <v>1. Backend is running.
2. A Published meeting with Chair, Secretary and Member.</v>
      </c>
      <c r="F42" s="121" t="str">
        <v>Pending</v>
      </c>
      <c r="G42" s="122" t="str"/>
      <c r="H42" s="121" t="str"/>
      <c r="I42" s="121" t="str"/>
      <c r="J42" s="122" t="str"/>
      <c r="K42" s="121" t="str"/>
      <c r="L42" s="121" t="str"/>
      <c r="M42" s="123" t="str"/>
      <c r="N42" s="121" t="str"/>
      <c r="O42" s="124" t="str"/>
      <c r="P42" s="125"/>
      <c r="Q42" s="112"/>
      <c r="R42" s="112"/>
      <c r="S42" s="112"/>
      <c r="T42" s="112"/>
      <c r="U42" s="112"/>
      <c r="V42" s="112"/>
      <c r="W42" s="112"/>
      <c r="X42" s="112"/>
      <c r="Y42" s="112"/>
    </row>
    <row r="43" ht="109.5" customHeight="1">
      <c r="A43" s="120" t="str">
        <v>PART_API_IT24</v>
      </c>
      <c r="B43" s="120" t="str">
        <v>Verify the body is validated strictly before the If-Match header.</v>
      </c>
      <c r="C43" s="120" t="str">
        <v>1. As the Chair, POST /chair-handover without If-Match with each body: {, null, [], {}, newChairParticipantId null, "bad", the all-zero UUID, without confirmed, confirmed false, confirmed null.</v>
      </c>
      <c r="D43" s="120" t="str">
        <v>1. Every request returns HTTP 400 with code "MSG101".
2. Nothing changes.</v>
      </c>
      <c r="E43" s="120" t="str">
        <v>1. Backend is running.
2. A Published meeting with Chair and Member.</v>
      </c>
      <c r="F43" s="121" t="str">
        <v>Pending</v>
      </c>
      <c r="G43" s="122" t="str"/>
      <c r="H43" s="121" t="str"/>
      <c r="I43" s="121" t="str"/>
      <c r="J43" s="122" t="str"/>
      <c r="K43" s="121" t="str"/>
      <c r="L43" s="121" t="str"/>
      <c r="M43" s="123" t="str"/>
      <c r="N43" s="121" t="str"/>
      <c r="O43" s="124" t="str"/>
      <c r="P43" s="125"/>
      <c r="Q43" s="112"/>
      <c r="R43" s="112"/>
      <c r="S43" s="112"/>
      <c r="T43" s="112"/>
      <c r="U43" s="112"/>
      <c r="V43" s="112"/>
      <c r="W43" s="112"/>
      <c r="X43" s="112"/>
      <c r="Y43" s="112"/>
    </row>
    <row r="44" ht="109.5" customHeight="1">
      <c r="A44" s="120" t="str">
        <v>PART_API_IT25</v>
      </c>
      <c r="B44" s="120" t="str">
        <v>Verify body, media type and size errors come before an unknown query parameter.</v>
      </c>
      <c r="C44" s="120" t="str">
        <v>1. As the Chair, POST /chair-handover?unexpected=1 with: body {; a body with confirmed false; Content-Type text/plain; a body of 65 537 bytes.</v>
      </c>
      <c r="D44" s="120" t="str">
        <v>1. Invalid JSON and missing confirmation: HTTP 400 with code "MSG101".
2. text/plain: HTTP 415 with code "MSG34".
3. Oversized: HTTP 413 with code "MSG87" ("Nội dung JSON vượt quá 64 KiB.").</v>
      </c>
      <c r="E44" s="120" t="str">
        <v>1. Backend is running.
2. A Published meeting with Chair and Member.</v>
      </c>
      <c r="F44" s="121" t="str">
        <v>Pending</v>
      </c>
      <c r="G44" s="122" t="str"/>
      <c r="H44" s="121" t="str"/>
      <c r="I44" s="121" t="str"/>
      <c r="J44" s="122" t="str"/>
      <c r="K44" s="121" t="str"/>
      <c r="L44" s="121" t="str"/>
      <c r="M44" s="123" t="str"/>
      <c r="N44" s="121" t="str"/>
      <c r="O44" s="124" t="str"/>
      <c r="P44" s="125"/>
      <c r="Q44" s="112"/>
      <c r="R44" s="112"/>
      <c r="S44" s="112"/>
      <c r="T44" s="112"/>
      <c r="U44" s="112"/>
      <c r="V44" s="112"/>
      <c r="W44" s="112"/>
      <c r="X44" s="112"/>
      <c r="Y44" s="112"/>
    </row>
    <row r="45" ht="24" customHeight="1">
      <c r="A45" s="120" t="str">
        <v>GET /api/meetings/{id}/participants/chair-handover-candidates</v>
      </c>
      <c r="B45" s="120"/>
      <c r="C45" s="120"/>
      <c r="D45" s="120"/>
      <c r="E45" s="120"/>
      <c r="F45" s="121"/>
      <c r="G45" s="122"/>
      <c r="H45" s="121"/>
      <c r="I45" s="121"/>
      <c r="J45" s="122"/>
      <c r="K45" s="121"/>
      <c r="L45" s="121"/>
      <c r="M45" s="123"/>
      <c r="N45" s="121"/>
      <c r="O45" s="124"/>
      <c r="P45" s="125"/>
      <c r="Q45" s="112"/>
      <c r="R45" s="112"/>
      <c r="S45" s="112"/>
      <c r="T45" s="112"/>
      <c r="U45" s="112"/>
      <c r="V45" s="112"/>
      <c r="W45" s="112"/>
      <c r="X45" s="112"/>
      <c r="Y45" s="112"/>
    </row>
    <row r="46" ht="109.5" customHeight="1">
      <c r="A46" s="120" t="str">
        <v>PART_API_IT26</v>
      </c>
      <c r="B46" s="120" t="str">
        <v>Verify the query string is validated strictly.</v>
      </c>
      <c r="C46" s="120" t="str">
        <v>1. As the Chair, GET /chair-handover-candidates and POST /chair-handover with each query: ?page=0, ?page=-1, ?page=abc, ?page=1&amp;page=2, ?pageSize=0, ?pageSize=101, ?unknown=1, ?Page=1, ?q=x&amp;q=y.</v>
      </c>
      <c r="D46" s="120" t="str">
        <v>1. Every request returns HTTP 400 with code "MSG276" ("Query hoặc If-Match không hợp lệ. Vui lòng tải lại dữ liệu.").</v>
      </c>
      <c r="E46" s="120" t="str">
        <v>1. Backend is running.
2. A Published meeting with Chair and Member.</v>
      </c>
      <c r="F46" s="121" t="str">
        <v>Pending</v>
      </c>
      <c r="G46" s="122" t="str"/>
      <c r="H46" s="121" t="str"/>
      <c r="I46" s="121" t="str"/>
      <c r="J46" s="122" t="str"/>
      <c r="K46" s="121" t="str"/>
      <c r="L46" s="121" t="str"/>
      <c r="M46" s="123" t="str"/>
      <c r="N46" s="121" t="str"/>
      <c r="O46" s="124" t="str"/>
      <c r="P46" s="125"/>
      <c r="Q46" s="112"/>
      <c r="R46" s="112"/>
      <c r="S46" s="112"/>
      <c r="T46" s="112"/>
      <c r="U46" s="112"/>
      <c r="V46" s="112"/>
      <c r="W46" s="112"/>
      <c r="X46" s="112"/>
      <c r="Y46" s="112"/>
    </row>
    <row r="47" ht="24" customHeight="1">
      <c r="A47" s="120" t="str">
        <v>POST /api/meetings/{id}/participants/chair-handover</v>
      </c>
      <c r="B47" s="120"/>
      <c r="C47" s="120"/>
      <c r="D47" s="120"/>
      <c r="E47" s="120"/>
      <c r="F47" s="121"/>
      <c r="G47" s="122"/>
      <c r="H47" s="121"/>
      <c r="I47" s="121"/>
      <c r="J47" s="122"/>
      <c r="K47" s="121"/>
      <c r="L47" s="121"/>
      <c r="M47" s="123"/>
      <c r="N47" s="121"/>
      <c r="O47" s="124"/>
      <c r="P47" s="125"/>
      <c r="Q47" s="112"/>
      <c r="R47" s="112"/>
      <c r="S47" s="112"/>
      <c r="T47" s="112"/>
      <c r="U47" s="112"/>
      <c r="V47" s="112"/>
      <c r="W47" s="112"/>
      <c r="X47" s="112"/>
      <c r="Y47" s="112"/>
    </row>
    <row r="48" ht="153.0" customHeight="1">
      <c r="A48" s="120" t="str">
        <v>PART_API_IT27</v>
      </c>
      <c r="B48" s="120" t="str">
        <v>Verify the If-Match header, media type, length and query limits are enforced.</v>
      </c>
      <c r="C48" s="120" t="str">
        <v>1. POST /chair-handover with If-Match missing, *, participants-0, W/"participants-0", "participants--1" and two tags.
2. GET candidates with q of 201 characters.
3. POST with a body that is not JSON, then with a body over 64 KiB.</v>
      </c>
      <c r="D48" s="120" t="str">
        <v>1. Each bad If-Match and the long q return HTTP 400 with code "MSG276".
2. Non-JSON returns HTTP 415 with code "MSG34".
3. Oversized returns HTTP 413 with code "MSG87".</v>
      </c>
      <c r="E48" s="120" t="str">
        <v>1. Backend is running.
2. A Published meeting with Chair and Member.</v>
      </c>
      <c r="F48" s="121" t="str">
        <v>Pending</v>
      </c>
      <c r="G48" s="122" t="str"/>
      <c r="H48" s="121" t="str"/>
      <c r="I48" s="121" t="str"/>
      <c r="J48" s="122" t="str"/>
      <c r="K48" s="121" t="str"/>
      <c r="L48" s="121" t="str"/>
      <c r="M48" s="123" t="str"/>
      <c r="N48" s="121" t="str"/>
      <c r="O48" s="124" t="str"/>
      <c r="P48" s="125"/>
      <c r="Q48" s="112"/>
      <c r="R48" s="112"/>
      <c r="S48" s="112"/>
      <c r="T48" s="112"/>
      <c r="U48" s="112"/>
      <c r="V48" s="112"/>
      <c r="W48" s="112"/>
      <c r="X48" s="112"/>
      <c r="Y48" s="112"/>
    </row>
    <row r="49" ht="80.5" customHeight="1">
      <c r="A49" s="120" t="str">
        <v>PART_API_IT28</v>
      </c>
      <c r="B49" s="120" t="str">
        <v>Verify a missing Secretary blocks the handover and a read failure returns MSG95.</v>
      </c>
      <c r="C49" s="120" t="str">
        <v>1. Change the Secretary's seat to Member, then POST /chair-handover as the Chair.
2. Stop PostgreSQL and GET /chair-handover-candidates.</v>
      </c>
      <c r="D49" s="120" t="str">
        <v>1. The handover returns HTTP 409 with code "MSG109"; nothing changes.
2. The read returns HTTP 500 with code "MSG95".</v>
      </c>
      <c r="E49" s="120" t="str">
        <v>1. Backend is running.
2. A Published meeting with Chair, Secretary and Member.</v>
      </c>
      <c r="F49" s="121" t="str">
        <v>Pending</v>
      </c>
      <c r="G49" s="122" t="str"/>
      <c r="H49" s="121" t="str"/>
      <c r="I49" s="121" t="str"/>
      <c r="J49" s="122" t="str"/>
      <c r="K49" s="121" t="str"/>
      <c r="L49" s="121" t="str"/>
      <c r="M49" s="123" t="str"/>
      <c r="N49" s="121" t="str"/>
      <c r="O49" s="124" t="str"/>
      <c r="P49" s="125"/>
      <c r="Q49" s="112"/>
      <c r="R49" s="112"/>
      <c r="S49" s="112"/>
      <c r="T49" s="112"/>
      <c r="U49" s="112"/>
      <c r="V49" s="112"/>
      <c r="W49" s="112"/>
      <c r="X49" s="112"/>
      <c r="Y49" s="112"/>
    </row>
    <row r="50" ht="138.5" customHeight="1">
      <c r="A50" s="120" t="str">
        <v>PART_API_IT29</v>
      </c>
      <c r="B50" s="120" t="str">
        <v>Verify a handover keeps the evidence and commits one set of side effects.</v>
      </c>
      <c r="C50" s="120" t="str">
        <v>1. As the Chair, POST /chair-handover with { "newChairParticipantId": "&lt;member participant id&gt;", "confirmed": true } and the current If-Match.</v>
      </c>
      <c r="D50" s="120" t="str">
        <v>1. HTTP 200 OK with code "MSG257" ("Giao vai trò Chủ tọa thành công.").
2. The Member is Chair and the old Chair is Member.
3. Earlier answers, attendance and votes are unchanged.
4. One notification and one invitation are created for each change, no more.</v>
      </c>
      <c r="E50" s="120" t="str">
        <v>1. Backend is running.
2. A Published or InProgress meeting where both people already answered, attendance was recorded and a vote exists.</v>
      </c>
      <c r="F50" s="121" t="str">
        <v>Pending</v>
      </c>
      <c r="G50" s="122" t="str"/>
      <c r="H50" s="121" t="str"/>
      <c r="I50" s="121" t="str"/>
      <c r="J50" s="122" t="str"/>
      <c r="K50" s="121" t="str"/>
      <c r="L50" s="121" t="str"/>
      <c r="M50" s="123" t="str"/>
      <c r="N50" s="121" t="str"/>
      <c r="O50" s="124" t="str"/>
      <c r="P50" s="125"/>
      <c r="Q50" s="112"/>
      <c r="R50" s="112"/>
      <c r="S50" s="112"/>
      <c r="T50" s="112"/>
      <c r="U50" s="112"/>
      <c r="V50" s="112"/>
      <c r="W50" s="112"/>
      <c r="X50" s="112"/>
      <c r="Y50" s="112"/>
    </row>
    <row r="51" ht="95.0" customHeight="1">
      <c r="A51" s="120" t="str">
        <v>PART_API_IT30</v>
      </c>
      <c r="B51" s="120" t="str">
        <v>Verify a failure at either save rolls back roles, revision and all side effects.</v>
      </c>
      <c r="C51" s="120" t="str">
        <v>1. Make the database fail on the first save, POST the handover; repeat failing on the second save.
2. POST the handover again with the database healthy.</v>
      </c>
      <c r="D51" s="120" t="str">
        <v>1. Each failing request returns HTTP 503 with code "MSG102"; roles, revision, notifications and invitations are unchanged.
2. The retry returns HTTP 200 with code "MSG257".</v>
      </c>
      <c r="E51" s="120" t="str">
        <v>1. Backend is running.
2. A Published meeting with Chair, Secretary and Member.</v>
      </c>
      <c r="F51" s="121" t="str">
        <v>Pending</v>
      </c>
      <c r="G51" s="122" t="str"/>
      <c r="H51" s="121" t="str"/>
      <c r="I51" s="121" t="str"/>
      <c r="J51" s="122" t="str"/>
      <c r="K51" s="121" t="str"/>
      <c r="L51" s="121" t="str"/>
      <c r="M51" s="123" t="str"/>
      <c r="N51" s="121" t="str"/>
      <c r="O51" s="124" t="str"/>
      <c r="P51" s="125"/>
      <c r="Q51" s="112"/>
      <c r="R51" s="112"/>
      <c r="S51" s="112"/>
      <c r="T51" s="112"/>
      <c r="U51" s="112"/>
      <c r="V51" s="112"/>
      <c r="W51" s="112"/>
      <c r="X51" s="112"/>
      <c r="Y51" s="112"/>
    </row>
    <row r="52" ht="109.5" customHeight="1">
      <c r="A52" s="120" t="str">
        <v>PART_API_IT31</v>
      </c>
      <c r="B52" s="120" t="str">
        <v>Verify a transport failure after commit does not report a false save failure.</v>
      </c>
      <c r="C52" s="120" t="str">
        <v>1. Interrupt the realtime broadcast after the commit, then POST the handover.
2. POST the same handover again.</v>
      </c>
      <c r="D52" s="120" t="str">
        <v>1. The first request returns HTTP 200 with code "MSG257"; the Member is Chair and two invitation dispatches exist.
2. The second returns HTTP 409 with code "MSG260" because the caller is no longer Chair.</v>
      </c>
      <c r="E52" s="120" t="str">
        <v>1. Backend is running.
2. A Published meeting with Chair, Secretary and Member.</v>
      </c>
      <c r="F52" s="121" t="str">
        <v>Pending</v>
      </c>
      <c r="G52" s="122" t="str"/>
      <c r="H52" s="121" t="str"/>
      <c r="I52" s="121" t="str"/>
      <c r="J52" s="122" t="str"/>
      <c r="K52" s="121" t="str"/>
      <c r="L52" s="121" t="str"/>
      <c r="M52" s="123" t="str"/>
      <c r="N52" s="121" t="str"/>
      <c r="O52" s="124" t="str"/>
      <c r="P52" s="125"/>
      <c r="Q52" s="112"/>
      <c r="R52" s="112"/>
      <c r="S52" s="112"/>
      <c r="T52" s="112"/>
      <c r="U52" s="112"/>
      <c r="V52" s="112"/>
      <c r="W52" s="112"/>
      <c r="X52" s="112"/>
      <c r="Y52" s="112"/>
    </row>
  </sheetData>
  <mergeCells count="14">
    <mergeCell ref="B2:E2"/>
    <mergeCell ref="B3:E3"/>
    <mergeCell ref="B4:E4"/>
    <mergeCell ref="A11:O11"/>
    <mergeCell ref="A14:O14"/>
    <mergeCell ref="A16:O16"/>
    <mergeCell ref="A20:O20"/>
    <mergeCell ref="A22:O22"/>
    <mergeCell ref="A27:O27"/>
    <mergeCell ref="A33:O33"/>
    <mergeCell ref="A36:O36"/>
    <mergeCell ref="A39:O39"/>
    <mergeCell ref="A45:O45"/>
    <mergeCell ref="A47:O47"/>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Recordings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recordings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55</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COUNTIF(F12:F105,"Passed")</f>
        <v>0</v>
      </c>
      <c r="C6" s="114" t="n">
        <f>COUNTIF(F12:F105,"Failed")</f>
        <v>0</v>
      </c>
      <c r="D6" s="114" t="n">
        <f>B4-B6-C6-E6</f>
        <v>55</v>
      </c>
      <c r="E6" s="114" t="n">
        <f>COUNTIF(F12:F105,"Skipped")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COUNTIF(I12:I105,"Passed")</f>
        <v>0</v>
      </c>
      <c r="C7" s="114" t="n">
        <f>COUNTIF(I12:I105,"Failed")</f>
        <v>0</v>
      </c>
      <c r="D7" s="114" t="n">
        <f>B4-B7-C7-E7</f>
        <v>55</v>
      </c>
      <c r="E7" s="114" t="n">
        <f>COUNTIF(I12:I105,"Skipped")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COUNTIF(L12:L105,"Passed")</f>
        <v>0</v>
      </c>
      <c r="C8" s="114" t="n">
        <f>COUNTIF(L12:L105,"Failed")</f>
        <v>0</v>
      </c>
      <c r="D8" s="114" t="n">
        <f>B4-B8-C8-E8</f>
        <v>55</v>
      </c>
      <c r="E8" s="114" t="n">
        <f>COUNTIF(L12:L105,"Skipped")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POST /api/meetings/{id}/recordings</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82.0" customHeight="1">
      <c r="A12" s="120" t="str">
        <v>REC_API_IT01</v>
      </c>
      <c r="B12" s="120" t="str">
        <v>Verify the Secretary stores a recording with consent, purpose and retention.</v>
      </c>
      <c r="C12" s="120" t="str">
        <v>1. As the Secretary, send POST /api/meetings/&lt;id&gt;/recordings as multipart/form-data with fields consentConfirmed=true, consentPurpose="Lập biên bản phiên họp", durationMs=65000 and file phien-hop.wav (audio/wav).
2. As the Member, GET /api/meetings/&lt;id&gt;/recordings.
3. Repeat for an InProgress and an Ended meeting.</v>
      </c>
      <c r="D12" s="120" t="str">
        <v>1. HTTP 201 Created with code "MSG290" ("Đã lưu bản ghi.").
2. The Member's list has one item phien-hop.wav with the purpose, retention date and duration; canUpload is false for the Member.
3. One audio file is added to storage.</v>
      </c>
      <c r="E12" s="120" t="str">
        <v>1. Backend is running.
2. An InProgress (or Ended) meeting with Secretary and Member.
3. File storage is configured.</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167.5" customHeight="1">
      <c r="A13" s="120" t="str">
        <v>REC_API_IT02</v>
      </c>
      <c r="B13" s="120" t="str">
        <v>Verify the upload form carries only a file recorded elsewhere and codec parameters are accepted.</v>
      </c>
      <c r="C13" s="120" t="str">
        <v>1. As the Secretary, POST /api/meetings/&lt;id&gt;/recordings with consentConfirmed=true, a valid file and source=BrowserCapture.
2. POST again with file ghi-ngoai.webm of type audio/webm;codecs=opus and no durationMs.
3. GET /api/meetings/&lt;id&gt;/recordings.</v>
      </c>
      <c r="D13" s="120" t="str">
        <v>1. The form claiming a browser capture returns HTTP 400 with code "MSG291" ("Thông tin bản ghi không hợp lệ."): only the room mic records in the browser.
2. The upload returns HTTP 201 with code "MSG290".
3. The item has source "Upload", contentType "audio/webm", durationMs 0 and takes null.</v>
      </c>
      <c r="E13" s="120" t="str">
        <v>1. Backend is running.
2. An InProgress in-person meeting and its Secretary signed in.</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138.5" customHeight="1">
      <c r="A14" s="120" t="str">
        <v>REC_API_IT03</v>
      </c>
      <c r="B14" s="120" t="str">
        <v>Verify a refused upload leaves no audio behind.</v>
      </c>
      <c r="C14" s="120" t="str">
        <v>1. As the Secretary, POST a recording without consentConfirmed.
2. POST with source=Telepathy.
3. POST with durationMs=-5.
4. POST with no file, with a non-audio file, and as a non-multipart body.</v>
      </c>
      <c r="D14" s="120" t="str">
        <v>1. Each request returns HTTP 400 with code "MSG291"; the first names consentConfirmed.
2. No audio file is added to storage.</v>
      </c>
      <c r="E14" s="120" t="str">
        <v>1. Backend is running.
2. An InProgress meeting and its Secretary signed in.</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80.5" customHeight="1">
      <c r="A15" s="120" t="str">
        <v>REC_API_IT04</v>
      </c>
      <c r="B15" s="120" t="str">
        <v>Verify nothing can be recorded before the meeting starts.</v>
      </c>
      <c r="C15" s="120" t="str">
        <v>1. For a Draft, Approved and Published meeting, as the Secretary POST a valid recording, then GET the recordings list.</v>
      </c>
      <c r="D15" s="120" t="str">
        <v>1. Each upload returns HTTP 409 with code "MSG294" ("Chỉ lưu bản ghi khi cuộc họp đang diễn ra hoặc đã kết thúc.").
2. canUpload is false.</v>
      </c>
      <c r="E15" s="120" t="str">
        <v>1. Backend is running.
2. One meeting per status with a Secretary.</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109.5" customHeight="1">
      <c r="A16" s="120" t="str">
        <v>REC_API_IT05</v>
      </c>
      <c r="B16" s="120" t="str">
        <v>Verify only the Secretary manages recordings and only the roster can listen.</v>
      </c>
      <c r="C16" s="120" t="str">
        <v>1. As the Chair and the Member, POST a recording, DELETE /api/recordings/&lt;id&gt; and GET /api/recordings/&lt;id&gt;/playback.
2. As an outsider, GET the playback.</v>
      </c>
      <c r="D16" s="120" t="str">
        <v>1. Upload and delete return HTTP 403 with code "MSG295" (only the meeting Secretary may manage recordings).
2. Playback returns HTTP 200 for the Chair and the Member.
3. The outsider gets HTTP 404; storage is unchanged.</v>
      </c>
      <c r="E16" s="120" t="str">
        <v>1. Backend is running.
2. An InProgress meeting with one stored recording.</v>
      </c>
      <c r="F16" s="121" t="str">
        <v>Pending</v>
      </c>
      <c r="G16" s="122" t="str"/>
      <c r="H16" s="121" t="str"/>
      <c r="I16" s="121" t="str"/>
      <c r="J16" s="122" t="str"/>
      <c r="K16" s="121" t="str"/>
      <c r="L16" s="121" t="str"/>
      <c r="M16" s="123" t="str"/>
      <c r="N16" s="121" t="str"/>
      <c r="O16" s="124" t="str"/>
      <c r="P16" s="125"/>
      <c r="Q16" s="112"/>
      <c r="R16" s="112"/>
      <c r="S16" s="112"/>
      <c r="T16" s="112"/>
      <c r="U16" s="112"/>
      <c r="V16" s="112"/>
      <c r="W16" s="112"/>
      <c r="X16" s="112"/>
      <c r="Y16" s="112"/>
    </row>
    <row r="17" ht="24" customHeight="1">
      <c r="A17" s="120" t="str">
        <v>GET /api/recordings/{id}/playback</v>
      </c>
      <c r="B17" s="120"/>
      <c r="C17" s="120"/>
      <c r="D17" s="120"/>
      <c r="E17" s="120"/>
      <c r="F17" s="121"/>
      <c r="G17" s="122"/>
      <c r="H17" s="121"/>
      <c r="I17" s="121"/>
      <c r="J17" s="122"/>
      <c r="K17" s="121"/>
      <c r="L17" s="121"/>
      <c r="M17" s="123"/>
      <c r="N17" s="121"/>
      <c r="O17" s="124"/>
      <c r="P17" s="125"/>
      <c r="Q17" s="112"/>
      <c r="R17" s="112"/>
      <c r="S17" s="112"/>
      <c r="T17" s="112"/>
      <c r="U17" s="112"/>
      <c r="V17" s="112"/>
      <c r="W17" s="112"/>
      <c r="X17" s="112"/>
      <c r="Y17" s="112"/>
    </row>
    <row r="18" ht="153.0" customHeight="1">
      <c r="A18" s="120" t="str">
        <v>REC_API_IT06</v>
      </c>
      <c r="B18" s="120" t="str">
        <v>Verify the playback URL streams with ranges and cannot be forged or used after it expires.</v>
      </c>
      <c r="C18" s="120" t="str">
        <v>1. As the Member, GET /api/recordings/&lt;id&gt;/playback and copy url.
2. Without authentication, GET that url, then with header Range: bytes=0-99.
3. Change one character of the signature and GET it; wait until it expires and GET it again.</v>
      </c>
      <c r="D18" s="120" t="str">
        <v>1. url starts with /api/recordings/&lt;id&gt;/audio?expires=.
2. The full request returns HTTP 200 audio/wav; the range request returns HTTP 206 with 100 bytes.
3. The forged and the expired URLs are refused (HTTP 404 or 403).</v>
      </c>
      <c r="E18" s="120" t="str">
        <v>1. Backend is running.
2. An InProgress meeting with one stored recording.</v>
      </c>
      <c r="F18" s="121" t="str">
        <v>Pending</v>
      </c>
      <c r="G18" s="122" t="str"/>
      <c r="H18" s="121" t="str"/>
      <c r="I18" s="121" t="str"/>
      <c r="J18" s="122" t="str"/>
      <c r="K18" s="121" t="str"/>
      <c r="L18" s="121" t="str"/>
      <c r="M18" s="123" t="str"/>
      <c r="N18" s="121" t="str"/>
      <c r="O18" s="124" t="str"/>
      <c r="P18" s="125"/>
      <c r="Q18" s="112"/>
      <c r="R18" s="112"/>
      <c r="S18" s="112"/>
      <c r="T18" s="112"/>
      <c r="U18" s="112"/>
      <c r="V18" s="112"/>
      <c r="W18" s="112"/>
      <c r="X18" s="112"/>
      <c r="Y18" s="112"/>
    </row>
    <row r="19" ht="24" customHeight="1">
      <c r="A19" s="120" t="str">
        <v>DELETE /api/recordings/{id}</v>
      </c>
      <c r="B19" s="120"/>
      <c r="C19" s="120"/>
      <c r="D19" s="120"/>
      <c r="E19" s="120"/>
      <c r="F19" s="121"/>
      <c r="G19" s="122"/>
      <c r="H19" s="121"/>
      <c r="I19" s="121"/>
      <c r="J19" s="122"/>
      <c r="K19" s="121"/>
      <c r="L19" s="121"/>
      <c r="M19" s="123"/>
      <c r="N19" s="121"/>
      <c r="O19" s="124"/>
      <c r="P19" s="125"/>
      <c r="Q19" s="112"/>
      <c r="R19" s="112"/>
      <c r="S19" s="112"/>
      <c r="T19" s="112"/>
      <c r="U19" s="112"/>
      <c r="V19" s="112"/>
      <c r="W19" s="112"/>
      <c r="X19" s="112"/>
      <c r="Y19" s="112"/>
    </row>
    <row r="20" ht="138.5" customHeight="1">
      <c r="A20" s="120" t="str">
        <v>REC_API_IT07</v>
      </c>
      <c r="B20" s="120" t="str">
        <v>Verify erasing removes the audio and its transcript but keeps the evidence row.</v>
      </c>
      <c r="C20" s="120" t="str">
        <v>1. As the Member, get a playback URL.
2. As the Secretary, DELETE /api/recordings/&lt;id&gt;; repeat the DELETE.
3. Open the old playback URL and the transcript.</v>
      </c>
      <c r="D20" s="120" t="str">
        <v>1. Both deletes return HTTP 200 with code "MSG296".
2. The audio file and the transcript text ("Kính thưa các đồng chí.") are gone.
3. The recording row stays with status Deleted, who deleted it and when.
4. The old playback URL no longer plays.</v>
      </c>
      <c r="E20" s="120" t="str">
        <v>1. Backend is running.
2. A recording with a completed transcript.</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109.5" customHeight="1">
      <c r="A21" s="120" t="str">
        <v>REC_API_IT08</v>
      </c>
      <c r="B21" s="120" t="str">
        <v>Verify the retention sweep erases only recordings past their retention date.</v>
      </c>
      <c r="C21" s="120" t="str">
        <v>1. Store one recording, move the server clock 100 days ahead and store another, then move 81 more days ahead.
2. Run the retention sweep (the background job, or restart the backend).</v>
      </c>
      <c r="D21" s="120" t="str">
        <v>1. The first recording is Deleted.
2. The second recording is still Stored.</v>
      </c>
      <c r="E21" s="120" t="str">
        <v>1. Backend is running.
2. An InProgress meeting; retention is 180 days.</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24" customHeight="1">
      <c r="A22" s="120" t="str">
        <v>GET /api/meetings/{id}/recordings</v>
      </c>
      <c r="B22" s="120"/>
      <c r="C22" s="120"/>
      <c r="D22" s="120"/>
      <c r="E22" s="120"/>
      <c r="F22" s="121"/>
      <c r="G22" s="122"/>
      <c r="H22" s="121"/>
      <c r="I22" s="121"/>
      <c r="J22" s="122"/>
      <c r="K22" s="121"/>
      <c r="L22" s="121"/>
      <c r="M22" s="123"/>
      <c r="N22" s="121"/>
      <c r="O22" s="124"/>
      <c r="P22" s="125"/>
      <c r="Q22" s="112"/>
      <c r="R22" s="112"/>
      <c r="S22" s="112"/>
      <c r="T22" s="112"/>
      <c r="U22" s="112"/>
      <c r="V22" s="112"/>
      <c r="W22" s="112"/>
      <c r="X22" s="112"/>
      <c r="Y22" s="112"/>
    </row>
    <row r="23" ht="109.5" customHeight="1">
      <c r="A23" s="120" t="str">
        <v>REC_API_IT09</v>
      </c>
      <c r="B23" s="120" t="str">
        <v>Verify database outages answer with their own codes and leave no stray file.</v>
      </c>
      <c r="C23" s="120" t="str">
        <v>1. Stop PostgreSQL and GET the recordings list.
2. Make saving fail and POST a recording, then DELETE a recording.</v>
      </c>
      <c r="D23" s="120" t="str">
        <v>1. The read returns HTTP 500 with code "MSG297" ("Không tải được danh sách bản ghi.").
2. Upload and delete return HTTP 503 with code "MSG298".
3. The uploaded file is removed again; storage is unchanged.</v>
      </c>
      <c r="E23" s="120" t="str">
        <v>1. Backend is running.
2. An InProgress meeting with one recording.</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24" customHeight="1">
      <c r="A24" s="120" t="str">
        <v>GET /api/recordings/{id}/transcript</v>
      </c>
      <c r="B24" s="120"/>
      <c r="C24" s="120"/>
      <c r="D24" s="120"/>
      <c r="E24" s="120"/>
      <c r="F24" s="121"/>
      <c r="G24" s="122"/>
      <c r="H24" s="121"/>
      <c r="I24" s="121"/>
      <c r="J24" s="122"/>
      <c r="K24" s="121"/>
      <c r="L24" s="121"/>
      <c r="M24" s="123"/>
      <c r="N24" s="121"/>
      <c r="O24" s="124"/>
      <c r="P24" s="125"/>
      <c r="Q24" s="112"/>
      <c r="R24" s="112"/>
      <c r="S24" s="112"/>
      <c r="T24" s="112"/>
      <c r="U24" s="112"/>
      <c r="V24" s="112"/>
      <c r="W24" s="112"/>
      <c r="X24" s="112"/>
      <c r="Y24" s="112"/>
    </row>
    <row r="25" ht="124.0" customHeight="1">
      <c r="A25" s="120" t="str">
        <v>REC_API_IT10</v>
      </c>
      <c r="B25" s="120" t="str">
        <v>Verify an upload queues speech-to-text and the result keeps speakers and timestamps.</v>
      </c>
      <c r="C25" s="120" t="str">
        <v>1. As the Secretary, upload a recording.
2. As the Member, GET the list and GET /api/recordings/&lt;id&gt;/transcript.
3. Wait for the speech worker, then GET the transcript again.</v>
      </c>
      <c r="D25" s="120" t="str">
        <v>1. Right after upload transcriptStatus is "Pending", there are no segments and canEdit is false.
2. After processing the status is Completed with segments that have speaker labels and start and end times.</v>
      </c>
      <c r="E25" s="120" t="str">
        <v>1. Backend is running.
2. An InProgress meeting; the speech-to-text worker is running.</v>
      </c>
      <c r="F25" s="121" t="str">
        <v>Pending</v>
      </c>
      <c r="G25" s="122" t="str"/>
      <c r="H25" s="121" t="str"/>
      <c r="I25" s="121" t="str"/>
      <c r="J25" s="122" t="str"/>
      <c r="K25" s="121" t="str"/>
      <c r="L25" s="121" t="str"/>
      <c r="M25" s="123" t="str"/>
      <c r="N25" s="121" t="str"/>
      <c r="O25" s="124" t="str"/>
      <c r="P25" s="125"/>
      <c r="Q25" s="112"/>
      <c r="R25" s="112"/>
      <c r="S25" s="112"/>
      <c r="T25" s="112"/>
      <c r="U25" s="112"/>
      <c r="V25" s="112"/>
      <c r="W25" s="112"/>
      <c r="X25" s="112"/>
      <c r="Y25" s="112"/>
    </row>
    <row r="26" ht="109.5" customHeight="1">
      <c r="A26" s="120" t="str">
        <v>REC_API_IT11</v>
      </c>
      <c r="B26" s="120" t="str">
        <v>Verify a failed transcript is explained and only the Secretary can run it again.</v>
      </c>
      <c r="C26" s="120" t="str">
        <v>1. Stop the speech worker and upload a recording.
2. As the Secretary, GET the transcript.
3. As the Member, POST /api/recordings/&lt;id&gt;/transcribe; as the Secretary, POST it.</v>
      </c>
      <c r="D26" s="120" t="str">
        <v>1. The status is "Failed" with errorMessage "Không kết nối được máy chủ nhận dạng giọng nói.".
2. The Member is refused (HTTP 403); the Secretary's request queues it again (HTTP 200) and the status returns to Pending.</v>
      </c>
      <c r="E26" s="120" t="str">
        <v>1. Backend is running.
2. An InProgress meeting with Secretary and Member.</v>
      </c>
      <c r="F26" s="121" t="str">
        <v>Pending</v>
      </c>
      <c r="G26" s="122" t="str"/>
      <c r="H26" s="121" t="str"/>
      <c r="I26" s="121" t="str"/>
      <c r="J26" s="122" t="str"/>
      <c r="K26" s="121" t="str"/>
      <c r="L26" s="121" t="str"/>
      <c r="M26" s="123" t="str"/>
      <c r="N26" s="121" t="str"/>
      <c r="O26" s="124" t="str"/>
      <c r="P26" s="125"/>
      <c r="Q26" s="112"/>
      <c r="R26" s="112"/>
      <c r="S26" s="112"/>
      <c r="T26" s="112"/>
      <c r="U26" s="112"/>
      <c r="V26" s="112"/>
      <c r="W26" s="112"/>
      <c r="X26" s="112"/>
      <c r="Y26" s="112"/>
    </row>
    <row r="27" ht="24" customHeight="1">
      <c r="A27" s="120" t="str">
        <v>POST /api/recordings/{id}/transcribe</v>
      </c>
      <c r="B27" s="120"/>
      <c r="C27" s="120"/>
      <c r="D27" s="120"/>
      <c r="E27" s="120"/>
      <c r="F27" s="121"/>
      <c r="G27" s="122"/>
      <c r="H27" s="121"/>
      <c r="I27" s="121"/>
      <c r="J27" s="122"/>
      <c r="K27" s="121"/>
      <c r="L27" s="121"/>
      <c r="M27" s="123"/>
      <c r="N27" s="121"/>
      <c r="O27" s="124"/>
      <c r="P27" s="125"/>
      <c r="Q27" s="112"/>
      <c r="R27" s="112"/>
      <c r="S27" s="112"/>
      <c r="T27" s="112"/>
      <c r="U27" s="112"/>
      <c r="V27" s="112"/>
      <c r="W27" s="112"/>
      <c r="X27" s="112"/>
      <c r="Y27" s="112"/>
    </row>
    <row r="28" ht="95.0" customHeight="1">
      <c r="A28" s="120" t="str">
        <v>REC_API_IT12</v>
      </c>
      <c r="B28" s="120" t="str">
        <v>Verify a recording without a transcript can be sent to speech-to-text.</v>
      </c>
      <c r="C28" s="120" t="str">
        <v>1. Delete the transcript row of a stored recording (test data).
2. As the Secretary, GET the transcript, then POST /api/recordings/&lt;id&gt;/transcribe.</v>
      </c>
      <c r="D28" s="120" t="str">
        <v>1. The status is "None" and canEdit is true.
2. Transcribe returns HTTP 200 and a new Pending transcript is created.</v>
      </c>
      <c r="E28" s="120" t="str">
        <v>1. Backend is running.
2. An InProgress meeting with a stored recording.</v>
      </c>
      <c r="F28" s="121" t="str">
        <v>Pending</v>
      </c>
      <c r="G28" s="122" t="str"/>
      <c r="H28" s="121" t="str"/>
      <c r="I28" s="121" t="str"/>
      <c r="J28" s="122" t="str"/>
      <c r="K28" s="121" t="str"/>
      <c r="L28" s="121" t="str"/>
      <c r="M28" s="123" t="str"/>
      <c r="N28" s="121" t="str"/>
      <c r="O28" s="124" t="str"/>
      <c r="P28" s="125"/>
      <c r="Q28" s="112"/>
      <c r="R28" s="112"/>
      <c r="S28" s="112"/>
      <c r="T28" s="112"/>
      <c r="U28" s="112"/>
      <c r="V28" s="112"/>
      <c r="W28" s="112"/>
      <c r="X28" s="112"/>
      <c r="Y28" s="112"/>
    </row>
    <row r="29" ht="24" customHeight="1">
      <c r="A29" s="120" t="str">
        <v>GET /api/recordings/{id}/transcript</v>
      </c>
      <c r="B29" s="120"/>
      <c r="C29" s="120"/>
      <c r="D29" s="120"/>
      <c r="E29" s="120"/>
      <c r="F29" s="121"/>
      <c r="G29" s="122"/>
      <c r="H29" s="121"/>
      <c r="I29" s="121"/>
      <c r="J29" s="122"/>
      <c r="K29" s="121"/>
      <c r="L29" s="121"/>
      <c r="M29" s="123"/>
      <c r="N29" s="121"/>
      <c r="O29" s="124"/>
      <c r="P29" s="125"/>
      <c r="Q29" s="112"/>
      <c r="R29" s="112"/>
      <c r="S29" s="112"/>
      <c r="T29" s="112"/>
      <c r="U29" s="112"/>
      <c r="V29" s="112"/>
      <c r="W29" s="112"/>
      <c r="X29" s="112"/>
      <c r="Y29" s="112"/>
    </row>
    <row r="30" ht="80.5" customHeight="1">
      <c r="A30" s="120" t="str">
        <v>REC_API_IT13</v>
      </c>
      <c r="B30" s="120" t="str">
        <v>Verify a missing audio file fails that transcript instead of blocking the queue.</v>
      </c>
      <c r="C30" s="120" t="str">
        <v>1. Upload a recording, then delete its audio file from storage.
2. Let the speech worker run; GET the transcript.</v>
      </c>
      <c r="D30" s="120" t="str">
        <v>1. The transcript is "Failed" with errorMessage "Tệp âm thanh không còn trên máy chủ.".
2. Other recordings in the queue are still processed.</v>
      </c>
      <c r="E30" s="120" t="str">
        <v>1. Backend is running.
2. An InProgress meeting; the speech worker is running.</v>
      </c>
      <c r="F30" s="121" t="str">
        <v>Pending</v>
      </c>
      <c r="G30" s="122" t="str"/>
      <c r="H30" s="121" t="str"/>
      <c r="I30" s="121" t="str"/>
      <c r="J30" s="122" t="str"/>
      <c r="K30" s="121" t="str"/>
      <c r="L30" s="121" t="str"/>
      <c r="M30" s="123" t="str"/>
      <c r="N30" s="121" t="str"/>
      <c r="O30" s="124" t="str"/>
      <c r="P30" s="125"/>
      <c r="Q30" s="112"/>
      <c r="R30" s="112"/>
      <c r="S30" s="112"/>
      <c r="T30" s="112"/>
      <c r="U30" s="112"/>
      <c r="V30" s="112"/>
      <c r="W30" s="112"/>
      <c r="X30" s="112"/>
      <c r="Y30" s="112"/>
    </row>
    <row r="31" ht="24" customHeight="1">
      <c r="A31" s="120" t="str">
        <v>PUT /api/transcript-segments/{id}</v>
      </c>
      <c r="B31" s="120"/>
      <c r="C31" s="120"/>
      <c r="D31" s="120"/>
      <c r="E31" s="120"/>
      <c r="F31" s="121"/>
      <c r="G31" s="122"/>
      <c r="H31" s="121"/>
      <c r="I31" s="121"/>
      <c r="J31" s="122"/>
      <c r="K31" s="121"/>
      <c r="L31" s="121"/>
      <c r="M31" s="123"/>
      <c r="N31" s="121"/>
      <c r="O31" s="124"/>
      <c r="P31" s="125"/>
      <c r="Q31" s="112"/>
      <c r="R31" s="112"/>
      <c r="S31" s="112"/>
      <c r="T31" s="112"/>
      <c r="U31" s="112"/>
      <c r="V31" s="112"/>
      <c r="W31" s="112"/>
      <c r="X31" s="112"/>
      <c r="Y31" s="112"/>
    </row>
    <row r="32" ht="167.5" customHeight="1">
      <c r="A32" s="120" t="str">
        <v>REC_API_IT14</v>
      </c>
      <c r="B32" s="120" t="str">
        <v>Verify the Secretary corrects a transcript segment and the correction is attributed.</v>
      </c>
      <c r="C32" s="120" t="str">
        <v>1. Send PUT request to /api/transcript-segments/&lt;id of the second segment&gt;.
2. Request headers: Content-Type: application/json; Authorization: Bearer &lt;access token of the meeting Secretary&gt;.
3. Query parameters: None.
4. Request JSON body: { "text": " Tôi đề nghị bổ sung kinh phí đào tạo. " }.</v>
      </c>
      <c r="D32" s="120" t="str">
        <v>1. HTTP 200 with code "MSG302" ("Đã lưu đoạn gỡ băng.").
2. The text is saved trimmed with the Secretary as editor and the edit time.
3. An empty text or more than 8000 characters returns HTTP 400 with code "MSG303".</v>
      </c>
      <c r="E32" s="120" t="str">
        <v>1. Backend is running.
2. A recording with a completed transcript.</v>
      </c>
      <c r="F32" s="121" t="str">
        <v>Pending</v>
      </c>
      <c r="G32" s="122" t="str"/>
      <c r="H32" s="121" t="str"/>
      <c r="I32" s="121" t="str"/>
      <c r="J32" s="122" t="str"/>
      <c r="K32" s="121" t="str"/>
      <c r="L32" s="121" t="str"/>
      <c r="M32" s="123" t="str"/>
      <c r="N32" s="121" t="str"/>
      <c r="O32" s="124" t="str"/>
      <c r="P32" s="125"/>
      <c r="Q32" s="112"/>
      <c r="R32" s="112"/>
      <c r="S32" s="112"/>
      <c r="T32" s="112"/>
      <c r="U32" s="112"/>
      <c r="V32" s="112"/>
      <c r="W32" s="112"/>
      <c r="X32" s="112"/>
      <c r="Y32" s="112"/>
    </row>
    <row r="33" ht="24" customHeight="1">
      <c r="A33" s="120" t="str">
        <v>DELETE /api/recordings/{id}</v>
      </c>
      <c r="B33" s="120"/>
      <c r="C33" s="120"/>
      <c r="D33" s="120"/>
      <c r="E33" s="120"/>
      <c r="F33" s="121"/>
      <c r="G33" s="122"/>
      <c r="H33" s="121"/>
      <c r="I33" s="121"/>
      <c r="J33" s="122"/>
      <c r="K33" s="121"/>
      <c r="L33" s="121"/>
      <c r="M33" s="123"/>
      <c r="N33" s="121"/>
      <c r="O33" s="124"/>
      <c r="P33" s="125"/>
      <c r="Q33" s="112"/>
      <c r="R33" s="112"/>
      <c r="S33" s="112"/>
      <c r="T33" s="112"/>
      <c r="U33" s="112"/>
      <c r="V33" s="112"/>
      <c r="W33" s="112"/>
      <c r="X33" s="112"/>
      <c r="Y33" s="112"/>
    </row>
    <row r="34" ht="80.5" customHeight="1">
      <c r="A34" s="120" t="str">
        <v>REC_API_IT15</v>
      </c>
      <c r="B34" s="120" t="str">
        <v>Verify a recording erased while the worker runs gets no transcript back.</v>
      </c>
      <c r="C34" s="120" t="str">
        <v>1. Upload a recording and, while the speech worker is processing it, DELETE the recording as the Secretary.</v>
      </c>
      <c r="D34" s="120" t="str">
        <v>1. The delete returns HTTP 200 with code "MSG296".
2. When the worker finishes, no transcript is stored; the recording stays Deleted.</v>
      </c>
      <c r="E34" s="120" t="str">
        <v>1. Backend is running.
2. An InProgress meeting; the speech worker is running.</v>
      </c>
      <c r="F34" s="121" t="str">
        <v>Pending</v>
      </c>
      <c r="G34" s="122" t="str"/>
      <c r="H34" s="121" t="str"/>
      <c r="I34" s="121" t="str"/>
      <c r="J34" s="122" t="str"/>
      <c r="K34" s="121" t="str"/>
      <c r="L34" s="121" t="str"/>
      <c r="M34" s="123" t="str"/>
      <c r="N34" s="121" t="str"/>
      <c r="O34" s="124" t="str"/>
      <c r="P34" s="125"/>
      <c r="Q34" s="112"/>
      <c r="R34" s="112"/>
      <c r="S34" s="112"/>
      <c r="T34" s="112"/>
      <c r="U34" s="112"/>
      <c r="V34" s="112"/>
      <c r="W34" s="112"/>
      <c r="X34" s="112"/>
      <c r="Y34" s="112"/>
    </row>
    <row r="35" ht="24" customHeight="1">
      <c r="A35" s="120" t="str">
        <v>GET /api/recordings/{id}/transcript</v>
      </c>
      <c r="B35" s="120"/>
      <c r="C35" s="120"/>
      <c r="D35" s="120"/>
      <c r="E35" s="120"/>
      <c r="F35" s="121"/>
      <c r="G35" s="122"/>
      <c r="H35" s="121"/>
      <c r="I35" s="121"/>
      <c r="J35" s="122"/>
      <c r="K35" s="121"/>
      <c r="L35" s="121"/>
      <c r="M35" s="123"/>
      <c r="N35" s="121"/>
      <c r="O35" s="124"/>
      <c r="P35" s="125"/>
      <c r="Q35" s="112"/>
      <c r="R35" s="112"/>
      <c r="S35" s="112"/>
      <c r="T35" s="112"/>
      <c r="U35" s="112"/>
      <c r="V35" s="112"/>
      <c r="W35" s="112"/>
      <c r="X35" s="112"/>
      <c r="Y35" s="112"/>
    </row>
    <row r="36" ht="95.0" customHeight="1">
      <c r="A36" s="120" t="str">
        <v>REC_API_IT16</v>
      </c>
      <c r="B36" s="120" t="str">
        <v>Verify interrupted runs are queued again and outages have their codes.</v>
      </c>
      <c r="C36" s="120" t="str">
        <v>1. Set a transcript to Processing and restart the backend.
2. As the Secretary, GET the transcript.
3. Stop PostgreSQL and GET the transcript again.</v>
      </c>
      <c r="D36" s="120" t="str">
        <v>1. After restart the transcript is back to "Pending".
2. With the database down the read returns HTTP 500 with code "MSG299" ("Không tải được bản gỡ băng.").</v>
      </c>
      <c r="E36" s="120" t="str">
        <v>1. Backend is running.
2. A recording whose transcript was being processed.</v>
      </c>
      <c r="F36" s="121" t="str">
        <v>Pending</v>
      </c>
      <c r="G36" s="122" t="str"/>
      <c r="H36" s="121" t="str"/>
      <c r="I36" s="121" t="str"/>
      <c r="J36" s="122" t="str"/>
      <c r="K36" s="121" t="str"/>
      <c r="L36" s="121" t="str"/>
      <c r="M36" s="123" t="str"/>
      <c r="N36" s="121" t="str"/>
      <c r="O36" s="124" t="str"/>
      <c r="P36" s="125"/>
      <c r="Q36" s="112"/>
      <c r="R36" s="112"/>
      <c r="S36" s="112"/>
      <c r="T36" s="112"/>
      <c r="U36" s="112"/>
      <c r="V36" s="112"/>
      <c r="W36" s="112"/>
      <c r="X36" s="112"/>
      <c r="Y36" s="112"/>
    </row>
    <row r="37" ht="24" customHeight="1">
      <c r="A37" s="120" t="str">
        <v>PUT /api/meetings/{id}/speech-clips/{clientId}</v>
      </c>
      <c r="B37" s="120"/>
      <c r="C37" s="120"/>
      <c r="D37" s="120"/>
      <c r="E37" s="120"/>
      <c r="F37" s="121"/>
      <c r="G37" s="122"/>
      <c r="H37" s="121"/>
      <c r="I37" s="121"/>
      <c r="J37" s="122"/>
      <c r="K37" s="121"/>
      <c r="L37" s="121"/>
      <c r="M37" s="123"/>
      <c r="N37" s="121"/>
      <c r="O37" s="124"/>
      <c r="P37" s="125"/>
      <c r="Q37" s="112"/>
      <c r="R37" s="112"/>
      <c r="S37" s="112"/>
      <c r="T37" s="112"/>
      <c r="U37" s="112"/>
      <c r="V37" s="112"/>
      <c r="W37" s="112"/>
      <c r="X37" s="112"/>
      <c r="Y37" s="112"/>
    </row>
    <row r="38" ht="153.0" customHeight="1">
      <c r="A38" s="120" t="str">
        <v>REC_API_IT17</v>
      </c>
      <c r="B38" s="120" t="str">
        <v>Verify a sentence from my microphone is transcribed and named after me once.</v>
      </c>
      <c r="C38" s="120" t="str">
        <v>1. As the Member, send PUT /api/meetings/&lt;id&gt;/speech-clips/&lt;new UUID&gt;?startedAt=&lt;3 seconds ago, ISO&gt;&amp;durationMs=2400 with Content-Type: audio/wav and the recorded sentence.
2. Send the same request again with the same clientId.</v>
      </c>
      <c r="D38" s="120" t="str">
        <v>1. HTTP 200 with code "MSG318".
2. clip.speakerId is the Member and clip.text is "Tôi đồng ý với dự thảo. Đề nghị biểu quyết.".
3. The repeat returns the saved sentence without transcribing again.
4. The sentence's audio is stored (audio/wav) and its line has hasAudio true; the list reports retentionDays 180.</v>
      </c>
      <c r="E38" s="120" t="str">
        <v>1. Backend is running.
2. An InProgress Online or Hybrid meeting (captured per microphone); the speech worker is running.</v>
      </c>
      <c r="F38" s="121" t="str">
        <v>Pending</v>
      </c>
      <c r="G38" s="122" t="str"/>
      <c r="H38" s="121" t="str"/>
      <c r="I38" s="121" t="str"/>
      <c r="J38" s="122" t="str"/>
      <c r="K38" s="121" t="str"/>
      <c r="L38" s="121" t="str"/>
      <c r="M38" s="123" t="str"/>
      <c r="N38" s="121" t="str"/>
      <c r="O38" s="124" t="str"/>
      <c r="P38" s="125"/>
      <c r="Q38" s="112"/>
      <c r="R38" s="112"/>
      <c r="S38" s="112"/>
      <c r="T38" s="112"/>
      <c r="U38" s="112"/>
      <c r="V38" s="112"/>
      <c r="W38" s="112"/>
      <c r="X38" s="112"/>
      <c r="Y38" s="112"/>
    </row>
    <row r="39" ht="95.0" customHeight="1">
      <c r="A39" s="120" t="str">
        <v>REC_API_IT18</v>
      </c>
      <c r="B39" s="120" t="str">
        <v>Verify silence stores nothing.</v>
      </c>
      <c r="C39" s="120" t="str">
        <v>1. As the Member, send a speech clip that contains only silence.
2. GET /api/meetings/&lt;id&gt;/speech-clips.</v>
      </c>
      <c r="D39" s="120" t="str">
        <v>1. HTTP 204 No Content.
2. The list is empty.
3. No audio file is stored.</v>
      </c>
      <c r="E39" s="120" t="str">
        <v>1. Backend is running.
2. An InProgress Online or Hybrid meeting (captured per microphone); the speech worker is running.</v>
      </c>
      <c r="F39" s="121" t="str">
        <v>Pending</v>
      </c>
      <c r="G39" s="122" t="str"/>
      <c r="H39" s="121" t="str"/>
      <c r="I39" s="121" t="str"/>
      <c r="J39" s="122" t="str"/>
      <c r="K39" s="121" t="str"/>
      <c r="L39" s="121" t="str"/>
      <c r="M39" s="123" t="str"/>
      <c r="N39" s="121" t="str"/>
      <c r="O39" s="124" t="str"/>
      <c r="P39" s="125"/>
      <c r="Q39" s="112"/>
      <c r="R39" s="112"/>
      <c r="S39" s="112"/>
      <c r="T39" s="112"/>
      <c r="U39" s="112"/>
      <c r="V39" s="112"/>
      <c r="W39" s="112"/>
      <c r="X39" s="112"/>
      <c r="Y39" s="112"/>
    </row>
    <row r="40" ht="211.0" customHeight="1">
      <c r="A40" s="120" t="str">
        <v>REC_API_IT19</v>
      </c>
      <c r="B40" s="120" t="str">
        <v>Verify sentences are accepted only from people of a running meeting joined from afar.</v>
      </c>
      <c r="C40" s="120" t="str">
        <v>1. As the Member, send a sentence to an InProgress in-person meeting (recorded by the room mic) and GET its speech-clips.
2. Send a sentence to a Published meeting that has not started.
3. As an outsider, send a sentence to a running Online meeting.
4. As the organizer, who is not on the roster, GET /api/meetings/&lt;id&gt;/speech-clips.</v>
      </c>
      <c r="D40" s="120" t="str">
        <v>1. In-person and not started: HTTP 409 with code "MSG320" ("Cuộc họp trực tiếp không ghi theo micro từng người, hoặc cuộc họp không còn đang diễn ra."); canCapture is false for the in-person meeting.
2. Outsider: HTTP 404.
3. Organizer: HTTP 404; no one's words are theirs to read.</v>
      </c>
      <c r="E40" s="120" t="str">
        <v>1. Backend is running.
2. Meetings as described with the Member on their roster.</v>
      </c>
      <c r="F40" s="121" t="str">
        <v>Pending</v>
      </c>
      <c r="G40" s="122" t="str"/>
      <c r="H40" s="121" t="str"/>
      <c r="I40" s="121" t="str"/>
      <c r="J40" s="122" t="str"/>
      <c r="K40" s="121" t="str"/>
      <c r="L40" s="121" t="str"/>
      <c r="M40" s="123" t="str"/>
      <c r="N40" s="121" t="str"/>
      <c r="O40" s="124" t="str"/>
      <c r="P40" s="125"/>
      <c r="Q40" s="112"/>
      <c r="R40" s="112"/>
      <c r="S40" s="112"/>
      <c r="T40" s="112"/>
      <c r="U40" s="112"/>
      <c r="V40" s="112"/>
      <c r="W40" s="112"/>
      <c r="X40" s="112"/>
      <c r="Y40" s="112"/>
    </row>
    <row r="41" ht="80.5" customHeight="1">
      <c r="A41" s="120" t="str">
        <v>REC_API_IT20</v>
      </c>
      <c r="B41" s="120" t="str">
        <v>Verify a malformed or oversized sentence is refused before the speech worker hears it.</v>
      </c>
      <c r="C41" s="120" t="str">
        <v>1. As the Member, send clips with: Content-Type text/plain; startedAt="hôm qua"; durationMs=0; more than 60 seconds of audio.</v>
      </c>
      <c r="D41" s="120" t="str">
        <v>1. Each request returns HTTP 400 with code "MSG319".
2. The speech worker is not called.</v>
      </c>
      <c r="E41" s="120" t="str">
        <v>1. Backend is running.
2. An InProgress Online or Hybrid meeting (captured per microphone).</v>
      </c>
      <c r="F41" s="121" t="str">
        <v>Pending</v>
      </c>
      <c r="G41" s="122" t="str"/>
      <c r="H41" s="121" t="str"/>
      <c r="I41" s="121" t="str"/>
      <c r="J41" s="122" t="str"/>
      <c r="K41" s="121" t="str"/>
      <c r="L41" s="121" t="str"/>
      <c r="M41" s="123" t="str"/>
      <c r="N41" s="121" t="str"/>
      <c r="O41" s="124" t="str"/>
      <c r="P41" s="125"/>
      <c r="Q41" s="112"/>
      <c r="R41" s="112"/>
      <c r="S41" s="112"/>
      <c r="T41" s="112"/>
      <c r="U41" s="112"/>
      <c r="V41" s="112"/>
      <c r="W41" s="112"/>
      <c r="X41" s="112"/>
      <c r="Y41" s="112"/>
    </row>
    <row r="42" ht="66.0" customHeight="1">
      <c r="A42" s="120" t="str">
        <v>REC_API_IT21</v>
      </c>
      <c r="B42" s="120" t="str">
        <v>Verify a speech worker outage keeps nothing so the browser sends the sentence again.</v>
      </c>
      <c r="C42" s="120" t="str">
        <v>1. Stop the speech worker.
2. As the Member, send a clip; GET the clip list.</v>
      </c>
      <c r="D42" s="120" t="str">
        <v>1. HTTP 503 with code "MSG312" ("Máy chủ nhận dạng giọng nói chưa sẵn sàng ...").
2. The list is empty.</v>
      </c>
      <c r="E42" s="120" t="str">
        <v>1. Backend is running.
2. An InProgress Online or Hybrid meeting (captured per microphone).</v>
      </c>
      <c r="F42" s="121" t="str">
        <v>Pending</v>
      </c>
      <c r="G42" s="122" t="str"/>
      <c r="H42" s="121" t="str"/>
      <c r="I42" s="121" t="str"/>
      <c r="J42" s="122" t="str"/>
      <c r="K42" s="121" t="str"/>
      <c r="L42" s="121" t="str"/>
      <c r="M42" s="123" t="str"/>
      <c r="N42" s="121" t="str"/>
      <c r="O42" s="124" t="str"/>
      <c r="P42" s="125"/>
      <c r="Q42" s="112"/>
      <c r="R42" s="112"/>
      <c r="S42" s="112"/>
      <c r="T42" s="112"/>
      <c r="U42" s="112"/>
      <c r="V42" s="112"/>
      <c r="W42" s="112"/>
      <c r="X42" s="112"/>
      <c r="Y42" s="112"/>
    </row>
    <row r="43" ht="24" customHeight="1">
      <c r="A43" s="120" t="str">
        <v>PUT /api/speech-clips/{id}/text</v>
      </c>
      <c r="B43" s="120"/>
      <c r="C43" s="120"/>
      <c r="D43" s="120"/>
      <c r="E43" s="120"/>
      <c r="F43" s="121"/>
      <c r="G43" s="122"/>
      <c r="H43" s="121"/>
      <c r="I43" s="121"/>
      <c r="J43" s="122"/>
      <c r="K43" s="121"/>
      <c r="L43" s="121"/>
      <c r="M43" s="123"/>
      <c r="N43" s="121"/>
      <c r="O43" s="124"/>
      <c r="P43" s="125"/>
      <c r="Q43" s="112"/>
      <c r="R43" s="112"/>
      <c r="S43" s="112"/>
      <c r="T43" s="112"/>
      <c r="U43" s="112"/>
      <c r="V43" s="112"/>
      <c r="W43" s="112"/>
      <c r="X43" s="112"/>
      <c r="Y43" s="112"/>
    </row>
    <row r="44" ht="109.5" customHeight="1">
      <c r="A44" s="120" t="str">
        <v>REC_API_IT22</v>
      </c>
      <c r="B44" s="120" t="str">
        <v>Verify the Secretary corrects a sentence and nobody else can.</v>
      </c>
      <c r="C44" s="120" t="str">
        <v>1. As the Member, PUT /api/speech-clips/&lt;id&gt;/text with { "text": "Sửa" }.
2. As the Secretary, send { "text": " " }, then { "text": "Tôi đồng ý." }.</v>
      </c>
      <c r="D44" s="120" t="str">
        <v>1. The Member gets HTTP 403 with code "MSG295".
2. An empty text returns HTTP 400 with code "MSG303".
3. The correction returns HTTP 200 and is saved with the Secretary as editor.</v>
      </c>
      <c r="E44" s="120" t="str">
        <v>1. Backend is running.
2. A stored sentence spoken by the Member.</v>
      </c>
      <c r="F44" s="121" t="str">
        <v>Pending</v>
      </c>
      <c r="G44" s="122" t="str"/>
      <c r="H44" s="121" t="str"/>
      <c r="I44" s="121" t="str"/>
      <c r="J44" s="122" t="str"/>
      <c r="K44" s="121" t="str"/>
      <c r="L44" s="121" t="str"/>
      <c r="M44" s="123" t="str"/>
      <c r="N44" s="121" t="str"/>
      <c r="O44" s="124" t="str"/>
      <c r="P44" s="125"/>
      <c r="Q44" s="112"/>
      <c r="R44" s="112"/>
      <c r="S44" s="112"/>
      <c r="T44" s="112"/>
      <c r="U44" s="112"/>
      <c r="V44" s="112"/>
      <c r="W44" s="112"/>
      <c r="X44" s="112"/>
      <c r="Y44" s="112"/>
    </row>
    <row r="45" ht="24" customHeight="1">
      <c r="A45" s="120" t="str">
        <v>DELETE /api/speech-clips/{id}</v>
      </c>
      <c r="B45" s="120"/>
      <c r="C45" s="120"/>
      <c r="D45" s="120"/>
      <c r="E45" s="120"/>
      <c r="F45" s="121"/>
      <c r="G45" s="122"/>
      <c r="H45" s="121"/>
      <c r="I45" s="121"/>
      <c r="J45" s="122"/>
      <c r="K45" s="121"/>
      <c r="L45" s="121"/>
      <c r="M45" s="123"/>
      <c r="N45" s="121"/>
      <c r="O45" s="124"/>
      <c r="P45" s="125"/>
      <c r="Q45" s="112"/>
      <c r="R45" s="112"/>
      <c r="S45" s="112"/>
      <c r="T45" s="112"/>
      <c r="U45" s="112"/>
      <c r="V45" s="112"/>
      <c r="W45" s="112"/>
      <c r="X45" s="112"/>
      <c r="Y45" s="112"/>
    </row>
    <row r="46" ht="109.5" customHeight="1">
      <c r="A46" s="120" t="str">
        <v>REC_API_IT23</v>
      </c>
      <c r="B46" s="120" t="str">
        <v>Verify the speaker or the Secretary can take a sentence back.</v>
      </c>
      <c r="C46" s="120" t="str">
        <v>1. As the Chair, DELETE the Member's sentence.
2. As the Member, DELETE their own sentence.
3. As the Secretary, DELETE another of the Member's sentences.</v>
      </c>
      <c r="D46" s="120" t="str">
        <v>1. The Chair gets HTTP 403 with code "MSG323" ("Chỉ người nói hoặc Thư ký được xoá câu này.").
2. The Member and the Secretary get HTTP 200 with code "MSG322" ("Đã xoá câu nói.").</v>
      </c>
      <c r="E46" s="120" t="str">
        <v>1. Backend is running.
2. Two stored sentences spoken by the Member.</v>
      </c>
      <c r="F46" s="121" t="str">
        <v>Pending</v>
      </c>
      <c r="G46" s="122" t="str"/>
      <c r="H46" s="121" t="str"/>
      <c r="I46" s="121" t="str"/>
      <c r="J46" s="122" t="str"/>
      <c r="K46" s="121" t="str"/>
      <c r="L46" s="121" t="str"/>
      <c r="M46" s="123" t="str"/>
      <c r="N46" s="121" t="str"/>
      <c r="O46" s="124" t="str"/>
      <c r="P46" s="125"/>
      <c r="Q46" s="112"/>
      <c r="R46" s="112"/>
      <c r="S46" s="112"/>
      <c r="T46" s="112"/>
      <c r="U46" s="112"/>
      <c r="V46" s="112"/>
      <c r="W46" s="112"/>
      <c r="X46" s="112"/>
      <c r="Y46" s="112"/>
    </row>
    <row r="47" ht="24" customHeight="1">
      <c r="A47" s="120" t="str">
        <v>PUT /api/meetings/{id}/speech-clips/{clientId}</v>
      </c>
      <c r="B47" s="120"/>
      <c r="C47" s="120"/>
      <c r="D47" s="120"/>
      <c r="E47" s="120"/>
      <c r="F47" s="121"/>
      <c r="G47" s="122"/>
      <c r="H47" s="121"/>
      <c r="I47" s="121"/>
      <c r="J47" s="122"/>
      <c r="K47" s="121"/>
      <c r="L47" s="121"/>
      <c r="M47" s="123"/>
      <c r="N47" s="121"/>
      <c r="O47" s="124"/>
      <c r="P47" s="125"/>
      <c r="Q47" s="112"/>
      <c r="R47" s="112"/>
      <c r="S47" s="112"/>
      <c r="T47" s="112"/>
      <c r="U47" s="112"/>
      <c r="V47" s="112"/>
      <c r="W47" s="112"/>
      <c r="X47" s="112"/>
      <c r="Y47" s="112"/>
    </row>
    <row r="48" ht="124.0" customHeight="1">
      <c r="A48" s="120" t="str">
        <v>REC_API_IT24</v>
      </c>
      <c r="B48" s="120" t="str">
        <v>Verify a meeting joined from afar is captured per microphone (Online, Hybrid).</v>
      </c>
      <c r="C48" s="120" t="str">
        <v>1. As the Member of an InProgress Online meeting, GET /api/meetings/&lt;id&gt;/speech-clips.
2. Send a sentence with PUT /api/meetings/&lt;id&gt;/speech-clips/&lt;new UUID&gt;.
3. Repeat for a Hybrid meeting.</v>
      </c>
      <c r="D48" s="120" t="str">
        <v>1. canCapture is true.
2. The sentence returns HTTP 200 with code "MSG318" ("Đã ghi câu nói.").
3. The capture mode follows the meeting's Hình thức; there is no capture-mode setting to change.</v>
      </c>
      <c r="E48" s="120" t="str">
        <v>1. Backend is running.
2. InProgress Online and Hybrid meetings with the Member on their roster; the speech worker is running.</v>
      </c>
      <c r="F48" s="121" t="str">
        <v>Pending</v>
      </c>
      <c r="G48" s="122" t="str"/>
      <c r="H48" s="121" t="str"/>
      <c r="I48" s="121" t="str"/>
      <c r="J48" s="122" t="str"/>
      <c r="K48" s="121" t="str"/>
      <c r="L48" s="121" t="str"/>
      <c r="M48" s="123" t="str"/>
      <c r="N48" s="121" t="str"/>
      <c r="O48" s="124" t="str"/>
      <c r="P48" s="125"/>
      <c r="Q48" s="112"/>
      <c r="R48" s="112"/>
      <c r="S48" s="112"/>
      <c r="T48" s="112"/>
      <c r="U48" s="112"/>
      <c r="V48" s="112"/>
      <c r="W48" s="112"/>
      <c r="X48" s="112"/>
      <c r="Y48" s="112"/>
    </row>
    <row r="49" ht="24" customHeight="1">
      <c r="A49" s="120" t="str">
        <v>GET /api/meetings/{id}/speech-clips</v>
      </c>
      <c r="B49" s="120"/>
      <c r="C49" s="120"/>
      <c r="D49" s="120"/>
      <c r="E49" s="120"/>
      <c r="F49" s="121"/>
      <c r="G49" s="122"/>
      <c r="H49" s="121"/>
      <c r="I49" s="121"/>
      <c r="J49" s="122"/>
      <c r="K49" s="121"/>
      <c r="L49" s="121"/>
      <c r="M49" s="123"/>
      <c r="N49" s="121"/>
      <c r="O49" s="124"/>
      <c r="P49" s="125"/>
      <c r="Q49" s="112"/>
      <c r="R49" s="112"/>
      <c r="S49" s="112"/>
      <c r="T49" s="112"/>
      <c r="U49" s="112"/>
      <c r="V49" s="112"/>
      <c r="W49" s="112"/>
      <c r="X49" s="112"/>
      <c r="Y49" s="112"/>
    </row>
    <row r="50" ht="138.5" customHeight="1">
      <c r="A50" s="120" t="str">
        <v>REC_API_IT25</v>
      </c>
      <c r="B50" s="120" t="str">
        <v>Verify a database outage on reading sentences says so.</v>
      </c>
      <c r="C50" s="120" t="str">
        <v>1. Send GET request to /api/meetings/&lt;id&gt;/speech-clips.
2. Request headers: Authorization: Bearer &lt;access token of thanhvien@trustcabinet.local&gt; (Member, no capability).
3. Query parameters: None.
4. Request body: None (GET request).</v>
      </c>
      <c r="D50" s="120" t="str">
        <v>1. HTTP 500 with code "MSG299".</v>
      </c>
      <c r="E50" s="120" t="str">
        <v>1. Backend is running.
2. thanhvien is on the roster of an InProgress meeting.
3. The PostgreSQL container is stopped after sign-in.</v>
      </c>
      <c r="F50" s="121" t="str">
        <v>Pending</v>
      </c>
      <c r="G50" s="122" t="str"/>
      <c r="H50" s="121" t="str"/>
      <c r="I50" s="121" t="str"/>
      <c r="J50" s="122" t="str"/>
      <c r="K50" s="121" t="str"/>
      <c r="L50" s="121" t="str"/>
      <c r="M50" s="123" t="str"/>
      <c r="N50" s="121" t="str"/>
      <c r="O50" s="124" t="str"/>
      <c r="P50" s="125"/>
      <c r="Q50" s="112"/>
      <c r="R50" s="112"/>
      <c r="S50" s="112"/>
      <c r="T50" s="112"/>
      <c r="U50" s="112"/>
      <c r="V50" s="112"/>
      <c r="W50" s="112"/>
      <c r="X50" s="112"/>
      <c r="Y50" s="112"/>
    </row>
    <row r="51" ht="24" customHeight="1">
      <c r="A51" s="120" t="str">
        <v>POST /api/me/voice/consent</v>
      </c>
      <c r="B51" s="120"/>
      <c r="C51" s="120"/>
      <c r="D51" s="120"/>
      <c r="E51" s="120"/>
      <c r="F51" s="121"/>
      <c r="G51" s="122"/>
      <c r="H51" s="121"/>
      <c r="I51" s="121"/>
      <c r="J51" s="122"/>
      <c r="K51" s="121"/>
      <c r="L51" s="121"/>
      <c r="M51" s="123"/>
      <c r="N51" s="121"/>
      <c r="O51" s="124"/>
      <c r="P51" s="125"/>
      <c r="Q51" s="112"/>
      <c r="R51" s="112"/>
      <c r="S51" s="112"/>
      <c r="T51" s="112"/>
      <c r="U51" s="112"/>
      <c r="V51" s="112"/>
      <c r="W51" s="112"/>
      <c r="X51" s="112"/>
      <c r="Y51" s="112"/>
    </row>
    <row r="52" ht="109.5" customHeight="1">
      <c r="A52" s="120" t="str">
        <v>REC_API_IT26</v>
      </c>
      <c r="B52" s="120" t="str">
        <v>Verify Voice ID consent is explicit, versioned and given once.</v>
      </c>
      <c r="C52" s="120" t="str">
        <v>1. As the Member, GET /api/me/voice.
2. POST /api/me/voice/consent with an old notice version.
3. POST it with the current noticeVersion; POST it again.</v>
      </c>
      <c r="D52" s="120" t="str">
        <v>1. Before consent, consent is null and the response shows noticeVersion, maxSamples and the data controller.
2. An old notice version is refused.
3. The current version records consent once; repeating does not create a second consent.</v>
      </c>
      <c r="E52" s="120" t="str">
        <v>1. Backend is running.
2. The Member has never consented to Voice ID.</v>
      </c>
      <c r="F52" s="121" t="str">
        <v>Pending</v>
      </c>
      <c r="G52" s="122" t="str"/>
      <c r="H52" s="121" t="str"/>
      <c r="I52" s="121" t="str"/>
      <c r="J52" s="122" t="str"/>
      <c r="K52" s="121" t="str"/>
      <c r="L52" s="121" t="str"/>
      <c r="M52" s="123" t="str"/>
      <c r="N52" s="121" t="str"/>
      <c r="O52" s="124" t="str"/>
      <c r="P52" s="125"/>
      <c r="Q52" s="112"/>
      <c r="R52" s="112"/>
      <c r="S52" s="112"/>
      <c r="T52" s="112"/>
      <c r="U52" s="112"/>
      <c r="V52" s="112"/>
      <c r="W52" s="112"/>
      <c r="X52" s="112"/>
      <c r="Y52" s="112"/>
    </row>
    <row r="53" ht="24" customHeight="1">
      <c r="A53" s="120" t="str">
        <v>POST /api/me/voice/samples</v>
      </c>
      <c r="B53" s="120"/>
      <c r="C53" s="120"/>
      <c r="D53" s="120"/>
      <c r="E53" s="120"/>
      <c r="F53" s="121"/>
      <c r="G53" s="122"/>
      <c r="H53" s="121"/>
      <c r="I53" s="121"/>
      <c r="J53" s="122"/>
      <c r="K53" s="121"/>
      <c r="L53" s="121"/>
      <c r="M53" s="123"/>
      <c r="N53" s="121"/>
      <c r="O53" s="124"/>
      <c r="P53" s="125"/>
      <c r="Q53" s="112"/>
      <c r="R53" s="112"/>
      <c r="S53" s="112"/>
      <c r="T53" s="112"/>
      <c r="U53" s="112"/>
      <c r="V53" s="112"/>
      <c r="W53" s="112"/>
      <c r="X53" s="112"/>
      <c r="Y53" s="112"/>
    </row>
    <row r="54" ht="153.0" customHeight="1">
      <c r="A54" s="120" t="str">
        <v>REC_API_IT27</v>
      </c>
      <c r="B54" s="120" t="str">
        <v>Verify voice samples need consent, pass the worker checks and are stored only encrypted.</v>
      </c>
      <c r="C54" s="120" t="str">
        <v>1. As the Chair without consent, POST /api/me/voice/samples with a recording.
2. Give consent, then upload a sample with two people speaking.
3. Upload a good sample; inspect the voice_samples table.</v>
      </c>
      <c r="D54" s="120" t="str">
        <v>1. Without consent: HTTP 409 with code "MSG308" ("Cần đồng ý nhận diện giọng nói trước khi ghi giọng mẫu.").
2. Two speakers: HTTP 422 with code "MSG309" and reason "multiple_speakers" (message mentions more than one person).
3. The good sample is stored; the embedding column holds only encrypted bytes.</v>
      </c>
      <c r="E54" s="120" t="str">
        <v>1. Backend is running.
2. The speech worker is running.</v>
      </c>
      <c r="F54" s="121" t="str">
        <v>Pending</v>
      </c>
      <c r="G54" s="122" t="str"/>
      <c r="H54" s="121" t="str"/>
      <c r="I54" s="121" t="str"/>
      <c r="J54" s="122" t="str"/>
      <c r="K54" s="121" t="str"/>
      <c r="L54" s="121" t="str"/>
      <c r="M54" s="123" t="str"/>
      <c r="N54" s="121" t="str"/>
      <c r="O54" s="124" t="str"/>
      <c r="P54" s="125"/>
      <c r="Q54" s="112"/>
      <c r="R54" s="112"/>
      <c r="S54" s="112"/>
      <c r="T54" s="112"/>
      <c r="U54" s="112"/>
      <c r="V54" s="112"/>
      <c r="W54" s="112"/>
      <c r="X54" s="112"/>
      <c r="Y54" s="112"/>
    </row>
    <row r="55" ht="24" customHeight="1">
      <c r="A55" s="120" t="str">
        <v>DELETE /api/me/voice/samples/{id}</v>
      </c>
      <c r="B55" s="120"/>
      <c r="C55" s="120"/>
      <c r="D55" s="120"/>
      <c r="E55" s="120"/>
      <c r="F55" s="121"/>
      <c r="G55" s="122"/>
      <c r="H55" s="121"/>
      <c r="I55" s="121"/>
      <c r="J55" s="122"/>
      <c r="K55" s="121"/>
      <c r="L55" s="121"/>
      <c r="M55" s="123"/>
      <c r="N55" s="121"/>
      <c r="O55" s="124"/>
      <c r="P55" s="125"/>
      <c r="Q55" s="112"/>
      <c r="R55" s="112"/>
      <c r="S55" s="112"/>
      <c r="T55" s="112"/>
      <c r="U55" s="112"/>
      <c r="V55" s="112"/>
      <c r="W55" s="112"/>
      <c r="X55" s="112"/>
      <c r="Y55" s="112"/>
    </row>
    <row r="56" ht="80.5" customHeight="1">
      <c r="A56" s="120" t="str">
        <v>REC_API_IT28</v>
      </c>
      <c r="B56" s="120" t="str">
        <v>Verify a person deletes only their own voice samples.</v>
      </c>
      <c r="C56" s="120" t="str">
        <v>1. As the Chair, DELETE /api/me/voice/samples/&lt;Member's sample id&gt;.
2. As the Member, DELETE the same sample.</v>
      </c>
      <c r="D56" s="120" t="str">
        <v>1. The Chair gets HTTP 404.
2. The Member gets HTTP 200 with code "MSG311" ("Đã xoá giọng mẫu.") and the sample is gone.</v>
      </c>
      <c r="E56" s="120" t="str">
        <v>1. Backend is running.
2. The Member consented and has one voice sample.</v>
      </c>
      <c r="F56" s="121" t="str">
        <v>Pending</v>
      </c>
      <c r="G56" s="122" t="str"/>
      <c r="H56" s="121" t="str"/>
      <c r="I56" s="121" t="str"/>
      <c r="J56" s="122" t="str"/>
      <c r="K56" s="121" t="str"/>
      <c r="L56" s="121" t="str"/>
      <c r="M56" s="123" t="str"/>
      <c r="N56" s="121" t="str"/>
      <c r="O56" s="124" t="str"/>
      <c r="P56" s="125"/>
      <c r="Q56" s="112"/>
      <c r="R56" s="112"/>
      <c r="S56" s="112"/>
      <c r="T56" s="112"/>
      <c r="U56" s="112"/>
      <c r="V56" s="112"/>
      <c r="W56" s="112"/>
      <c r="X56" s="112"/>
      <c r="Y56" s="112"/>
    </row>
    <row r="57" ht="24" customHeight="1">
      <c r="A57" s="120" t="str">
        <v>PUT /api/recordings/{id}/speakers/{label}</v>
      </c>
      <c r="B57" s="120"/>
      <c r="C57" s="120"/>
      <c r="D57" s="120"/>
      <c r="E57" s="120"/>
      <c r="F57" s="121"/>
      <c r="G57" s="122"/>
      <c r="H57" s="121"/>
      <c r="I57" s="121"/>
      <c r="J57" s="122"/>
      <c r="K57" s="121"/>
      <c r="L57" s="121"/>
      <c r="M57" s="123"/>
      <c r="N57" s="121"/>
      <c r="O57" s="124"/>
      <c r="P57" s="125"/>
      <c r="Q57" s="112"/>
      <c r="R57" s="112"/>
      <c r="S57" s="112"/>
      <c r="T57" s="112"/>
      <c r="U57" s="112"/>
      <c r="V57" s="112"/>
      <c r="W57" s="112"/>
      <c r="X57" s="112"/>
      <c r="Y57" s="112"/>
    </row>
    <row r="58" ht="182.0" customHeight="1">
      <c r="A58" s="120" t="str">
        <v>REC_API_IT29</v>
      </c>
      <c r="B58" s="120" t="str">
        <v>Verify voices are suggested only as consenting people of the meeting and named only by the Secretary.</v>
      </c>
      <c r="C58" s="120" t="str">
        <v>1. Enrol the Secretary, the Member and an outsider (all consenting).
2. Upload and transcribe a recording with three voices that match them.
3. As the Secretary, GET the transcript; as the Member, PUT /api/recordings/&lt;id&gt;/speakers/SPEAKER_00 with { "userId": "&lt;id&gt;" }; as the Secretary, PUT it.</v>
      </c>
      <c r="D58" s="120" t="str">
        <v>1. Suggestions are offered only for the Secretary and the Member, never the outsider.
2. The Member's naming is refused.
3. The Secretary's naming returns HTTP 200 with code "MSG316" ("Đã gán người nói.").</v>
      </c>
      <c r="E58" s="120" t="str">
        <v>1. Backend is running.
2. An InProgress meeting; the speech worker is running.</v>
      </c>
      <c r="F58" s="121" t="str">
        <v>Pending</v>
      </c>
      <c r="G58" s="122" t="str"/>
      <c r="H58" s="121" t="str"/>
      <c r="I58" s="121" t="str"/>
      <c r="J58" s="122" t="str"/>
      <c r="K58" s="121" t="str"/>
      <c r="L58" s="121" t="str"/>
      <c r="M58" s="123" t="str"/>
      <c r="N58" s="121" t="str"/>
      <c r="O58" s="124" t="str"/>
      <c r="P58" s="125"/>
      <c r="Q58" s="112"/>
      <c r="R58" s="112"/>
      <c r="S58" s="112"/>
      <c r="T58" s="112"/>
      <c r="U58" s="112"/>
      <c r="V58" s="112"/>
      <c r="W58" s="112"/>
      <c r="X58" s="112"/>
      <c r="Y58" s="112"/>
    </row>
    <row r="59" ht="24" customHeight="1">
      <c r="A59" s="120" t="str">
        <v>DELETE /api/me/voice/consent</v>
      </c>
      <c r="B59" s="120"/>
      <c r="C59" s="120"/>
      <c r="D59" s="120"/>
      <c r="E59" s="120"/>
      <c r="F59" s="121"/>
      <c r="G59" s="122"/>
      <c r="H59" s="121"/>
      <c r="I59" s="121"/>
      <c r="J59" s="122"/>
      <c r="K59" s="121"/>
      <c r="L59" s="121"/>
      <c r="M59" s="123"/>
      <c r="N59" s="121"/>
      <c r="O59" s="124"/>
      <c r="P59" s="125"/>
      <c r="Q59" s="112"/>
      <c r="R59" s="112"/>
      <c r="S59" s="112"/>
      <c r="T59" s="112"/>
      <c r="U59" s="112"/>
      <c r="V59" s="112"/>
      <c r="W59" s="112"/>
      <c r="X59" s="112"/>
      <c r="Y59" s="112"/>
    </row>
    <row r="60" ht="124.0" customHeight="1">
      <c r="A60" s="120" t="str">
        <v>REC_API_IT30</v>
      </c>
      <c r="B60" s="120" t="str">
        <v>Verify withdrawing consent erases samples and suggestions but keeps what the Secretary decided.</v>
      </c>
      <c r="C60" s="120" t="str">
        <v>1. Enrol the Secretary and the Member; transcribe a recording; the Secretary names SPEAKER_01 as the Member.
2. As the Member, DELETE /api/me/voice/consent.
3. GET /api/me/voice and the transcript.</v>
      </c>
      <c r="D60" s="120" t="str">
        <v>1. The withdrawal succeeds and the Member's samples are erased.
2. Automatic suggestions for the Member disappear.
3. The Secretary's naming of SPEAKER_01 stays.</v>
      </c>
      <c r="E60" s="120" t="str">
        <v>1. Backend is running.
2. An InProgress meeting; the speech worker is running.</v>
      </c>
      <c r="F60" s="121" t="str">
        <v>Pending</v>
      </c>
      <c r="G60" s="122" t="str"/>
      <c r="H60" s="121" t="str"/>
      <c r="I60" s="121" t="str"/>
      <c r="J60" s="122" t="str"/>
      <c r="K60" s="121" t="str"/>
      <c r="L60" s="121" t="str"/>
      <c r="M60" s="123" t="str"/>
      <c r="N60" s="121" t="str"/>
      <c r="O60" s="124" t="str"/>
      <c r="P60" s="125"/>
      <c r="Q60" s="112"/>
      <c r="R60" s="112"/>
      <c r="S60" s="112"/>
      <c r="T60" s="112"/>
      <c r="U60" s="112"/>
      <c r="V60" s="112"/>
      <c r="W60" s="112"/>
      <c r="X60" s="112"/>
      <c r="Y60" s="112"/>
    </row>
    <row r="61" ht="24" customHeight="1">
      <c r="A61" s="120" t="str">
        <v>GET /api/me/voice</v>
      </c>
      <c r="B61" s="120"/>
      <c r="C61" s="120"/>
      <c r="D61" s="120"/>
      <c r="E61" s="120"/>
      <c r="F61" s="121"/>
      <c r="G61" s="122"/>
      <c r="H61" s="121"/>
      <c r="I61" s="121"/>
      <c r="J61" s="122"/>
      <c r="K61" s="121"/>
      <c r="L61" s="121"/>
      <c r="M61" s="123"/>
      <c r="N61" s="121"/>
      <c r="O61" s="124"/>
      <c r="P61" s="125"/>
      <c r="Q61" s="112"/>
      <c r="R61" s="112"/>
      <c r="S61" s="112"/>
      <c r="T61" s="112"/>
      <c r="U61" s="112"/>
      <c r="V61" s="112"/>
      <c r="W61" s="112"/>
      <c r="X61" s="112"/>
      <c r="Y61" s="112"/>
    </row>
    <row r="62" ht="95.0" customHeight="1">
      <c r="A62" s="120" t="str">
        <v>REC_API_IT31</v>
      </c>
      <c r="B62" s="120" t="str">
        <v>Verify Voice ID outages answer with their own codes.</v>
      </c>
      <c r="C62" s="120" t="str">
        <v>1. Make saving fail and give consent.
2. Stop PostgreSQL and GET /api/me/voice.</v>
      </c>
      <c r="D62" s="120" t="str">
        <v>1. Consent returns HTTP 503 with code "MSG315" ("Không lưu được thay đổi. Vui lòng thử lại.").
2. Reading returns HTTP 500 with code "MSG314" ("Không tải được thông tin giọng nói.").</v>
      </c>
      <c r="E62" s="120" t="str">
        <v>1. Backend is running.
2. Signed in as thanhvien@trustcabinet.local.</v>
      </c>
      <c r="F62" s="121" t="str">
        <v>Pending</v>
      </c>
      <c r="G62" s="122" t="str"/>
      <c r="H62" s="121" t="str"/>
      <c r="I62" s="121" t="str"/>
      <c r="J62" s="122" t="str"/>
      <c r="K62" s="121" t="str"/>
      <c r="L62" s="121" t="str"/>
      <c r="M62" s="123" t="str"/>
      <c r="N62" s="121" t="str"/>
      <c r="O62" s="124" t="str"/>
      <c r="P62" s="125"/>
      <c r="Q62" s="112"/>
      <c r="R62" s="112"/>
      <c r="S62" s="112"/>
      <c r="T62" s="112"/>
      <c r="U62" s="112"/>
      <c r="V62" s="112"/>
      <c r="W62" s="112"/>
      <c r="X62" s="112"/>
      <c r="Y62" s="112"/>
    </row>
    <row r="63" ht="24" customHeight="1">
      <c r="A63" s="120" t="str">
        <v>POST /api/meetings/{id}/recordings</v>
      </c>
      <c r="B63" s="120"/>
      <c r="C63" s="120"/>
      <c r="D63" s="120"/>
      <c r="E63" s="120"/>
      <c r="F63" s="121"/>
      <c r="G63" s="122"/>
      <c r="H63" s="121"/>
      <c r="I63" s="121"/>
      <c r="J63" s="122"/>
      <c r="K63" s="121"/>
      <c r="L63" s="121"/>
      <c r="M63" s="123"/>
      <c r="N63" s="121"/>
      <c r="O63" s="124"/>
      <c r="P63" s="125"/>
      <c r="Q63" s="112"/>
      <c r="R63" s="112"/>
      <c r="S63" s="112"/>
      <c r="T63" s="112"/>
      <c r="U63" s="112"/>
      <c r="V63" s="112"/>
      <c r="W63" s="112"/>
      <c r="X63" s="112"/>
      <c r="Y63" s="112"/>
    </row>
    <row r="64" ht="124.0" customHeight="1">
      <c r="A64" s="120" t="str">
        <v>REC_API_IT32</v>
      </c>
      <c r="B64" s="120" t="str">
        <v>Verify an online meeting has no room recording (InProgress, Ended).</v>
      </c>
      <c r="C64" s="120" t="str">
        <v>1. As the Secretary of an Online meeting, POST /api/meetings/&lt;id&gt;/recordings with a valid form.
2. GET /api/meetings/&lt;id&gt;/recordings.
3. Repeat for an in-person meeting in the same status.</v>
      </c>
      <c r="D64" s="120" t="str">
        <v>1. Online: HTTP 409 with code "MSG358" ("Cuộc họp trực tuyến ghi theo micro từng người, không có bản ghi phòng."); canUpload is false and no file is stored.
2. In-person: the upload returns HTTP 201 with code "MSG290".</v>
      </c>
      <c r="E64" s="120" t="str">
        <v>1. Backend is running.
2. InProgress and Ended meetings, Online and in-person, each with its Secretary.
3. File storage is configured.</v>
      </c>
      <c r="F64" s="121" t="str">
        <v>Pending</v>
      </c>
      <c r="G64" s="122" t="str"/>
      <c r="H64" s="121" t="str"/>
      <c r="I64" s="121" t="str"/>
      <c r="J64" s="122" t="str"/>
      <c r="K64" s="121" t="str"/>
      <c r="L64" s="121" t="str"/>
      <c r="M64" s="123" t="str"/>
      <c r="N64" s="121" t="str"/>
      <c r="O64" s="124" t="str"/>
      <c r="P64" s="125"/>
      <c r="Q64" s="112"/>
      <c r="R64" s="112"/>
      <c r="S64" s="112"/>
      <c r="T64" s="112"/>
      <c r="U64" s="112"/>
      <c r="V64" s="112"/>
      <c r="W64" s="112"/>
      <c r="X64" s="112"/>
      <c r="Y64" s="112"/>
    </row>
    <row r="65" ht="24" customHeight="1">
      <c r="A65" s="120" t="str">
        <v>POST /api/meetings/{id}/recordings/takes</v>
      </c>
      <c r="B65" s="120"/>
      <c r="C65" s="120"/>
      <c r="D65" s="120"/>
      <c r="E65" s="120"/>
      <c r="F65" s="121"/>
      <c r="G65" s="122"/>
      <c r="H65" s="121"/>
      <c r="I65" s="121"/>
      <c r="J65" s="122"/>
      <c r="K65" s="121"/>
      <c r="L65" s="121"/>
      <c r="M65" s="123"/>
      <c r="N65" s="121"/>
      <c r="O65" s="124"/>
      <c r="P65" s="125"/>
      <c r="Q65" s="112"/>
      <c r="R65" s="112"/>
      <c r="S65" s="112"/>
      <c r="T65" s="112"/>
      <c r="U65" s="112"/>
      <c r="V65" s="112"/>
      <c r="W65" s="112"/>
      <c r="X65" s="112"/>
      <c r="Y65" s="112"/>
    </row>
    <row r="66" ht="370.5" customHeight="1">
      <c r="A66" s="120" t="str">
        <v>REC_API_IT33</v>
      </c>
      <c r="B66" s="120" t="str">
        <v>Verify the first take streams in parts and becomes the meeting's room recording.</v>
      </c>
      <c r="C66" s="120" t="str">
        <v>1. As the Member and the Secretary, GET /api/meetings/&lt;id&gt;/recordings and read canRecord.
2. As the Secretary, POST /api/meetings/&lt;id&gt;/recordings/takes with body { "consentConfirmed": true, "consentPurpose": "Lập biên bản phiên họp" }.
3. As the Member, GET the list and GET /api/recordings/&lt;take&gt;/playback.
4. As the Secretary, PUT /api/recordings/&lt;take&gt;/parts/1 with the first full part, send part 1 again, then PUT /api/recordings/&lt;take&gt;/parts/2?final=true with the shorter last part. Each part is application/octet-stream of exactly partSize bytes; part 1 starts with a WAV header for 16 kHz mono 16-bit PCM.
… (continued in the test source)</v>
      </c>
      <c r="D66" s="120" t="str">
        <v>1. canRecord is true for the Secretary and false for the Member.
2. The take returns HTTP 201 with recordingId and partSize.
3. While recording, everyone sees one item with status "Pending", created by the Secretary; only the Secretary may close it; playback returns HTTP 404.
4. Each part, including the repeated part 1, returns HTTP 204.
5. Both completions return HTTP 200 with code "MSG363" ("Đã lưu lượt ghi."), the same recordingId and appended false.
6. The item is "Available", source "BrowserCapture", transcriptStatus "Pending", with the purpose, the duration of the PCM and one take at offset 0; the stored WAV header carries the final length.
7. The audit log records the take started and saved by the Secretary.</v>
      </c>
      <c r="E66" s="120" t="str">
        <v>1. Backend is running.
2. An InProgress in-person meeting with Secretary and Member.
3. File storage is configured.</v>
      </c>
      <c r="F66" s="121" t="str">
        <v>Pending</v>
      </c>
      <c r="G66" s="122" t="str"/>
      <c r="H66" s="121" t="str"/>
      <c r="I66" s="121" t="str"/>
      <c r="J66" s="122" t="str"/>
      <c r="K66" s="121" t="str"/>
      <c r="L66" s="121" t="str"/>
      <c r="M66" s="123" t="str"/>
      <c r="N66" s="121" t="str"/>
      <c r="O66" s="124" t="str"/>
      <c r="P66" s="125"/>
      <c r="Q66" s="112"/>
      <c r="R66" s="112"/>
      <c r="S66" s="112"/>
      <c r="T66" s="112"/>
      <c r="U66" s="112"/>
      <c r="V66" s="112"/>
      <c r="W66" s="112"/>
      <c r="X66" s="112"/>
      <c r="Y66" s="112"/>
    </row>
    <row r="67" ht="225.5" customHeight="1">
      <c r="A67" s="120" t="str">
        <v>REC_API_IT34</v>
      </c>
      <c r="B67" s="120" t="str">
        <v>Verify a later take is appended to the room recording and the whole is transcribed again.</v>
      </c>
      <c r="C67" s="120" t="str">
        <v>1. As the Secretary, record and complete a first take; let the speech worker finish.
2. Ten minutes later, POST /api/meetings/&lt;id&gt;/recordings/takes with consentConfirmed=false, stream a second take and complete it.
3. GET the list, then let the worker run and GET /api/recordings/&lt;room&gt;/transcript.</v>
      </c>
      <c r="D67" s="120" t="str">
        <v>1. The second take needs no new consent; completing returns code "MSG363" with the room recording's id and appended true.
2. There is still one item; it lists two takes, the second at the end of the first, with its own duration and start time; transcriptStatus is "Pending".
3. The stored file is the first take followed by the second without its header; the whole file is transcribed and the transcript ends "Completed".
4. No separate recording is left for the second take.</v>
      </c>
      <c r="E67" s="120" t="str">
        <v>1. Backend is running.
2. An InProgress in-person meeting; signed in as its Secretary; speech worker running.</v>
      </c>
      <c r="F67" s="121" t="str">
        <v>Pending</v>
      </c>
      <c r="G67" s="122" t="str"/>
      <c r="H67" s="121" t="str"/>
      <c r="I67" s="121" t="str"/>
      <c r="J67" s="122" t="str"/>
      <c r="K67" s="121" t="str"/>
      <c r="L67" s="121" t="str"/>
      <c r="M67" s="123" t="str"/>
      <c r="N67" s="121" t="str"/>
      <c r="O67" s="124" t="str"/>
      <c r="P67" s="125"/>
      <c r="Q67" s="112"/>
      <c r="R67" s="112"/>
      <c r="S67" s="112"/>
      <c r="T67" s="112"/>
      <c r="U67" s="112"/>
      <c r="V67" s="112"/>
      <c r="W67" s="112"/>
      <c r="X67" s="112"/>
      <c r="Y67" s="112"/>
    </row>
    <row r="68" ht="24" customHeight="1">
      <c r="A68" s="120" t="str">
        <v>POST /api/recordings/{id}/complete</v>
      </c>
      <c r="B68" s="120"/>
      <c r="C68" s="120"/>
      <c r="D68" s="120"/>
      <c r="E68" s="120"/>
      <c r="F68" s="121"/>
      <c r="G68" s="122"/>
      <c r="H68" s="121"/>
      <c r="I68" s="121"/>
      <c r="J68" s="122"/>
      <c r="K68" s="121"/>
      <c r="L68" s="121"/>
      <c r="M68" s="123"/>
      <c r="N68" s="121"/>
      <c r="O68" s="124"/>
      <c r="P68" s="125"/>
      <c r="Q68" s="112"/>
      <c r="R68" s="112"/>
      <c r="S68" s="112"/>
      <c r="T68" s="112"/>
      <c r="U68" s="112"/>
      <c r="V68" s="112"/>
      <c r="W68" s="112"/>
      <c r="X68" s="112"/>
      <c r="Y68" s="112"/>
    </row>
    <row r="69" ht="124.0" customHeight="1">
      <c r="A69" s="120" t="str">
        <v>REC_API_IT35</v>
      </c>
      <c r="B69" s="120" t="str">
        <v>Verify a take appended while the room recording is being transcribed makes that run start over.</v>
      </c>
      <c r="C69" s="120" t="str">
        <v>1. As the Secretary, record and complete a take.
2. While the speech worker transcribes it, record and complete a second take.
3. GET /api/recordings/&lt;room&gt;/transcript, then let the worker run again.</v>
      </c>
      <c r="D69" s="120" t="str">
        <v>1. The result of the shorter file is discarded: the transcript is "Pending" with no segments.
2. The next run transcribes the whole room recording.</v>
      </c>
      <c r="E69" s="120" t="str">
        <v>1. Backend is running.
2. An InProgress in-person meeting; signed in as its Secretary; speech worker running.</v>
      </c>
      <c r="F69" s="121" t="str">
        <v>Pending</v>
      </c>
      <c r="G69" s="122" t="str"/>
      <c r="H69" s="121" t="str"/>
      <c r="I69" s="121" t="str"/>
      <c r="J69" s="122" t="str"/>
      <c r="K69" s="121" t="str"/>
      <c r="L69" s="121" t="str"/>
      <c r="M69" s="123" t="str"/>
      <c r="N69" s="121" t="str"/>
      <c r="O69" s="124" t="str"/>
      <c r="P69" s="125"/>
      <c r="Q69" s="112"/>
      <c r="R69" s="112"/>
      <c r="S69" s="112"/>
      <c r="T69" s="112"/>
      <c r="U69" s="112"/>
      <c r="V69" s="112"/>
      <c r="W69" s="112"/>
      <c r="X69" s="112"/>
      <c r="Y69" s="112"/>
    </row>
    <row r="70" ht="24" customHeight="1">
      <c r="A70" s="120" t="str">
        <v>POST /api/meetings/{id}/recordings/takes</v>
      </c>
      <c r="B70" s="120"/>
      <c r="C70" s="120"/>
      <c r="D70" s="120"/>
      <c r="E70" s="120"/>
      <c r="F70" s="121"/>
      <c r="G70" s="122"/>
      <c r="H70" s="121"/>
      <c r="I70" s="121"/>
      <c r="J70" s="122"/>
      <c r="K70" s="121"/>
      <c r="L70" s="121"/>
      <c r="M70" s="123"/>
      <c r="N70" s="121"/>
      <c r="O70" s="124"/>
      <c r="P70" s="125"/>
      <c r="Q70" s="112"/>
      <c r="R70" s="112"/>
      <c r="S70" s="112"/>
      <c r="T70" s="112"/>
      <c r="U70" s="112"/>
      <c r="V70" s="112"/>
      <c r="W70" s="112"/>
      <c r="X70" s="112"/>
      <c r="Y70" s="112"/>
    </row>
    <row r="71" ht="240.0" customHeight="1">
      <c r="A71" s="120" t="str">
        <v>REC_API_IT36</v>
      </c>
      <c r="B71" s="120" t="str">
        <v>Verify the room mic switches on only for the Secretary of a running in-person meeting.</v>
      </c>
      <c r="C71" s="120" t="str">
        <v>1. As the Member, then as an outsider, POST /api/meetings/&lt;id&gt;/recordings/takes.
2. As the Secretary, POST with consentConfirmed=false for the first take.
3. As the Secretary of an Online meeting, and of an Ended in-person meeting, POST a take.
4. As the Secretary, open a take, then POST another one.
5. DELETE /api/recordings/&lt;open take&gt;.</v>
      </c>
      <c r="D71" s="120" t="str">
        <v>1. Member: HTTP 403 with code "MSG295" ("Chỉ Thư ký cuộc họp được quản lý bản ghi."). Outsider: HTTP 404.
2. No consent before the first take: HTTP 400 with code "MSG291" and an error on consentConfirmed.
3. Online: HTTP 409 "MSG358". Ended: HTTP 409 "MSG359" ("Chỉ bật mic phòng khi cuộc họp đang diễn ra.").
4. A second open take: HTTP 409 "MSG360" ("Mic phòng đang ghi ở một máy khác.").
5. Deleting the open take: HTTP 409 "MSG364" ("Mic phòng đang ghi lượt này. Tắt mic để lưu rồi mới xoá được."); the file stays.</v>
      </c>
      <c r="E71" s="120" t="str">
        <v>1. Backend is running.
2. An InProgress in-person meeting with Secretary, Member and an outsider; an Online and an Ended meeting.</v>
      </c>
      <c r="F71" s="121" t="str">
        <v>Pending</v>
      </c>
      <c r="G71" s="122" t="str"/>
      <c r="H71" s="121" t="str"/>
      <c r="I71" s="121" t="str"/>
      <c r="J71" s="122" t="str"/>
      <c r="K71" s="121" t="str"/>
      <c r="L71" s="121" t="str"/>
      <c r="M71" s="123" t="str"/>
      <c r="N71" s="121" t="str"/>
      <c r="O71" s="124" t="str"/>
      <c r="P71" s="125"/>
      <c r="Q71" s="112"/>
      <c r="R71" s="112"/>
      <c r="S71" s="112"/>
      <c r="T71" s="112"/>
      <c r="U71" s="112"/>
      <c r="V71" s="112"/>
      <c r="W71" s="112"/>
      <c r="X71" s="112"/>
      <c r="Y71" s="112"/>
    </row>
    <row r="72" ht="24" customHeight="1">
      <c r="A72" s="120" t="str">
        <v>PUT /api/recordings/{id}/parts/{n}</v>
      </c>
      <c r="B72" s="120"/>
      <c r="C72" s="120"/>
      <c r="D72" s="120"/>
      <c r="E72" s="120"/>
      <c r="F72" s="121"/>
      <c r="G72" s="122"/>
      <c r="H72" s="121"/>
      <c r="I72" s="121"/>
      <c r="J72" s="122"/>
      <c r="K72" s="121"/>
      <c r="L72" s="121"/>
      <c r="M72" s="123"/>
      <c r="N72" s="121"/>
      <c r="O72" s="124"/>
      <c r="P72" s="125"/>
      <c r="Q72" s="112"/>
      <c r="R72" s="112"/>
      <c r="S72" s="112"/>
      <c r="T72" s="112"/>
      <c r="U72" s="112"/>
      <c r="V72" s="112"/>
      <c r="W72" s="112"/>
      <c r="X72" s="112"/>
      <c r="Y72" s="112"/>
    </row>
    <row r="73" ht="225.5" customHeight="1">
      <c r="A73" s="120" t="str">
        <v>REC_API_IT37</v>
      </c>
      <c r="B73" s="120" t="str">
        <v>Verify parts come in order, at their size, from the take's maker, until it is saved.</v>
      </c>
      <c r="C73" s="120" t="str">
        <v>1. As the Secretary, open a take.
2. PUT part 1 as plain noise with no WAV header; as a WAV at 44.1 kHz; two bytes short of partSize; PUT part 0; PUT part 2 before part 1.
3. As the Chair, PUT part 1 and POST /api/recordings/&lt;take&gt;/complete.
4. As the Secretary, PUT part 1, PUT part 2?final=true with 10 bytes, then PUT part 3.
5. Complete the take, then PUT part 2 again.</v>
      </c>
      <c r="D73" s="120" t="str">
        <v>1. Every malformed or out-of-order part returns HTTP 400 with code "MSG361" ("Phần âm thanh gửi lên không hợp lệ.").
2. Chair: the part returns HTTP 404; completing returns HTTP 403 "MSG295".
3. Valid parts return HTTP 204; a part after the short last part returns HTTP 400 "MSG361".
4. After the take is saved, a part returns HTTP 409 "MSG362" ("Lượt ghi này đã được lưu, không thêm tiếng vào được nữa.").</v>
      </c>
      <c r="E73" s="120" t="str">
        <v>1. Backend is running.
2. An InProgress in-person meeting with its Secretary and Chair.</v>
      </c>
      <c r="F73" s="121" t="str">
        <v>Pending</v>
      </c>
      <c r="G73" s="122" t="str"/>
      <c r="H73" s="121" t="str"/>
      <c r="I73" s="121" t="str"/>
      <c r="J73" s="122" t="str"/>
      <c r="K73" s="121" t="str"/>
      <c r="L73" s="121" t="str"/>
      <c r="M73" s="123" t="str"/>
      <c r="N73" s="121" t="str"/>
      <c r="O73" s="124" t="str"/>
      <c r="P73" s="125"/>
      <c r="Q73" s="112"/>
      <c r="R73" s="112"/>
      <c r="S73" s="112"/>
      <c r="T73" s="112"/>
      <c r="U73" s="112"/>
      <c r="V73" s="112"/>
      <c r="W73" s="112"/>
      <c r="X73" s="112"/>
      <c r="Y73" s="112"/>
    </row>
    <row r="74" ht="95.0" customHeight="1">
      <c r="A74" s="120" t="str">
        <v>REC_API_IT38</v>
      </c>
      <c r="B74" s="120" t="str">
        <v>Verify a take cannot grow past the recording limit.</v>
      </c>
      <c r="C74" s="120" t="str">
        <v>1. As the Secretary, open a take.
2. PUT parts one after another until their total reaches Recordings:MaxUploadMegabytes.
3. PUT one more part.</v>
      </c>
      <c r="D74" s="120" t="str">
        <v>1. Parts within the limit return HTTP 204.
2. The part past the limit returns HTTP 413 with code "MSG293" ("Bản ghi vượt quá 300 MB." with the configured size).</v>
      </c>
      <c r="E74" s="120" t="str">
        <v>1. Backend is running.
2. An InProgress in-person meeting; a small Recordings:MaxUploadMegabytes on the test server.</v>
      </c>
      <c r="F74" s="121" t="str">
        <v>Pending</v>
      </c>
      <c r="G74" s="122" t="str"/>
      <c r="H74" s="121" t="str"/>
      <c r="I74" s="121" t="str"/>
      <c r="J74" s="122" t="str"/>
      <c r="K74" s="121" t="str"/>
      <c r="L74" s="121" t="str"/>
      <c r="M74" s="123" t="str"/>
      <c r="N74" s="121" t="str"/>
      <c r="O74" s="124" t="str"/>
      <c r="P74" s="125"/>
      <c r="Q74" s="112"/>
      <c r="R74" s="112"/>
      <c r="S74" s="112"/>
      <c r="T74" s="112"/>
      <c r="U74" s="112"/>
      <c r="V74" s="112"/>
      <c r="W74" s="112"/>
      <c r="X74" s="112"/>
      <c r="Y74" s="112"/>
    </row>
    <row r="75" ht="24" customHeight="1">
      <c r="A75" s="120" t="str">
        <v>POST /api/recordings/{id}/complete</v>
      </c>
      <c r="B75" s="120"/>
      <c r="C75" s="120"/>
      <c r="D75" s="120"/>
      <c r="E75" s="120"/>
      <c r="F75" s="121"/>
      <c r="G75" s="122"/>
      <c r="H75" s="121"/>
      <c r="I75" s="121"/>
      <c r="J75" s="122"/>
      <c r="K75" s="121"/>
      <c r="L75" s="121"/>
      <c r="M75" s="123"/>
      <c r="N75" s="121"/>
      <c r="O75" s="124"/>
      <c r="P75" s="125"/>
      <c r="Q75" s="112"/>
      <c r="R75" s="112"/>
      <c r="S75" s="112"/>
      <c r="T75" s="112"/>
      <c r="U75" s="112"/>
      <c r="V75" s="112"/>
      <c r="W75" s="112"/>
      <c r="X75" s="112"/>
      <c r="Y75" s="112"/>
    </row>
    <row r="76" ht="124.0" customHeight="1">
      <c r="A76" s="120" t="str">
        <v>REC_API_IT39</v>
      </c>
      <c r="B76" s="120" t="str">
        <v>Verify a take the mic heard nothing in is dropped.</v>
      </c>
      <c r="C76" s="120" t="str">
        <v>1. As the Secretary, open a take and complete it without sending any part.
2. GET the list.
3. Open a new take.</v>
      </c>
      <c r="D76" s="120" t="str">
        <v>1. HTTP 200 with code "MSG365" ("Mic chưa thu được tiếng nào nên lượt này không được lưu.") and recordingId null.
2. The list is empty and no file is stored.
3. The mic switches on again normally (HTTP 201).</v>
      </c>
      <c r="E76" s="120" t="str">
        <v>1. Backend is running.
2. An InProgress in-person meeting; signed in as its Secretary.</v>
      </c>
      <c r="F76" s="121" t="str">
        <v>Pending</v>
      </c>
      <c r="G76" s="122" t="str"/>
      <c r="H76" s="121" t="str"/>
      <c r="I76" s="121" t="str"/>
      <c r="J76" s="122" t="str"/>
      <c r="K76" s="121" t="str"/>
      <c r="L76" s="121" t="str"/>
      <c r="M76" s="123" t="str"/>
      <c r="N76" s="121" t="str"/>
      <c r="O76" s="124" t="str"/>
      <c r="P76" s="125"/>
      <c r="Q76" s="112"/>
      <c r="R76" s="112"/>
      <c r="S76" s="112"/>
      <c r="T76" s="112"/>
      <c r="U76" s="112"/>
      <c r="V76" s="112"/>
      <c r="W76" s="112"/>
      <c r="X76" s="112"/>
      <c r="Y76" s="112"/>
    </row>
    <row r="77" ht="109.5" customHeight="1">
      <c r="A77" s="120" t="str">
        <v>REC_API_IT40</v>
      </c>
      <c r="B77" s="120" t="str">
        <v>Verify a take left open is saved by the server once no part has come for hours.</v>
      </c>
      <c r="C77" s="120" t="str">
        <v>1. As the Secretary, open a take and send part 1, then close the browser.
2. Run the idle-take sweep at once, and again after 13 hours without parts.
3. GET the list.</v>
      </c>
      <c r="D77" s="120" t="str">
        <v>1. The first sweep saves nothing.
2. After 13 hours the take is saved: the item is "Available".
3. The audit log records the take saved with no actor (the server).</v>
      </c>
      <c r="E77" s="120" t="str">
        <v>1. Backend is running.
2. An InProgress in-person meeting; the server clock can be advanced.</v>
      </c>
      <c r="F77" s="121" t="str">
        <v>Pending</v>
      </c>
      <c r="G77" s="122" t="str"/>
      <c r="H77" s="121" t="str"/>
      <c r="I77" s="121" t="str"/>
      <c r="J77" s="122" t="str"/>
      <c r="K77" s="121" t="str"/>
      <c r="L77" s="121" t="str"/>
      <c r="M77" s="123" t="str"/>
      <c r="N77" s="121" t="str"/>
      <c r="O77" s="124" t="str"/>
      <c r="P77" s="125"/>
      <c r="Q77" s="112"/>
      <c r="R77" s="112"/>
      <c r="S77" s="112"/>
      <c r="T77" s="112"/>
      <c r="U77" s="112"/>
      <c r="V77" s="112"/>
      <c r="W77" s="112"/>
      <c r="X77" s="112"/>
      <c r="Y77" s="112"/>
    </row>
    <row r="78" ht="24" customHeight="1">
      <c r="A78" s="120" t="str">
        <v>DELETE /api/recordings/{id}/takes/{take}</v>
      </c>
      <c r="B78" s="120"/>
      <c r="C78" s="120"/>
      <c r="D78" s="120"/>
      <c r="E78" s="120"/>
      <c r="F78" s="121"/>
      <c r="G78" s="122"/>
      <c r="H78" s="121"/>
      <c r="I78" s="121"/>
      <c r="J78" s="122"/>
      <c r="K78" s="121"/>
      <c r="L78" s="121"/>
      <c r="M78" s="123"/>
      <c r="N78" s="121"/>
      <c r="O78" s="124"/>
      <c r="P78" s="125"/>
      <c r="Q78" s="112"/>
      <c r="R78" s="112"/>
      <c r="S78" s="112"/>
      <c r="T78" s="112"/>
      <c r="U78" s="112"/>
      <c r="V78" s="112"/>
      <c r="W78" s="112"/>
      <c r="X78" s="112"/>
      <c r="Y78" s="112"/>
    </row>
    <row r="79" ht="240.0" customHeight="1">
      <c r="A79" s="120" t="str">
        <v>REC_API_IT41</v>
      </c>
      <c r="B79" s="120" t="str">
        <v>Verify a take is cut out of the room recording and its lines out of the transcript, keeping the rest.</v>
      </c>
      <c r="C79" s="120" t="str">
        <v>1. As the Secretary, record three takes and let the transcript finish with one line in each take.
2. Correct the third line and name SPEAKER_00 as the Chair.
3. As the Member, DELETE /api/recordings/&lt;room&gt;/takes/2. As the Secretary, DELETE take 4, then take 2.
4. GET the list and the transcript.
5. DELETE take 2 again, then take 1.</v>
      </c>
      <c r="D79" s="120" t="str">
        <v>1. Member: HTTP 403 "MSG295". Take 4: HTTP 404.
2. Deleting take 2: HTTP 200 with code "MSG366" ("Đã xoá lượt ghi.").
3. The audio is takes 1 and 3 back to back; the duration and the take offsets shrink by the removed take.
4. The transcript is "Completed" with the first line and the corrected third line moved up; the name given to SPEAKER_00 stays and the voice heard only in take 2 is gone.
5. With one take left, deleting it returns HTTP 409 "MSG367" ("Bản ghi chỉ còn một lượt ghi. Xoá cả bản ghi nếu muốn bỏ lượt này.").</v>
      </c>
      <c r="E79" s="120" t="str">
        <v>1. Backend is running.
2. An InProgress in-person meeting with Secretary, Chair and Member; speech worker running.</v>
      </c>
      <c r="F79" s="121" t="str">
        <v>Pending</v>
      </c>
      <c r="G79" s="122" t="str"/>
      <c r="H79" s="121" t="str"/>
      <c r="I79" s="121" t="str"/>
      <c r="J79" s="122" t="str"/>
      <c r="K79" s="121" t="str"/>
      <c r="L79" s="121" t="str"/>
      <c r="M79" s="123" t="str"/>
      <c r="N79" s="121" t="str"/>
      <c r="O79" s="124" t="str"/>
      <c r="P79" s="125"/>
      <c r="Q79" s="112"/>
      <c r="R79" s="112"/>
      <c r="S79" s="112"/>
      <c r="T79" s="112"/>
      <c r="U79" s="112"/>
      <c r="V79" s="112"/>
      <c r="W79" s="112"/>
      <c r="X79" s="112"/>
      <c r="Y79" s="112"/>
    </row>
    <row r="80" ht="24" customHeight="1">
      <c r="A80" s="120" t="str">
        <v>GET /api/recordings/{id}/download</v>
      </c>
      <c r="B80" s="120"/>
      <c r="C80" s="120"/>
      <c r="D80" s="120"/>
      <c r="E80" s="120"/>
      <c r="F80" s="121"/>
      <c r="G80" s="122"/>
      <c r="H80" s="121"/>
      <c r="I80" s="121"/>
      <c r="J80" s="122"/>
      <c r="K80" s="121"/>
      <c r="L80" s="121"/>
      <c r="M80" s="123"/>
      <c r="N80" s="121"/>
      <c r="O80" s="124"/>
      <c r="P80" s="125"/>
      <c r="Q80" s="112"/>
      <c r="R80" s="112"/>
      <c r="S80" s="112"/>
      <c r="T80" s="112"/>
      <c r="U80" s="112"/>
      <c r="V80" s="112"/>
      <c r="W80" s="112"/>
      <c r="X80" s="112"/>
      <c r="Y80" s="112"/>
    </row>
    <row r="81" ht="182.0" customHeight="1">
      <c r="A81" s="120" t="str">
        <v>REC_API_IT42</v>
      </c>
      <c r="B81" s="120" t="str">
        <v>Verify the Chair or a Secretary saves the original file and a playback link cannot be turned into one.</v>
      </c>
      <c r="C81" s="120" t="str">
        <v>1. As the Member, GET the list (canDownload) and GET /api/recordings/&lt;id&gt;/download.
2. As the Chair, GET the list and GET /api/recordings/&lt;id&gt;/download; open the returned url without signing in.
3. As the Member, GET /api/recordings/&lt;id&gt;/playback; open its url with &amp;download=1 appended, then without it.</v>
      </c>
      <c r="D81" s="120" t="str">
        <v>1. Member: canDownload is false; download returns HTTP 403 with code "MSG355" ("Chỉ Chủ tọa hoặc Thư ký được tải bản ghi và bản gỡ băng về.").
2. Chair: canDownload is true; the url ends with &amp;download=1 and returns the original file as an attachment.
3. The playback url with &amp;download=1 returns HTTP 404; without it, HTTP 200.
4. The audit log records one recording.downloaded.</v>
      </c>
      <c r="E81" s="120" t="str">
        <v>1. Backend is running.
2. An Internal meeting with a stored, transcribed recording; Chair and Member on the roster.</v>
      </c>
      <c r="F81" s="121" t="str">
        <v>Pending</v>
      </c>
      <c r="G81" s="122" t="str"/>
      <c r="H81" s="121" t="str"/>
      <c r="I81" s="121" t="str"/>
      <c r="J81" s="122" t="str"/>
      <c r="K81" s="121" t="str"/>
      <c r="L81" s="121" t="str"/>
      <c r="M81" s="123" t="str"/>
      <c r="N81" s="121" t="str"/>
      <c r="O81" s="124" t="str"/>
      <c r="P81" s="125"/>
      <c r="Q81" s="112"/>
      <c r="R81" s="112"/>
      <c r="S81" s="112"/>
      <c r="T81" s="112"/>
      <c r="U81" s="112"/>
      <c r="V81" s="112"/>
      <c r="W81" s="112"/>
      <c r="X81" s="112"/>
      <c r="Y81" s="112"/>
    </row>
    <row r="82" ht="24" customHeight="1">
      <c r="A82" s="120" t="str">
        <v>GET /api/recordings/{id}/transcript.txt</v>
      </c>
      <c r="B82" s="120"/>
      <c r="C82" s="120"/>
      <c r="D82" s="120"/>
      <c r="E82" s="120"/>
      <c r="F82" s="121"/>
      <c r="G82" s="122"/>
      <c r="H82" s="121"/>
      <c r="I82" s="121"/>
      <c r="J82" s="122"/>
      <c r="K82" s="121"/>
      <c r="L82" s="121"/>
      <c r="M82" s="123"/>
      <c r="N82" s="121"/>
      <c r="O82" s="124"/>
      <c r="P82" s="125"/>
      <c r="Q82" s="112"/>
      <c r="R82" s="112"/>
      <c r="S82" s="112"/>
      <c r="T82" s="112"/>
      <c r="U82" s="112"/>
      <c r="V82" s="112"/>
      <c r="W82" s="112"/>
      <c r="X82" s="112"/>
      <c r="Y82" s="112"/>
    </row>
    <row r="83" ht="196.5" customHeight="1">
      <c r="A83" s="120" t="str">
        <v>REC_API_IT43</v>
      </c>
      <c r="B83" s="120" t="str">
        <v>Verify a finished transcript is saved as text with the names the Secretary gave.</v>
      </c>
      <c r="C83" s="120" t="str">
        <v>1. As the Secretary, name SPEAKER_00 as the Chair and GET the transcript (canExport).
2. GET /api/recordings/&lt;id&gt;/transcript.txt.
3. As the Member, GET the transcript and transcript.txt.
4. As the Secretary, POST /api/recordings/&lt;id&gt;/transcribe, then GET transcript.txt.</v>
      </c>
      <c r="D83" s="120" t="str">
        <v>1. canExport is true; the file is text/plain named ban-go-bang-…, starting with the meeting title and "Bản gỡ băng — bản ghi phien-hop.wav".
2. Each line is "[hh:mm:ss] &lt;name&gt;: &lt;text&gt;", using the assigned name, or "Người nói N".
3. Member: canExport is false; the file returns HTTP 403 "MSG355".
4. Re-queueing returns HTTP 202 "MSG300"; while not finished the file returns HTTP 409 "MSG357" ("Bản gỡ băng chưa xong nên chưa tải về được.").</v>
      </c>
      <c r="E83" s="120" t="str">
        <v>1. Backend is running.
2. A recording with a completed transcript; Secretary, Chair and Member on the roster.</v>
      </c>
      <c r="F83" s="121" t="str">
        <v>Pending</v>
      </c>
      <c r="G83" s="122" t="str"/>
      <c r="H83" s="121" t="str"/>
      <c r="I83" s="121" t="str"/>
      <c r="J83" s="122" t="str"/>
      <c r="K83" s="121" t="str"/>
      <c r="L83" s="121" t="str"/>
      <c r="M83" s="123" t="str"/>
      <c r="N83" s="121" t="str"/>
      <c r="O83" s="124" t="str"/>
      <c r="P83" s="125"/>
      <c r="Q83" s="112"/>
      <c r="R83" s="112"/>
      <c r="S83" s="112"/>
      <c r="T83" s="112"/>
      <c r="U83" s="112"/>
      <c r="V83" s="112"/>
      <c r="W83" s="112"/>
      <c r="X83" s="112"/>
      <c r="Y83" s="112"/>
    </row>
    <row r="84" ht="24" customHeight="1">
      <c r="A84" s="120" t="str">
        <v>GET /api/recordings/{id}/download</v>
      </c>
      <c r="B84" s="120"/>
      <c r="C84" s="120"/>
      <c r="D84" s="120"/>
      <c r="E84" s="120"/>
      <c r="F84" s="121"/>
      <c r="G84" s="122"/>
      <c r="H84" s="121"/>
      <c r="I84" s="121"/>
      <c r="J84" s="122"/>
      <c r="K84" s="121"/>
      <c r="L84" s="121"/>
      <c r="M84" s="123"/>
      <c r="N84" s="121"/>
      <c r="O84" s="124"/>
      <c r="P84" s="125"/>
      <c r="Q84" s="112"/>
      <c r="R84" s="112"/>
      <c r="S84" s="112"/>
      <c r="T84" s="112"/>
      <c r="U84" s="112"/>
      <c r="V84" s="112"/>
      <c r="W84" s="112"/>
      <c r="X84" s="112"/>
      <c r="Y84" s="112"/>
    </row>
    <row r="85" ht="109.5" customHeight="1">
      <c r="A85" s="120" t="str">
        <v>REC_API_IT44</v>
      </c>
      <c r="B85" s="120" t="str">
        <v>Verify a Secret meeting keeps its audio and words inside.</v>
      </c>
      <c r="C85" s="120" t="str">
        <v>1. Mark the meeting Mật.
2. As the Chair, GET /api/recordings/&lt;id&gt;/download, /api/recordings/&lt;id&gt;/transcript.txt and /api/meetings/&lt;id&gt;/speech-clips.txt.
3. GET the list.</v>
      </c>
      <c r="D85" s="120" t="str">
        <v>1. Each export returns HTTP 403 with code "MSG356" ("Bản ghi và bản gỡ băng của cuộc họp Mật không được tải về.").
2. canDownload is false.</v>
      </c>
      <c r="E85" s="120" t="str">
        <v>1. Backend is running.
2. A Secret meeting with a transcribed recording; signed in as its Chair.</v>
      </c>
      <c r="F85" s="121" t="str">
        <v>Pending</v>
      </c>
      <c r="G85" s="122" t="str"/>
      <c r="H85" s="121" t="str"/>
      <c r="I85" s="121" t="str"/>
      <c r="J85" s="122" t="str"/>
      <c r="K85" s="121" t="str"/>
      <c r="L85" s="121" t="str"/>
      <c r="M85" s="123" t="str"/>
      <c r="N85" s="121" t="str"/>
      <c r="O85" s="124" t="str"/>
      <c r="P85" s="125"/>
      <c r="Q85" s="112"/>
      <c r="R85" s="112"/>
      <c r="S85" s="112"/>
      <c r="T85" s="112"/>
      <c r="U85" s="112"/>
      <c r="V85" s="112"/>
      <c r="W85" s="112"/>
      <c r="X85" s="112"/>
      <c r="Y85" s="112"/>
    </row>
    <row r="86" ht="24" customHeight="1">
      <c r="A86" s="120" t="str">
        <v>GET /api/meetings/{id}/speech-clips.txt</v>
      </c>
      <c r="B86" s="120"/>
      <c r="C86" s="120"/>
      <c r="D86" s="120"/>
      <c r="E86" s="120"/>
      <c r="F86" s="121"/>
      <c r="G86" s="122"/>
      <c r="H86" s="121"/>
      <c r="I86" s="121"/>
      <c r="J86" s="122"/>
      <c r="K86" s="121"/>
      <c r="L86" s="121"/>
      <c r="M86" s="123"/>
      <c r="N86" s="121"/>
      <c r="O86" s="124"/>
      <c r="P86" s="125"/>
      <c r="Q86" s="112"/>
      <c r="R86" s="112"/>
      <c r="S86" s="112"/>
      <c r="T86" s="112"/>
      <c r="U86" s="112"/>
      <c r="V86" s="112"/>
      <c r="W86" s="112"/>
      <c r="X86" s="112"/>
      <c r="Y86" s="112"/>
    </row>
    <row r="87" ht="182.0" customHeight="1">
      <c r="A87" s="120" t="str">
        <v>REC_API_IT45</v>
      </c>
      <c r="B87" s="120" t="str">
        <v>Verify the per-microphone transcript is saved without the sentences taken out.</v>
      </c>
      <c r="C87" s="120" t="str">
        <v>1. As the Member, send two sentences: "Tôi đồng ý." and "Ai tắt giúp cái điều hoà.".
2. As the Secretary, take the second out with PUT /api/speech-clips/&lt;id&gt;/exclusion { "excluded": true, "reason": "Other" }.
3. As the Member, GET /api/meetings/&lt;id&gt;/speech-clips.txt.
4. As the Secretary, GET the same file.</v>
      </c>
      <c r="D87" s="120" t="str">
        <v>1. Member: HTTP 403 "MSG355".
2. The Secretary's file has the line "Bản gỡ băng — ghi theo micro từng người", contains "Tôi đồng ý." with the speaker's name and does not contain the excluded sentence.
3. The audit log records one speech_clip.exported.</v>
      </c>
      <c r="E87" s="120" t="str">
        <v>1. Backend is running.
2. An InProgress Online or Hybrid meeting (captured per microphone); Secretary and Member on the roster.</v>
      </c>
      <c r="F87" s="121" t="str">
        <v>Pending</v>
      </c>
      <c r="G87" s="122" t="str"/>
      <c r="H87" s="121" t="str"/>
      <c r="I87" s="121" t="str"/>
      <c r="J87" s="122" t="str"/>
      <c r="K87" s="121" t="str"/>
      <c r="L87" s="121" t="str"/>
      <c r="M87" s="123" t="str"/>
      <c r="N87" s="121" t="str"/>
      <c r="O87" s="124" t="str"/>
      <c r="P87" s="125"/>
      <c r="Q87" s="112"/>
      <c r="R87" s="112"/>
      <c r="S87" s="112"/>
      <c r="T87" s="112"/>
      <c r="U87" s="112"/>
      <c r="V87" s="112"/>
      <c r="W87" s="112"/>
      <c r="X87" s="112"/>
      <c r="Y87" s="112"/>
    </row>
    <row r="88" ht="24" customHeight="1">
      <c r="A88" s="120" t="str">
        <v>GET /api/recordings/{id}/transcript</v>
      </c>
      <c r="B88" s="120"/>
      <c r="C88" s="120"/>
      <c r="D88" s="120"/>
      <c r="E88" s="120"/>
      <c r="F88" s="121"/>
      <c r="G88" s="122"/>
      <c r="H88" s="121"/>
      <c r="I88" s="121"/>
      <c r="J88" s="122"/>
      <c r="K88" s="121"/>
      <c r="L88" s="121"/>
      <c r="M88" s="123"/>
      <c r="N88" s="121"/>
      <c r="O88" s="124"/>
      <c r="P88" s="125"/>
      <c r="Q88" s="112"/>
      <c r="R88" s="112"/>
      <c r="S88" s="112"/>
      <c r="T88" s="112"/>
      <c r="U88" s="112"/>
      <c r="V88" s="112"/>
      <c r="W88" s="112"/>
      <c r="X88" s="112"/>
      <c r="Y88" s="112"/>
    </row>
    <row r="89" ht="167.5" customHeight="1">
      <c r="A89" s="120" t="str">
        <v>REC_API_IT46</v>
      </c>
      <c r="B89" s="120" t="str">
        <v>Verify only the Secretary gets the machine's speaker guess and a correction is audited.</v>
      </c>
      <c r="C89" s="120" t="str">
        <v>1. Give SPEAKER_00 a suggested person (the Chair) with score 0.91.
2. As the Secretary, then as the Member, GET /api/recordings/&lt;id&gt;/transcript.
3. As the Secretary, PUT /api/transcript-segments/&lt;first segment&gt; with { "text": "Kính thưa các đồng chí, hôm nay" }.</v>
      </c>
      <c r="D89" s="120" t="str">
        <v>1. The Secretary sees suggestedUserId, suggestedName and suggestionScore.
2. The Member sees all three as null.
3. The audit log records one transcript.segment_edited.</v>
      </c>
      <c r="E89" s="120" t="str">
        <v>1. Backend is running.
2. A recording with a completed transcript; Voice ID suggestion available.</v>
      </c>
      <c r="F89" s="121" t="str">
        <v>Pending</v>
      </c>
      <c r="G89" s="122" t="str"/>
      <c r="H89" s="121" t="str"/>
      <c r="I89" s="121" t="str"/>
      <c r="J89" s="122" t="str"/>
      <c r="K89" s="121" t="str"/>
      <c r="L89" s="121" t="str"/>
      <c r="M89" s="123" t="str"/>
      <c r="N89" s="121" t="str"/>
      <c r="O89" s="124" t="str"/>
      <c r="P89" s="125"/>
      <c r="Q89" s="112"/>
      <c r="R89" s="112"/>
      <c r="S89" s="112"/>
      <c r="T89" s="112"/>
      <c r="U89" s="112"/>
      <c r="V89" s="112"/>
      <c r="W89" s="112"/>
      <c r="X89" s="112"/>
      <c r="Y89" s="112"/>
    </row>
    <row r="90" ht="24" customHeight="1">
      <c r="A90" s="120" t="str">
        <v>GET /api/speech-clips/{id}/playback</v>
      </c>
      <c r="B90" s="120"/>
      <c r="C90" s="120"/>
      <c r="D90" s="120"/>
      <c r="E90" s="120"/>
      <c r="F90" s="121"/>
      <c r="G90" s="122"/>
      <c r="H90" s="121"/>
      <c r="I90" s="121"/>
      <c r="J90" s="122"/>
      <c r="K90" s="121"/>
      <c r="L90" s="121"/>
      <c r="M90" s="123"/>
      <c r="N90" s="121"/>
      <c r="O90" s="124"/>
      <c r="P90" s="125"/>
      <c r="Q90" s="112"/>
      <c r="R90" s="112"/>
      <c r="S90" s="112"/>
      <c r="T90" s="112"/>
      <c r="U90" s="112"/>
      <c r="V90" s="112"/>
      <c r="W90" s="112"/>
      <c r="X90" s="112"/>
      <c r="Y90" s="112"/>
    </row>
    <row r="91" ht="298.0" customHeight="1">
      <c r="A91" s="120" t="str">
        <v>REC_API_IT47</v>
      </c>
      <c r="B91" s="120" t="str">
        <v>Verify everyone who reads the transcript hears a sentence through a signed link.</v>
      </c>
      <c r="C91" s="120" t="str">
        <v>1. As the Member, send half a second of 16 kHz mono PCM WAV.
2. As the Chair, GET /api/meetings/&lt;id&gt;/speech-clips and read peaks.
3. GET /api/speech-clips/&lt;id&gt;/playback and open the url without signing in.
4. Open the url with its signature changed, the bare /audio path, and the url with /speech-clips/ replaced by /recordings/.
5. As an outsider, the organizer, and without signing in, GET the playback; GET playback for an unknown id.
6. Open the url after 3 hours.</v>
      </c>
      <c r="D91" s="120" t="str">
        <v>1. The line has one waveform byte per 100 ms: 0, 0, 180, 180, 180.
2. The url starts with /api/speech-clips/&lt;id&gt;/audio?expires= and returns the same audio/wav bytes.
3. Every altered url returns HTTP 404.
4. Outsider, organizer and unknown id: HTTP 404; not signed in: HTTP 401.
5. The expired url returns HTTP 404.</v>
      </c>
      <c r="E91" s="120" t="str">
        <v>1. Backend is running.
2. An InProgress Online or Hybrid meeting (captured per microphone); Chair and Member on the roster; an outsider and the organizer are not.</v>
      </c>
      <c r="F91" s="121" t="str">
        <v>Pending</v>
      </c>
      <c r="G91" s="122" t="str"/>
      <c r="H91" s="121" t="str"/>
      <c r="I91" s="121" t="str"/>
      <c r="J91" s="122" t="str"/>
      <c r="K91" s="121" t="str"/>
      <c r="L91" s="121" t="str"/>
      <c r="M91" s="123" t="str"/>
      <c r="N91" s="121" t="str"/>
      <c r="O91" s="124" t="str"/>
      <c r="P91" s="125"/>
      <c r="Q91" s="112"/>
      <c r="R91" s="112"/>
      <c r="S91" s="112"/>
      <c r="T91" s="112"/>
      <c r="U91" s="112"/>
      <c r="V91" s="112"/>
      <c r="W91" s="112"/>
      <c r="X91" s="112"/>
      <c r="Y91" s="112"/>
    </row>
    <row r="92" ht="109.5" customHeight="1">
      <c r="A92" s="120" t="str">
        <v>REC_API_IT48</v>
      </c>
      <c r="B92" s="120" t="str">
        <v>Verify a sentence taken out of the record is heard only by the Chair and the Secretary.</v>
      </c>
      <c r="C92" s="120" t="str">
        <v>1. As the Chair, take a Member's sentence out (reason Other).
2. As the Member, GET the speech clips and the sentence's playback.
3. As the Chair, do the same.</v>
      </c>
      <c r="D92" s="120" t="str">
        <v>1. Taking it out returns HTTP 200 "MSG351".
2. Member: hasAudio is false; playback returns HTTP 404.
3. Chair: hasAudio is true; playback returns HTTP 200.</v>
      </c>
      <c r="E92" s="120" t="str">
        <v>1. Backend is running.
2. An InProgress Online or Hybrid meeting (captured per microphone) with a stored sentence.</v>
      </c>
      <c r="F92" s="121" t="str">
        <v>Pending</v>
      </c>
      <c r="G92" s="122" t="str"/>
      <c r="H92" s="121" t="str"/>
      <c r="I92" s="121" t="str"/>
      <c r="J92" s="122" t="str"/>
      <c r="K92" s="121" t="str"/>
      <c r="L92" s="121" t="str"/>
      <c r="M92" s="123" t="str"/>
      <c r="N92" s="121" t="str"/>
      <c r="O92" s="124" t="str"/>
      <c r="P92" s="125"/>
      <c r="Q92" s="112"/>
      <c r="R92" s="112"/>
      <c r="S92" s="112"/>
      <c r="T92" s="112"/>
      <c r="U92" s="112"/>
      <c r="V92" s="112"/>
      <c r="W92" s="112"/>
      <c r="X92" s="112"/>
      <c r="Y92" s="112"/>
    </row>
    <row r="93" ht="80.5" customHeight="1">
      <c r="A93" s="120" t="str">
        <v>REC_API_IT49</v>
      </c>
      <c r="B93" s="120" t="str">
        <v>Verify a database outage while signing a link says so.</v>
      </c>
      <c r="C93" s="120" t="str">
        <v>1. Stop PostgreSQL (or make reading sentences fail).
2. As the Member, GET /api/speech-clips/&lt;id&gt;/playback.</v>
      </c>
      <c r="D93" s="120" t="str">
        <v>1. HTTP 500 with code "MSG297" ("Không tải được danh sách bản ghi.").</v>
      </c>
      <c r="E93" s="120" t="str">
        <v>1. Backend is running.
2. An InProgress Online or Hybrid meeting (captured per microphone) with a stored sentence.</v>
      </c>
      <c r="F93" s="121" t="str">
        <v>Pending</v>
      </c>
      <c r="G93" s="122" t="str"/>
      <c r="H93" s="121" t="str"/>
      <c r="I93" s="121" t="str"/>
      <c r="J93" s="122" t="str"/>
      <c r="K93" s="121" t="str"/>
      <c r="L93" s="121" t="str"/>
      <c r="M93" s="123" t="str"/>
      <c r="N93" s="121" t="str"/>
      <c r="O93" s="124" t="str"/>
      <c r="P93" s="125"/>
      <c r="Q93" s="112"/>
      <c r="R93" s="112"/>
      <c r="S93" s="112"/>
      <c r="T93" s="112"/>
      <c r="U93" s="112"/>
      <c r="V93" s="112"/>
      <c r="W93" s="112"/>
      <c r="X93" s="112"/>
      <c r="Y93" s="112"/>
    </row>
    <row r="94" ht="24" customHeight="1">
      <c r="A94" s="120" t="str">
        <v>PUT /api/meetings/{id}/speech-clips/{clientId}</v>
      </c>
      <c r="B94" s="120"/>
      <c r="C94" s="120"/>
      <c r="D94" s="120"/>
      <c r="E94" s="120"/>
      <c r="F94" s="121"/>
      <c r="G94" s="122"/>
      <c r="H94" s="121"/>
      <c r="I94" s="121"/>
      <c r="J94" s="122"/>
      <c r="K94" s="121"/>
      <c r="L94" s="121"/>
      <c r="M94" s="123"/>
      <c r="N94" s="121"/>
      <c r="O94" s="124"/>
      <c r="P94" s="125"/>
      <c r="Q94" s="112"/>
      <c r="R94" s="112"/>
      <c r="S94" s="112"/>
      <c r="T94" s="112"/>
      <c r="U94" s="112"/>
      <c r="V94" s="112"/>
      <c r="W94" s="112"/>
      <c r="X94" s="112"/>
      <c r="Y94" s="112"/>
    </row>
    <row r="95" ht="80.5" customHeight="1">
      <c r="A95" s="120" t="str">
        <v>REC_API_IT50</v>
      </c>
      <c r="B95" s="120" t="str">
        <v>Verify a sentence the database could not store leaves no audio behind.</v>
      </c>
      <c r="C95" s="120" t="str">
        <v>1. Make saving fail (stop PostgreSQL during the save).
2. As the Member, send a sentence.</v>
      </c>
      <c r="D95" s="120" t="str">
        <v>1. HTTP 503 with code "MSG304" ("Không lưu được thay đổi bản gỡ băng. Vui lòng thử lại.").
2. No audio file is left in storage.</v>
      </c>
      <c r="E95" s="120" t="str">
        <v>1. Backend is running.
2. An InProgress Online or Hybrid meeting (captured per microphone); speech worker running.</v>
      </c>
      <c r="F95" s="121" t="str">
        <v>Pending</v>
      </c>
      <c r="G95" s="122" t="str"/>
      <c r="H95" s="121" t="str"/>
      <c r="I95" s="121" t="str"/>
      <c r="J95" s="122" t="str"/>
      <c r="K95" s="121" t="str"/>
      <c r="L95" s="121" t="str"/>
      <c r="M95" s="123" t="str"/>
      <c r="N95" s="121" t="str"/>
      <c r="O95" s="124" t="str"/>
      <c r="P95" s="125"/>
      <c r="Q95" s="112"/>
      <c r="R95" s="112"/>
      <c r="S95" s="112"/>
      <c r="T95" s="112"/>
      <c r="U95" s="112"/>
      <c r="V95" s="112"/>
      <c r="W95" s="112"/>
      <c r="X95" s="112"/>
      <c r="Y95" s="112"/>
    </row>
    <row r="96" ht="24" customHeight="1">
      <c r="A96" s="120" t="str">
        <v>DELETE /api/speech-clips/{id}</v>
      </c>
      <c r="B96" s="120"/>
      <c r="C96" s="120"/>
      <c r="D96" s="120"/>
      <c r="E96" s="120"/>
      <c r="F96" s="121"/>
      <c r="G96" s="122"/>
      <c r="H96" s="121"/>
      <c r="I96" s="121"/>
      <c r="J96" s="122"/>
      <c r="K96" s="121"/>
      <c r="L96" s="121"/>
      <c r="M96" s="123"/>
      <c r="N96" s="121"/>
      <c r="O96" s="124"/>
      <c r="P96" s="125"/>
      <c r="Q96" s="112"/>
      <c r="R96" s="112"/>
      <c r="S96" s="112"/>
      <c r="T96" s="112"/>
      <c r="U96" s="112"/>
      <c r="V96" s="112"/>
      <c r="W96" s="112"/>
      <c r="X96" s="112"/>
      <c r="Y96" s="112"/>
    </row>
    <row r="97" ht="109.5" customHeight="1">
      <c r="A97" s="120" t="str">
        <v>REC_API_IT51</v>
      </c>
      <c r="B97" s="120" t="str">
        <v>Verify deleting a sentence, or its retention running out, erases its audio.</v>
      </c>
      <c r="C97" s="120" t="str">
        <v>1. As the Member, store two sentences.
2. DELETE /api/speech-clips/&lt;first&gt;.
3. Make the second 181 days old and run the retention sweep.</v>
      </c>
      <c r="D97" s="120" t="str">
        <v>1. Deleting returns HTTP 200 "MSG322" ("Đã xoá câu nói."); its audio file is erased, the other stays.
2. After the sweep, the expired sentence and its audio are gone.</v>
      </c>
      <c r="E97" s="120" t="str">
        <v>1. Backend is running.
2. An InProgress Online or Hybrid meeting (captured per microphone); retention 180 days.</v>
      </c>
      <c r="F97" s="121" t="str">
        <v>Pending</v>
      </c>
      <c r="G97" s="122" t="str"/>
      <c r="H97" s="121" t="str"/>
      <c r="I97" s="121" t="str"/>
      <c r="J97" s="122" t="str"/>
      <c r="K97" s="121" t="str"/>
      <c r="L97" s="121" t="str"/>
      <c r="M97" s="123" t="str"/>
      <c r="N97" s="121" t="str"/>
      <c r="O97" s="124" t="str"/>
      <c r="P97" s="125"/>
      <c r="Q97" s="112"/>
      <c r="R97" s="112"/>
      <c r="S97" s="112"/>
      <c r="T97" s="112"/>
      <c r="U97" s="112"/>
      <c r="V97" s="112"/>
      <c r="W97" s="112"/>
      <c r="X97" s="112"/>
      <c r="Y97" s="112"/>
    </row>
    <row r="98" ht="24" customHeight="1">
      <c r="A98" s="120" t="str">
        <v>GET /api/meetings/{id}/speech-clips</v>
      </c>
      <c r="B98" s="120"/>
      <c r="C98" s="120"/>
      <c r="D98" s="120"/>
      <c r="E98" s="120"/>
      <c r="F98" s="121"/>
      <c r="G98" s="122"/>
      <c r="H98" s="121"/>
      <c r="I98" s="121"/>
      <c r="J98" s="122"/>
      <c r="K98" s="121"/>
      <c r="L98" s="121"/>
      <c r="M98" s="123"/>
      <c r="N98" s="121"/>
      <c r="O98" s="124"/>
      <c r="P98" s="125"/>
      <c r="Q98" s="112"/>
      <c r="R98" s="112"/>
      <c r="S98" s="112"/>
      <c r="T98" s="112"/>
      <c r="U98" s="112"/>
      <c r="V98" s="112"/>
      <c r="W98" s="112"/>
      <c r="X98" s="112"/>
      <c r="Y98" s="112"/>
    </row>
    <row r="99" ht="182.0" customHeight="1">
      <c r="A99" s="120" t="str">
        <v>REC_API_IT52</v>
      </c>
      <c r="B99" s="120" t="str">
        <v>Verify a quiet copy of a neighbour's sentence is marked for everyone and kept.</v>
      </c>
      <c r="C99" s="120" t="str">
        <v>1. As the Member, send a sentence that is a quieter copy (about 14 dB lower) of what the Chair said, 300 ms later on its clock; GET the list.
2. A second later, as the Chair, send the original sentence.
3. As the Member, GET the list with ?since=&lt;readAt of the first read&gt;, then the whole list.</v>
      </c>
      <c r="D99" s="120" t="str">
        <v>1. Before the Chair's sentence arrives the Member's line has leak null.
2. The ?since read returns both lines: the Member's line is marked leak with the Chair's clipId, speakerName and whole true; the Chair's line has leak null.
3. Both lines stay in the list: the copy is marked, not hidden.</v>
      </c>
      <c r="E99" s="120" t="str">
        <v>1. Backend is running.
2. An InProgress Online or Hybrid meeting (captured per microphone); Chair and Member on the roster; speech worker running.</v>
      </c>
      <c r="F99" s="121" t="str">
        <v>Pending</v>
      </c>
      <c r="G99" s="122" t="str"/>
      <c r="H99" s="121" t="str"/>
      <c r="I99" s="121" t="str"/>
      <c r="J99" s="122" t="str"/>
      <c r="K99" s="121" t="str"/>
      <c r="L99" s="121" t="str"/>
      <c r="M99" s="123" t="str"/>
      <c r="N99" s="121" t="str"/>
      <c r="O99" s="124" t="str"/>
      <c r="P99" s="125"/>
      <c r="Q99" s="112"/>
      <c r="R99" s="112"/>
      <c r="S99" s="112"/>
      <c r="T99" s="112"/>
      <c r="U99" s="112"/>
      <c r="V99" s="112"/>
      <c r="W99" s="112"/>
      <c r="X99" s="112"/>
      <c r="Y99" s="112"/>
    </row>
    <row r="100" ht="24" customHeight="1">
      <c r="A100" s="120" t="str">
        <v>PUT /api/speech-clips/{id}/exclusion</v>
      </c>
      <c r="B100" s="120"/>
      <c r="C100" s="120"/>
      <c r="D100" s="120"/>
      <c r="E100" s="120"/>
      <c r="F100" s="121"/>
      <c r="G100" s="122"/>
      <c r="H100" s="121"/>
      <c r="I100" s="121"/>
      <c r="J100" s="122"/>
      <c r="K100" s="121"/>
      <c r="L100" s="121"/>
      <c r="M100" s="123"/>
      <c r="N100" s="121"/>
      <c r="O100" s="124"/>
      <c r="P100" s="125"/>
      <c r="Q100" s="112"/>
      <c r="R100" s="112"/>
      <c r="S100" s="112"/>
      <c r="T100" s="112"/>
      <c r="U100" s="112"/>
      <c r="V100" s="112"/>
      <c r="W100" s="112"/>
      <c r="X100" s="112"/>
      <c r="Y100" s="112"/>
    </row>
    <row r="101" ht="254.5" customHeight="1">
      <c r="A101" s="120" t="str">
        <v>REC_API_IT53</v>
      </c>
      <c r="B101" s="120" t="str">
        <v>Verify the Chair or a Secretary takes a sentence out of the record and puts it back.</v>
      </c>
      <c r="C101" s="120" t="str">
        <v>1. As the Member, GET the list (canExclude) and PUT /api/speech-clips/&lt;id&gt;/exclusion { "excluded": true, "reason": "Leak" }.
2. As the Chair, PUT with reason "Rò rỉ", then with "Leak" twice.
3. As the Chair and as the Member, GET the list.
4. As the Secretary, PUT { "excluded": false }.
5. PUT for an unknown id.</v>
      </c>
      <c r="D101" s="120" t="str">
        <v>1. Member: canExclude is false; HTTP 403 "MSG353" ("Chỉ Chủ tọa hoặc Thư ký được loại câu khỏi bản ghi.").
2. Wrong reason: HTTP 400 "MSG354" ("Lý do loại câu không hợp lệ."). Valid: HTTP 200 "MSG351" ("Đã loại câu khỏi bản ghi."); the second tap changes nothing.
3. The Chair sees the words, the reason and who took it out; the Member sees an excluded line with empty text and no name.
4. Putting back returns HTTP 200 "MSG352" ("Đã đưa câu trở lại bản ghi."); the audit log has speech_clip.excluded then speech_clip.restored.
5. Unknown id: HTTP 404.</v>
      </c>
      <c r="E101" s="120" t="str">
        <v>1. Backend is running.
2. An InProgress Online or Hybrid meeting (captured per microphone) with a stored sentence; Chair, Secretary and Member on the roster.</v>
      </c>
      <c r="F101" s="121" t="str">
        <v>Pending</v>
      </c>
      <c r="G101" s="122" t="str"/>
      <c r="H101" s="121" t="str"/>
      <c r="I101" s="121" t="str"/>
      <c r="J101" s="122" t="str"/>
      <c r="K101" s="121" t="str"/>
      <c r="L101" s="121" t="str"/>
      <c r="M101" s="123" t="str"/>
      <c r="N101" s="121" t="str"/>
      <c r="O101" s="124" t="str"/>
      <c r="P101" s="125"/>
      <c r="Q101" s="112"/>
      <c r="R101" s="112"/>
      <c r="S101" s="112"/>
      <c r="T101" s="112"/>
      <c r="U101" s="112"/>
      <c r="V101" s="112"/>
      <c r="W101" s="112"/>
      <c r="X101" s="112"/>
      <c r="Y101" s="112"/>
    </row>
    <row r="102" ht="24" customHeight="1">
      <c r="A102" s="120" t="str">
        <v>PUT /api/meetings/{id}/speech-clips/{clientId}</v>
      </c>
      <c r="B102" s="120"/>
      <c r="C102" s="120"/>
      <c r="D102" s="120"/>
      <c r="E102" s="120"/>
      <c r="F102" s="121"/>
      <c r="G102" s="122"/>
      <c r="H102" s="121"/>
      <c r="I102" s="121"/>
      <c r="J102" s="122"/>
      <c r="K102" s="121"/>
      <c r="L102" s="121"/>
      <c r="M102" s="123"/>
      <c r="N102" s="121"/>
      <c r="O102" s="124"/>
      <c r="P102" s="125"/>
      <c r="Q102" s="112"/>
      <c r="R102" s="112"/>
      <c r="S102" s="112"/>
      <c r="T102" s="112"/>
      <c r="U102" s="112"/>
      <c r="V102" s="112"/>
      <c r="W102" s="112"/>
      <c r="X102" s="112"/>
      <c r="Y102" s="112"/>
    </row>
    <row r="103" ht="167.5" customHeight="1">
      <c r="A103" s="120" t="str">
        <v>REC_API_IT54</v>
      </c>
      <c r="B103" s="120" t="str">
        <v>Verify a sentence kept on the device still arrives up to a week after the meeting.</v>
      </c>
      <c r="C103" s="120" t="str">
        <v>1. End the meeting one day ago.
2. As the Member, GET the list (canCapture), then send a sentence said 5 minutes before the end.
3. Send a sentence whose startedAt is after the meeting ended.
4. Move the end beyond the 7-day window and send again.</v>
      </c>
      <c r="D103" s="120" t="str">
        <v>1. canCapture is false, yet the late sentence returns HTTP 200 "MSG318" with its own startedAt.
2. A sentence dated after the end is saved as ending when the meeting ended.
3. Past 7 days: HTTP 409 "MSG320".</v>
      </c>
      <c r="E103" s="120" t="str">
        <v>1. Backend is running.
2. An Ended Online meeting with the Member on its roster; speech worker running.</v>
      </c>
      <c r="F103" s="121" t="str">
        <v>Pending</v>
      </c>
      <c r="G103" s="122" t="str"/>
      <c r="H103" s="121" t="str"/>
      <c r="I103" s="121" t="str"/>
      <c r="J103" s="122" t="str"/>
      <c r="K103" s="121" t="str"/>
      <c r="L103" s="121" t="str"/>
      <c r="M103" s="123" t="str"/>
      <c r="N103" s="121" t="str"/>
      <c r="O103" s="124" t="str"/>
      <c r="P103" s="125"/>
      <c r="Q103" s="112"/>
      <c r="R103" s="112"/>
      <c r="S103" s="112"/>
      <c r="T103" s="112"/>
      <c r="U103" s="112"/>
      <c r="V103" s="112"/>
      <c r="W103" s="112"/>
      <c r="X103" s="112"/>
      <c r="Y103" s="112"/>
    </row>
    <row r="104" ht="24" customHeight="1">
      <c r="A104" s="120" t="str">
        <v>GET /api/me/voice/samples/{id}/audio</v>
      </c>
      <c r="B104" s="120"/>
      <c r="C104" s="120"/>
      <c r="D104" s="120"/>
      <c r="E104" s="120"/>
      <c r="F104" s="121"/>
      <c r="G104" s="122"/>
      <c r="H104" s="121"/>
      <c r="I104" s="121"/>
      <c r="J104" s="122"/>
      <c r="K104" s="121"/>
      <c r="L104" s="121"/>
      <c r="M104" s="123"/>
      <c r="N104" s="121"/>
      <c r="O104" s="124"/>
      <c r="P104" s="125"/>
      <c r="Q104" s="112"/>
      <c r="R104" s="112"/>
      <c r="S104" s="112"/>
      <c r="T104" s="112"/>
      <c r="U104" s="112"/>
      <c r="V104" s="112"/>
      <c r="W104" s="112"/>
      <c r="X104" s="112"/>
      <c r="Y104" s="112"/>
    </row>
    <row r="105" ht="196.5" customHeight="1">
      <c r="A105" s="120" t="str">
        <v>REC_API_IT55</v>
      </c>
      <c r="B105" s="120" t="str">
        <v>Verify a sample recording is kept only under the newer notice and only its owner hears it.</v>
      </c>
      <c r="C105" s="120" t="str">
        <v>1. With consent to notice 1.0, POST /api/me/voice/samples and GET its /audio.
2. POST /api/me/voice/consent with the current noticeVersion.
3. POST another sample and GET /api/me/voice/samples/&lt;id&gt;/audio.
4. As another user, then without signing in, GET the same /audio.</v>
      </c>
      <c r="D105" s="120" t="str">
        <v>1. The old sample returns HTTP 201 "MSG307" with playable false; its audio returns HTTP 404.
2. Renewing returns HTTP 200 "MSG305" with the current noticeVersion; the existing sample stays and the same consent row is renewed (audited).
3. The new sample is playable; its audio returns HTTP 200 audio/webm with Cache-Control no-store; the stored copy is encrypted.
4. Another user: HTTP 404. Not signed in: HTTP 401.</v>
      </c>
      <c r="E105" s="120" t="str">
        <v>1. Backend is running.
2. Signed in as thanhvien@trustcabinet.local, who agreed to the earlier notice 1.0; speech worker running.</v>
      </c>
      <c r="F105" s="121" t="str">
        <v>Pending</v>
      </c>
      <c r="G105" s="122" t="str"/>
      <c r="H105" s="121" t="str"/>
      <c r="I105" s="121" t="str"/>
      <c r="J105" s="122" t="str"/>
      <c r="K105" s="121" t="str"/>
      <c r="L105" s="121" t="str"/>
      <c r="M105" s="123" t="str"/>
      <c r="N105" s="121" t="str"/>
      <c r="O105" s="124" t="str"/>
      <c r="P105" s="125"/>
      <c r="Q105" s="112"/>
      <c r="R105" s="112"/>
      <c r="S105" s="112"/>
      <c r="T105" s="112"/>
      <c r="U105" s="112"/>
      <c r="V105" s="112"/>
      <c r="W105" s="112"/>
      <c r="X105" s="112"/>
      <c r="Y105" s="112"/>
    </row>
  </sheetData>
  <mergeCells count="43">
    <mergeCell ref="B2:E2"/>
    <mergeCell ref="B3:E3"/>
    <mergeCell ref="B4:E4"/>
    <mergeCell ref="A11:O11"/>
    <mergeCell ref="A17:O17"/>
    <mergeCell ref="A19:O19"/>
    <mergeCell ref="A22:O22"/>
    <mergeCell ref="A24:O24"/>
    <mergeCell ref="A27:O27"/>
    <mergeCell ref="A29:O29"/>
    <mergeCell ref="A31:O31"/>
    <mergeCell ref="A33:O33"/>
    <mergeCell ref="A35:O35"/>
    <mergeCell ref="A37:O37"/>
    <mergeCell ref="A43:O43"/>
    <mergeCell ref="A45:O45"/>
    <mergeCell ref="A47:O47"/>
    <mergeCell ref="A49:O49"/>
    <mergeCell ref="A51:O51"/>
    <mergeCell ref="A53:O53"/>
    <mergeCell ref="A55:O55"/>
    <mergeCell ref="A57:O57"/>
    <mergeCell ref="A59:O59"/>
    <mergeCell ref="A61:O61"/>
    <mergeCell ref="A63:O63"/>
    <mergeCell ref="A65:O65"/>
    <mergeCell ref="A68:O68"/>
    <mergeCell ref="A70:O70"/>
    <mergeCell ref="A72:O72"/>
    <mergeCell ref="A75:O75"/>
    <mergeCell ref="A78:O78"/>
    <mergeCell ref="A80:O80"/>
    <mergeCell ref="A82:O82"/>
    <mergeCell ref="A84:O84"/>
    <mergeCell ref="A86:O86"/>
    <mergeCell ref="A88:O88"/>
    <mergeCell ref="A90:O90"/>
    <mergeCell ref="A94:O94"/>
    <mergeCell ref="A96:O96"/>
    <mergeCell ref="A98:O98"/>
    <mergeCell ref="A100:O100"/>
    <mergeCell ref="A102:O102"/>
    <mergeCell ref="A104:O104"/>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8.13"/>
    <col customWidth="1" hidden="1" min="16" max="16" width="7.63"/>
    <col customWidth="1" min="17" max="25" width="9.0"/>
  </cols>
  <sheetData>
    <row r="1" ht="12.75" customHeight="1">
      <c r="A1" s="107"/>
      <c r="B1" s="107"/>
      <c r="C1" s="107"/>
      <c r="D1" s="107"/>
      <c r="E1" s="107"/>
      <c r="F1" s="107"/>
      <c r="G1" s="107"/>
      <c r="H1" s="107"/>
      <c r="I1" s="107"/>
      <c r="J1" s="107"/>
      <c r="K1" s="107"/>
      <c r="L1" s="107"/>
      <c r="M1" s="107"/>
      <c r="N1" s="107"/>
      <c r="O1" s="107"/>
      <c r="P1" s="50"/>
      <c r="Q1" s="50"/>
      <c r="R1" s="50"/>
      <c r="S1" s="50"/>
      <c r="T1" s="50"/>
      <c r="U1" s="50"/>
      <c r="V1" s="50"/>
      <c r="W1" s="50"/>
      <c r="X1" s="50"/>
      <c r="Y1" s="108"/>
    </row>
    <row r="2" ht="15.0" customHeight="1">
      <c r="A2" s="109" t="str">
        <v>Feature</v>
      </c>
      <c r="B2" s="110" t="str">
        <v>Users</v>
      </c>
      <c r="C2" s="5"/>
      <c r="D2" s="5"/>
      <c r="E2" s="111"/>
      <c r="F2" s="107"/>
      <c r="G2" s="107"/>
      <c r="H2" s="107"/>
      <c r="I2" s="107"/>
      <c r="J2" s="107"/>
      <c r="K2" s="107"/>
      <c r="L2" s="107"/>
      <c r="M2" s="107"/>
      <c r="N2" s="107"/>
      <c r="O2" s="107"/>
      <c r="P2" s="112" t="str">
        <v>Passed</v>
      </c>
      <c r="Q2" s="112"/>
      <c r="R2" s="112"/>
      <c r="S2" s="112"/>
      <c r="T2" s="112"/>
      <c r="U2" s="112"/>
      <c r="V2" s="112"/>
      <c r="W2" s="112"/>
      <c r="X2" s="112"/>
      <c r="Y2" s="113"/>
    </row>
    <row r="3" ht="42" customHeight="1">
      <c r="A3" s="109" t="str">
        <v>Test requirement</v>
      </c>
      <c r="B3" s="110" t="str">
        <v>API tests for the users endpoints</v>
      </c>
      <c r="C3" s="5"/>
      <c r="D3" s="5"/>
      <c r="E3" s="111"/>
      <c r="F3" s="107"/>
      <c r="G3" s="107"/>
      <c r="H3" s="107"/>
      <c r="I3" s="107"/>
      <c r="J3" s="107"/>
      <c r="K3" s="107"/>
      <c r="L3" s="107"/>
      <c r="M3" s="107"/>
      <c r="N3" s="107"/>
      <c r="O3" s="107"/>
      <c r="P3" s="112" t="str">
        <v>Failed</v>
      </c>
      <c r="Q3" s="112"/>
      <c r="R3" s="112"/>
      <c r="S3" s="112"/>
      <c r="T3" s="112"/>
      <c r="U3" s="112"/>
      <c r="V3" s="112"/>
      <c r="W3" s="112"/>
      <c r="X3" s="112"/>
      <c r="Y3" s="113"/>
    </row>
    <row r="4" ht="18.0" customHeight="1">
      <c r="A4" s="109" t="str">
        <v>Number of TCs</v>
      </c>
      <c r="B4" s="110" t="n">
        <v>32</v>
      </c>
      <c r="C4" s="5"/>
      <c r="D4" s="5"/>
      <c r="E4" s="111"/>
      <c r="F4" s="107"/>
      <c r="G4" s="107"/>
      <c r="H4" s="107"/>
      <c r="I4" s="107"/>
      <c r="J4" s="107"/>
      <c r="K4" s="107"/>
      <c r="L4" s="107"/>
      <c r="M4" s="107"/>
      <c r="N4" s="107"/>
      <c r="O4" s="107"/>
      <c r="P4" s="112" t="str">
        <v>Pending</v>
      </c>
      <c r="Q4" s="112"/>
      <c r="R4" s="112"/>
      <c r="S4" s="112"/>
      <c r="T4" s="112"/>
      <c r="U4" s="112"/>
      <c r="V4" s="112"/>
      <c r="W4" s="112"/>
      <c r="X4" s="112"/>
      <c r="Y4" s="113"/>
    </row>
    <row r="5" ht="19.5" customHeight="1">
      <c r="A5" s="114" t="str">
        <v>Testing Round</v>
      </c>
      <c r="B5" s="114" t="str">
        <v>Passed</v>
      </c>
      <c r="C5" s="114" t="str">
        <v>Failed</v>
      </c>
      <c r="D5" s="114" t="str">
        <v>Pending</v>
      </c>
      <c r="E5" s="114" t="str">
        <v>N/A</v>
      </c>
      <c r="F5" s="107"/>
      <c r="G5" s="107"/>
      <c r="H5" s="107"/>
      <c r="I5" s="107"/>
      <c r="J5" s="107"/>
      <c r="K5" s="107"/>
      <c r="L5" s="107"/>
      <c r="M5" s="107"/>
      <c r="N5" s="107"/>
      <c r="O5" s="107"/>
      <c r="P5" s="112" t="str">
        <v>Skipped</v>
      </c>
      <c r="Q5" s="112"/>
      <c r="R5" s="112"/>
      <c r="S5" s="112"/>
      <c r="T5" s="112"/>
      <c r="U5" s="112"/>
      <c r="V5" s="112"/>
      <c r="W5" s="112"/>
      <c r="X5" s="112"/>
      <c r="Y5" s="113"/>
    </row>
    <row r="6" ht="15.0" customHeight="1">
      <c r="A6" s="115" t="str">
        <v>Round 1</v>
      </c>
      <c r="B6" s="114" t="n">
        <f>COUNTIF(F12:F49,"Passed")</f>
        <v>0</v>
      </c>
      <c r="C6" s="114" t="n">
        <f>COUNTIF(F12:F49,"Failed")</f>
        <v>0</v>
      </c>
      <c r="D6" s="114" t="n">
        <f>B4-B6-C6-E6</f>
        <v>32</v>
      </c>
      <c r="E6" s="114" t="n">
        <f>COUNTIF(F12:F49,"Skipped")</f>
        <v>0</v>
      </c>
      <c r="F6" s="107"/>
      <c r="G6" s="107"/>
      <c r="H6" s="107"/>
      <c r="I6" s="107"/>
      <c r="J6" s="107"/>
      <c r="K6" s="107"/>
      <c r="L6" s="107"/>
      <c r="M6" s="107"/>
      <c r="N6" s="107"/>
      <c r="O6" s="107"/>
      <c r="P6" s="112"/>
      <c r="Q6" s="112"/>
      <c r="R6" s="112"/>
      <c r="S6" s="112"/>
      <c r="T6" s="112"/>
      <c r="U6" s="112"/>
      <c r="V6" s="112"/>
      <c r="W6" s="112"/>
      <c r="X6" s="112"/>
      <c r="Y6" s="113"/>
    </row>
    <row r="7" ht="15.0" customHeight="1">
      <c r="A7" s="115" t="str">
        <v>Round 2</v>
      </c>
      <c r="B7" s="114" t="n">
        <f>COUNTIF(I12:I49,"Passed")</f>
        <v>0</v>
      </c>
      <c r="C7" s="114" t="n">
        <f>COUNTIF(I12:I49,"Failed")</f>
        <v>0</v>
      </c>
      <c r="D7" s="114" t="n">
        <f>B4-B7-C7-E7</f>
        <v>32</v>
      </c>
      <c r="E7" s="114" t="n">
        <f>COUNTIF(I12:I49,"Skipped")</f>
        <v>0</v>
      </c>
      <c r="F7" s="107"/>
      <c r="G7" s="107"/>
      <c r="H7" s="107"/>
      <c r="I7" s="107"/>
      <c r="J7" s="107"/>
      <c r="K7" s="107"/>
      <c r="L7" s="107"/>
      <c r="M7" s="107"/>
      <c r="N7" s="107"/>
      <c r="O7" s="107"/>
      <c r="P7" s="112"/>
      <c r="Q7" s="112"/>
      <c r="R7" s="112"/>
      <c r="S7" s="112"/>
      <c r="T7" s="112"/>
      <c r="U7" s="112"/>
      <c r="V7" s="112"/>
      <c r="W7" s="112"/>
      <c r="X7" s="112"/>
      <c r="Y7" s="113"/>
    </row>
    <row r="8" ht="15.0" customHeight="1">
      <c r="A8" s="115" t="str">
        <v>Round 3</v>
      </c>
      <c r="B8" s="114" t="n">
        <f>COUNTIF(L12:L49,"Passed")</f>
        <v>0</v>
      </c>
      <c r="C8" s="114" t="n">
        <f>COUNTIF(L12:L49,"Failed")</f>
        <v>0</v>
      </c>
      <c r="D8" s="114" t="n">
        <f>B4-B8-C8-E8</f>
        <v>32</v>
      </c>
      <c r="E8" s="114" t="n">
        <f>COUNTIF(L12:L49,"Skipped")</f>
        <v>0</v>
      </c>
      <c r="F8" s="107"/>
      <c r="G8" s="107"/>
      <c r="H8" s="107"/>
      <c r="I8" s="107"/>
      <c r="J8" s="107"/>
      <c r="K8" s="107"/>
      <c r="L8" s="107"/>
      <c r="M8" s="107"/>
      <c r="N8" s="107"/>
      <c r="O8" s="107"/>
      <c r="P8" s="112"/>
      <c r="Q8" s="112"/>
      <c r="R8" s="112"/>
      <c r="S8" s="112"/>
      <c r="T8" s="112"/>
      <c r="U8" s="112"/>
      <c r="V8" s="112"/>
      <c r="W8" s="112"/>
      <c r="X8" s="112"/>
      <c r="Y8" s="113"/>
    </row>
    <row r="9" ht="15.0" customHeight="1">
      <c r="A9" s="107"/>
      <c r="B9" s="107"/>
      <c r="C9" s="107"/>
      <c r="D9" s="107"/>
      <c r="E9" s="107"/>
      <c r="F9" s="107"/>
      <c r="G9" s="107"/>
      <c r="H9" s="107"/>
      <c r="I9" s="107"/>
      <c r="J9" s="107"/>
      <c r="K9" s="107"/>
      <c r="L9" s="107"/>
      <c r="M9" s="107"/>
      <c r="N9" s="107"/>
      <c r="O9" s="107"/>
      <c r="P9" s="112"/>
      <c r="Q9" s="112"/>
      <c r="R9" s="112"/>
      <c r="S9" s="112"/>
      <c r="T9" s="112"/>
      <c r="U9" s="112"/>
      <c r="V9" s="112"/>
      <c r="W9" s="112"/>
      <c r="X9" s="112"/>
      <c r="Y9" s="113"/>
    </row>
    <row r="10">
      <c r="A10" s="116" t="str">
        <v>Test Case ID</v>
      </c>
      <c r="B10" s="116" t="str">
        <v>Test Case Description</v>
      </c>
      <c r="C10" s="116" t="str">
        <v>Test Case Procedure</v>
      </c>
      <c r="D10" s="116" t="str">
        <v>Expected Results</v>
      </c>
      <c r="E10" s="116" t="str">
        <v>Pre-conditions</v>
      </c>
      <c r="F10" s="116" t="str">
        <v>Round 1</v>
      </c>
      <c r="G10" s="116" t="str">
        <v>Test date</v>
      </c>
      <c r="H10" s="116" t="str">
        <v>Tester</v>
      </c>
      <c r="I10" s="116" t="str">
        <v>Round 2</v>
      </c>
      <c r="J10" s="116" t="str">
        <v>Test date</v>
      </c>
      <c r="K10" s="116" t="str">
        <v>Tester</v>
      </c>
      <c r="L10" s="116" t="str">
        <v>Round 3</v>
      </c>
      <c r="M10" s="116" t="str">
        <v>Test date</v>
      </c>
      <c r="N10" s="116" t="str">
        <v>Tester</v>
      </c>
      <c r="O10" s="116" t="str">
        <v>Note</v>
      </c>
      <c r="P10" s="117"/>
      <c r="Q10" s="112"/>
      <c r="R10" s="112"/>
      <c r="S10" s="112"/>
      <c r="T10" s="112"/>
      <c r="U10" s="112"/>
      <c r="V10" s="112"/>
      <c r="W10" s="112"/>
      <c r="X10" s="112"/>
      <c r="Y10" s="112"/>
    </row>
    <row r="11" ht="24" customHeight="1">
      <c r="A11" s="120" t="str">
        <v>GET /api/users</v>
      </c>
      <c r="B11" s="120"/>
      <c r="C11" s="120"/>
      <c r="D11" s="120"/>
      <c r="E11" s="120"/>
      <c r="F11" s="121"/>
      <c r="G11" s="122"/>
      <c r="H11" s="121"/>
      <c r="I11" s="121"/>
      <c r="J11" s="122"/>
      <c r="K11" s="121"/>
      <c r="L11" s="121"/>
      <c r="M11" s="123"/>
      <c r="N11" s="121"/>
      <c r="O11" s="124"/>
      <c r="P11" s="125"/>
      <c r="Q11" s="112"/>
      <c r="R11" s="112"/>
      <c r="S11" s="112"/>
      <c r="T11" s="112"/>
      <c r="U11" s="112"/>
      <c r="V11" s="112"/>
      <c r="W11" s="112"/>
      <c r="X11" s="112"/>
      <c r="Y11" s="112"/>
    </row>
    <row r="12" ht="138.5" customHeight="1">
      <c r="A12" s="120" t="str">
        <v>USER_API_IT01</v>
      </c>
      <c r="B12" s="120" t="str">
        <v>Verify GET /api/users returns every account sorted by name, without secrets.</v>
      </c>
      <c r="C12" s="120" t="str">
        <v>1. Send GET request to /api/users.
2. Request headers: Authorization: Bearer &lt;access token of quantri@trustcabinet.local&gt; (Admin, AdminUsers).
3. Query parameters: None.
4. Request body: None (GET request).</v>
      </c>
      <c r="D12" s="120" t="str">
        <v>1. HTTP 200 OK response.
2. Response JSON body is a list of accounts sorted by full name.
3. Each item has id, fullName, email, roleId, roleName and isActive; for thuky@trustcabinet.local roleName is "Thư ký".
4. The body contains no passwordHash, googleSubjectId or old role field.</v>
      </c>
      <c r="E12" s="120" t="str">
        <v>1. Backend is running.
2. Seeded accounts exist (quantri, thuky, chutoa, thanhvien @trustcabinet.local).
3. Signed in as quantri@trustcabinet.local, whose role has AdminUsers.</v>
      </c>
      <c r="F12" s="121" t="str">
        <v>Pending</v>
      </c>
      <c r="G12" s="122" t="str"/>
      <c r="H12" s="121" t="str"/>
      <c r="I12" s="121" t="str"/>
      <c r="J12" s="122" t="str"/>
      <c r="K12" s="121" t="str"/>
      <c r="L12" s="121" t="str"/>
      <c r="M12" s="123" t="str"/>
      <c r="N12" s="121" t="str"/>
      <c r="O12" s="124" t="str"/>
      <c r="P12" s="125"/>
      <c r="Q12" s="112"/>
      <c r="R12" s="112"/>
      <c r="S12" s="112"/>
      <c r="T12" s="112"/>
      <c r="U12" s="112"/>
      <c r="V12" s="112"/>
      <c r="W12" s="112"/>
      <c r="X12" s="112"/>
      <c r="Y12" s="112"/>
    </row>
    <row r="13" ht="109.5" customHeight="1">
      <c r="A13" s="120" t="str">
        <v>USER_API_IT02</v>
      </c>
      <c r="B13" s="120" t="str">
        <v>Verify GET /api/users returns 401 when not authenticated.</v>
      </c>
      <c r="C13" s="120" t="str">
        <v>1. Send GET request to /api/users.
2. Request headers: None (no authentication).
3. Query parameters: None.
4. Request body: None (GET request).</v>
      </c>
      <c r="D13" s="120" t="str">
        <v>1. HTTP 401 Unauthorized response.
2. No account data is returned.</v>
      </c>
      <c r="E13" s="120" t="str">
        <v>1. Backend is running.
2. Request is sent without authentication.</v>
      </c>
      <c r="F13" s="121" t="str">
        <v>Pending</v>
      </c>
      <c r="G13" s="122" t="str"/>
      <c r="H13" s="121" t="str"/>
      <c r="I13" s="121" t="str"/>
      <c r="J13" s="122" t="str"/>
      <c r="K13" s="121" t="str"/>
      <c r="L13" s="121" t="str"/>
      <c r="M13" s="123" t="str"/>
      <c r="N13" s="121" t="str"/>
      <c r="O13" s="124" t="str"/>
      <c r="P13" s="125"/>
      <c r="Q13" s="112"/>
      <c r="R13" s="112"/>
      <c r="S13" s="112"/>
      <c r="T13" s="112"/>
      <c r="U13" s="112"/>
      <c r="V13" s="112"/>
      <c r="W13" s="112"/>
      <c r="X13" s="112"/>
      <c r="Y13" s="112"/>
    </row>
    <row r="14" ht="109.5" customHeight="1">
      <c r="A14" s="120" t="str">
        <v>USER_API_IT03</v>
      </c>
      <c r="B14" s="120" t="str">
        <v>Verify GET and POST /api/users return 403 for a user without AdminUsers.</v>
      </c>
      <c r="C14" s="120" t="str">
        <v>1. Send GET request to /api/users with header Authorization: Bearer &lt;access token of thuky@trustcabinet.local&gt;.
2. Send POST request to /api/users with the same header and an empty body.</v>
      </c>
      <c r="D14" s="120" t="str">
        <v>1. Both requests return HTTP 403 Forbidden.
2. No account is listed or created.</v>
      </c>
      <c r="E14" s="120" t="str">
        <v>1. Backend is running.
2. Signed in as thuky@trustcabinet.local (Secretary, MeetingCreator only, no AdminUsers).</v>
      </c>
      <c r="F14" s="121" t="str">
        <v>Pending</v>
      </c>
      <c r="G14" s="122" t="str"/>
      <c r="H14" s="121" t="str"/>
      <c r="I14" s="121" t="str"/>
      <c r="J14" s="122" t="str"/>
      <c r="K14" s="121" t="str"/>
      <c r="L14" s="121" t="str"/>
      <c r="M14" s="123" t="str"/>
      <c r="N14" s="121" t="str"/>
      <c r="O14" s="124" t="str"/>
      <c r="P14" s="125"/>
      <c r="Q14" s="112"/>
      <c r="R14" s="112"/>
      <c r="S14" s="112"/>
      <c r="T14" s="112"/>
      <c r="U14" s="112"/>
      <c r="V14" s="112"/>
      <c r="W14" s="112"/>
      <c r="X14" s="112"/>
      <c r="Y14" s="112"/>
    </row>
    <row r="15" ht="138.5" customHeight="1">
      <c r="A15" s="120" t="str">
        <v>USER_API_IT04</v>
      </c>
      <c r="B15" s="120" t="str">
        <v>Verify an administrator whose role lost AdminUsers is refused at once, without signing in again.</v>
      </c>
      <c r="C15" s="120" t="str">
        <v>1. Send GET request to /api/users.
2. Request headers: Authorization: Bearer &lt;access token of the administrator, issued before the change&gt;.
3. Query parameters: None.
4. Request body: None (GET request).</v>
      </c>
      <c r="D15" s="120" t="str">
        <v>1. HTTP 403 Forbidden response.
2. The old access token no longer grants AdminUsers.</v>
      </c>
      <c r="E15" s="120" t="str">
        <v>1. Backend is running.
2. The administrator signed in and kept the access token.
3. Afterwards the administrator's role was changed to Member (no capability).</v>
      </c>
      <c r="F15" s="121" t="str">
        <v>Pending</v>
      </c>
      <c r="G15" s="122" t="str"/>
      <c r="H15" s="121" t="str"/>
      <c r="I15" s="121" t="str"/>
      <c r="J15" s="122" t="str"/>
      <c r="K15" s="121" t="str"/>
      <c r="L15" s="121" t="str"/>
      <c r="M15" s="123" t="str"/>
      <c r="N15" s="121" t="str"/>
      <c r="O15" s="124" t="str"/>
      <c r="P15" s="125"/>
      <c r="Q15" s="112"/>
      <c r="R15" s="112"/>
      <c r="S15" s="112"/>
      <c r="T15" s="112"/>
      <c r="U15" s="112"/>
      <c r="V15" s="112"/>
      <c r="W15" s="112"/>
      <c r="X15" s="112"/>
      <c r="Y15" s="112"/>
    </row>
    <row r="16" ht="24" customHeight="1">
      <c r="A16" s="120" t="str">
        <v>GET /api/users/{id}</v>
      </c>
      <c r="B16" s="120"/>
      <c r="C16" s="120"/>
      <c r="D16" s="120"/>
      <c r="E16" s="120"/>
      <c r="F16" s="121"/>
      <c r="G16" s="122"/>
      <c r="H16" s="121"/>
      <c r="I16" s="121"/>
      <c r="J16" s="122"/>
      <c r="K16" s="121"/>
      <c r="L16" s="121"/>
      <c r="M16" s="123"/>
      <c r="N16" s="121"/>
      <c r="O16" s="124"/>
      <c r="P16" s="125"/>
      <c r="Q16" s="112"/>
      <c r="R16" s="112"/>
      <c r="S16" s="112"/>
      <c r="T16" s="112"/>
      <c r="U16" s="112"/>
      <c r="V16" s="112"/>
      <c r="W16" s="112"/>
      <c r="X16" s="112"/>
      <c r="Y16" s="112"/>
    </row>
    <row r="17" ht="153.0" customHeight="1">
      <c r="A17" s="120" t="str">
        <v>USER_API_IT05</v>
      </c>
      <c r="B17" s="120" t="str">
        <v>Verify GET /api/users/{id} returns one account, and 404 for an unknown id.</v>
      </c>
      <c r="C17" s="120" t="str">
        <v>1. Send GET request to /api/users/&lt;id of thanhvien@trustcabinet.local&gt; with header Authorization: Bearer &lt;access token of quantri@trustcabinet.local&gt;.
2. Send GET request to /api/users/&lt;random UUID that no account has&gt; with the same header.</v>
      </c>
      <c r="D17" s="120" t="str">
        <v>1. The first request returns HTTP 200 OK with email "thanhvien@trustcabinet.local".
2. The second request returns HTTP 404 Not Found.</v>
      </c>
      <c r="E17" s="120" t="str">
        <v>1. Backend is running.
2. Signed in as quantri@trustcabinet.local (AdminUsers).
3. Account thanhvien@trustcabinet.local exists.</v>
      </c>
      <c r="F17" s="121" t="str">
        <v>Pending</v>
      </c>
      <c r="G17" s="122" t="str"/>
      <c r="H17" s="121" t="str"/>
      <c r="I17" s="121" t="str"/>
      <c r="J17" s="122" t="str"/>
      <c r="K17" s="121" t="str"/>
      <c r="L17" s="121" t="str"/>
      <c r="M17" s="123" t="str"/>
      <c r="N17" s="121" t="str"/>
      <c r="O17" s="124" t="str"/>
      <c r="P17" s="125"/>
      <c r="Q17" s="112"/>
      <c r="R17" s="112"/>
      <c r="S17" s="112"/>
      <c r="T17" s="112"/>
      <c r="U17" s="112"/>
      <c r="V17" s="112"/>
      <c r="W17" s="112"/>
      <c r="X17" s="112"/>
      <c r="Y17" s="112"/>
    </row>
    <row r="18" ht="24" customHeight="1">
      <c r="A18" s="120" t="str">
        <v>POST /api/users</v>
      </c>
      <c r="B18" s="120"/>
      <c r="C18" s="120"/>
      <c r="D18" s="120"/>
      <c r="E18" s="120"/>
      <c r="F18" s="121"/>
      <c r="G18" s="122"/>
      <c r="H18" s="121"/>
      <c r="I18" s="121"/>
      <c r="J18" s="122"/>
      <c r="K18" s="121"/>
      <c r="L18" s="121"/>
      <c r="M18" s="123"/>
      <c r="N18" s="121"/>
      <c r="O18" s="124"/>
      <c r="P18" s="125"/>
      <c r="Q18" s="112"/>
      <c r="R18" s="112"/>
      <c r="S18" s="112"/>
      <c r="T18" s="112"/>
      <c r="U18" s="112"/>
      <c r="V18" s="112"/>
      <c r="W18" s="112"/>
      <c r="X18" s="112"/>
      <c r="Y18" s="112"/>
    </row>
    <row r="19" ht="211.0" customHeight="1">
      <c r="A19" s="120" t="str">
        <v>USER_API_IT06</v>
      </c>
      <c r="B19" s="120" t="str">
        <v>Verify POST /api/users creates an active account and returns MSG07 with 201 and a Location header.</v>
      </c>
      <c r="C19" s="120" t="str">
        <v>1. Send POST request to /api/users.
2. Request headers: Content-Type: application/json; Authorization: Bearer &lt;access token of quantri@trustcabinet.local&gt; (Admin, AdminUsers).
3. Query parameters: None.
4. Request JSON body: { "fullName": "Trần Chủ Toạ", "email": "chutoa2@trustcabinet.local", "password": "MatKhauHopLe@2026", "roleId": "&lt;id of the Chair role&gt;" }.</v>
      </c>
      <c r="D19" s="120" t="str">
        <v>1. HTTP 201 Created response.
2. Response JSON body: code "MSG07", message "Tạo tài khoản thành công.".
3. user.email is "chutoa2@trustcabinet.local" and user.isActive is true.
4. Location header is /api/users/&lt;id of the new account&gt;.</v>
      </c>
      <c r="E19" s="120" t="str">
        <v>1. Backend is running.
2. Signed in as quantri@trustcabinet.local (AdminUsers).
3. No account uses chutoa2@trustcabinet.local.</v>
      </c>
      <c r="F19" s="121" t="str">
        <v>Pending</v>
      </c>
      <c r="G19" s="122" t="str"/>
      <c r="H19" s="121" t="str"/>
      <c r="I19" s="121" t="str"/>
      <c r="J19" s="122" t="str"/>
      <c r="K19" s="121" t="str"/>
      <c r="L19" s="121" t="str"/>
      <c r="M19" s="123" t="str"/>
      <c r="N19" s="121" t="str"/>
      <c r="O19" s="124" t="str"/>
      <c r="P19" s="125"/>
      <c r="Q19" s="112"/>
      <c r="R19" s="112"/>
      <c r="S19" s="112"/>
      <c r="T19" s="112"/>
      <c r="U19" s="112"/>
      <c r="V19" s="112"/>
      <c r="W19" s="112"/>
      <c r="X19" s="112"/>
      <c r="Y19" s="112"/>
    </row>
    <row r="20" ht="240.0" customHeight="1">
      <c r="A20" s="120" t="str">
        <v>USER_API_IT07</v>
      </c>
      <c r="B20" s="120" t="str">
        <v>Verify creating an account records the signed-in administrator as the actor in the audit log.</v>
      </c>
      <c r="C20" s="120" t="str">
        <v>1. Send POST request to /api/users.
2. Request headers: Content-Type: application/json; Authorization: Bearer &lt;access token of quantri@trustcabinet.local&gt; (Admin, AdminUsers).
3. Query parameters: None.
4. Request JSON body: { "fullName": "Trần Chủ Toạ", "email": "chutoa3@trustcabinet.local", "password": "MatKhauHopLe@2026", "roleId": "&lt;id of the Chair role&gt;" }.
5. Open the audit_log table and find the newest row.</v>
      </c>
      <c r="D20" s="120" t="str">
        <v>1. HTTP 201 Created response.
2. Exactly one new audit entry is written.
3. Its actor is quantri@trustcabinet.local.</v>
      </c>
      <c r="E20" s="120" t="str">
        <v>1. Backend is running.
2. Signed in as quantri@trustcabinet.local (AdminUsers).
3. No account uses chutoa3@trustcabinet.local.</v>
      </c>
      <c r="F20" s="121" t="str">
        <v>Pending</v>
      </c>
      <c r="G20" s="122" t="str"/>
      <c r="H20" s="121" t="str"/>
      <c r="I20" s="121" t="str"/>
      <c r="J20" s="122" t="str"/>
      <c r="K20" s="121" t="str"/>
      <c r="L20" s="121" t="str"/>
      <c r="M20" s="123" t="str"/>
      <c r="N20" s="121" t="str"/>
      <c r="O20" s="124" t="str"/>
      <c r="P20" s="125"/>
      <c r="Q20" s="112"/>
      <c r="R20" s="112"/>
      <c r="S20" s="112"/>
      <c r="T20" s="112"/>
      <c r="U20" s="112"/>
      <c r="V20" s="112"/>
      <c r="W20" s="112"/>
      <c r="X20" s="112"/>
      <c r="Y20" s="112"/>
    </row>
    <row r="21" ht="211.0" customHeight="1">
      <c r="A21" s="120" t="str">
        <v>USER_API_IT08</v>
      </c>
      <c r="B21" s="120" t="str">
        <v>Verify POST /api/users returns MSG08 with 409 for an email that is already used.</v>
      </c>
      <c r="C21" s="120" t="str">
        <v>1. Send POST request to /api/users.
2. Request headers: Content-Type: application/json; Authorization: Bearer &lt;access token of quantri@trustcabinet.local&gt; (Admin, AdminUsers).
3. Query parameters: None.
4. Request JSON body: { "fullName": "Tên khác", "email": "thanhvien@trustcabinet.local", "password": "MatKhauHopLe@2026", "roleId": "&lt;id of the Member role&gt;" }.</v>
      </c>
      <c r="D21" s="120" t="str">
        <v>1. HTTP 409 Conflict response.
2. Response JSON body: code "MSG08", message "Email đã được sử dụng.".
3. No second account is created.</v>
      </c>
      <c r="E21" s="120" t="str">
        <v>1. Backend is running.
2. Signed in as quantri@trustcabinet.local (AdminUsers).
3. Account thanhvien@trustcabinet.local already exists.</v>
      </c>
      <c r="F21" s="121" t="str">
        <v>Pending</v>
      </c>
      <c r="G21" s="122" t="str"/>
      <c r="H21" s="121" t="str"/>
      <c r="I21" s="121" t="str"/>
      <c r="J21" s="122" t="str"/>
      <c r="K21" s="121" t="str"/>
      <c r="L21" s="121" t="str"/>
      <c r="M21" s="123" t="str"/>
      <c r="N21" s="121" t="str"/>
      <c r="O21" s="124" t="str"/>
      <c r="P21" s="125"/>
      <c r="Q21" s="112"/>
      <c r="R21" s="112"/>
      <c r="S21" s="112"/>
      <c r="T21" s="112"/>
      <c r="U21" s="112"/>
      <c r="V21" s="112"/>
      <c r="W21" s="112"/>
      <c r="X21" s="112"/>
      <c r="Y21" s="112"/>
    </row>
    <row r="22" ht="196.5" customHeight="1">
      <c r="A22" s="120" t="str">
        <v>USER_API_IT09</v>
      </c>
      <c r="B22" s="120" t="str">
        <v>Verify POST /api/users returns 400 naming every invalid field.</v>
      </c>
      <c r="C22" s="120" t="str">
        <v>1. Send POST request to /api/users.
2. Request headers: Content-Type: application/json; Authorization: Bearer &lt;access token of quantri@trustcabinet.local&gt; (Admin, AdminUsers).
3. Query parameters: None.
4. Request JSON body: { "fullName": "", "email": "khong-phai-email", "password": "ngan", "roleId": "&lt;id of the Member role&gt;" }.</v>
      </c>
      <c r="D22" s="120" t="str">
        <v>1. HTTP 400 Bad Request response.
2. Response JSON body errors has exactly the fields email, fullName and password.
3. No account is created.</v>
      </c>
      <c r="E22" s="120" t="str">
        <v>1. Backend is running.
2. Signed in as quantri@trustcabinet.local (AdminUsers).</v>
      </c>
      <c r="F22" s="121" t="str">
        <v>Pending</v>
      </c>
      <c r="G22" s="122" t="str"/>
      <c r="H22" s="121" t="str"/>
      <c r="I22" s="121" t="str"/>
      <c r="J22" s="122" t="str"/>
      <c r="K22" s="121" t="str"/>
      <c r="L22" s="121" t="str"/>
      <c r="M22" s="123" t="str"/>
      <c r="N22" s="121" t="str"/>
      <c r="O22" s="124" t="str"/>
      <c r="P22" s="125"/>
      <c r="Q22" s="112"/>
      <c r="R22" s="112"/>
      <c r="S22" s="112"/>
      <c r="T22" s="112"/>
      <c r="U22" s="112"/>
      <c r="V22" s="112"/>
      <c r="W22" s="112"/>
      <c r="X22" s="112"/>
      <c r="Y22" s="112"/>
    </row>
    <row r="23" ht="211.0" customHeight="1">
      <c r="A23" s="120" t="str">
        <v>USER_API_IT10</v>
      </c>
      <c r="B23" s="120" t="str">
        <v>Verify POST /api/users returns MSG09 on roleId for a role that does not exist.</v>
      </c>
      <c r="C23" s="120" t="str">
        <v>1. Send POST request to /api/users with header Authorization: Bearer &lt;access token of quantri@trustcabinet.local&gt; and body { "fullName": "Tên hợp lệ", "email": "hople@trustcabinet.local", "password": "MatKhauHopLe@2026", "roleId": "01990000-0000-7000-8000-000000000000" }.
2. Repeat with "roleId": "Chair" (a name, not an id).
3. Repeat with "roleId": null.</v>
      </c>
      <c r="D23" s="120" t="str">
        <v>1. Each request returns HTTP 400 Bad Request.
2. Each response JSON body has code "MSG09" and errors.roleId "Vai trò không tồn tại.".
3. No account is created.</v>
      </c>
      <c r="E23" s="120" t="str">
        <v>1. Backend is running.
2. Signed in as quantri@trustcabinet.local (AdminUsers).
3. No role has id 01990000-0000-7000-8000-000000000000.</v>
      </c>
      <c r="F23" s="121" t="str">
        <v>Pending</v>
      </c>
      <c r="G23" s="122" t="str"/>
      <c r="H23" s="121" t="str"/>
      <c r="I23" s="121" t="str"/>
      <c r="J23" s="122" t="str"/>
      <c r="K23" s="121" t="str"/>
      <c r="L23" s="121" t="str"/>
      <c r="M23" s="123" t="str"/>
      <c r="N23" s="121" t="str"/>
      <c r="O23" s="124" t="str"/>
      <c r="P23" s="125"/>
      <c r="Q23" s="112"/>
      <c r="R23" s="112"/>
      <c r="S23" s="112"/>
      <c r="T23" s="112"/>
      <c r="U23" s="112"/>
      <c r="V23" s="112"/>
      <c r="W23" s="112"/>
      <c r="X23" s="112"/>
      <c r="Y23" s="112"/>
    </row>
    <row r="24" ht="211.0" customHeight="1">
      <c r="A24" s="120" t="str">
        <v>USER_API_IT11</v>
      </c>
      <c r="B24" s="120" t="str">
        <v>Verify the created account is returned with its role id and role name.</v>
      </c>
      <c r="C24" s="120" t="str">
        <v>1. Send POST request to /api/users.
2. Request headers: Content-Type: application/json; Authorization: Bearer &lt;access token of quantri@trustcabinet.local&gt; (Admin, AdminUsers).
3. Query parameters: None.
4. Request JSON body: { "fullName": "Trần Chủ Toạ", "email": "chutoa4@trustcabinet.local", "password": "MatKhauHopLe@2026", "roleId": "&lt;id of the Chair role&gt;" }.</v>
      </c>
      <c r="D24" s="120" t="str">
        <v>1. HTTP 201 Created response.
2. user.roleId is the id of the Chair role.
3. user.roleName is "Chủ toạ".</v>
      </c>
      <c r="E24" s="120" t="str">
        <v>1. Backend is running.
2. Signed in as quantri@trustcabinet.local (AdminUsers).
3. No account uses chutoa4@trustcabinet.local.</v>
      </c>
      <c r="F24" s="121" t="str">
        <v>Pending</v>
      </c>
      <c r="G24" s="122" t="str"/>
      <c r="H24" s="121" t="str"/>
      <c r="I24" s="121" t="str"/>
      <c r="J24" s="122" t="str"/>
      <c r="K24" s="121" t="str"/>
      <c r="L24" s="121" t="str"/>
      <c r="M24" s="123" t="str"/>
      <c r="N24" s="121" t="str"/>
      <c r="O24" s="124" t="str"/>
      <c r="P24" s="125"/>
      <c r="Q24" s="112"/>
      <c r="R24" s="112"/>
      <c r="S24" s="112"/>
      <c r="T24" s="112"/>
      <c r="U24" s="112"/>
      <c r="V24" s="112"/>
      <c r="W24" s="112"/>
      <c r="X24" s="112"/>
      <c r="Y24" s="112"/>
    </row>
    <row r="25" ht="24" customHeight="1">
      <c r="A25" s="120" t="str">
        <v>PUT /api/users/{id}</v>
      </c>
      <c r="B25" s="120"/>
      <c r="C25" s="120"/>
      <c r="D25" s="120"/>
      <c r="E25" s="120"/>
      <c r="F25" s="121"/>
      <c r="G25" s="122"/>
      <c r="H25" s="121"/>
      <c r="I25" s="121"/>
      <c r="J25" s="122"/>
      <c r="K25" s="121"/>
      <c r="L25" s="121"/>
      <c r="M25" s="123"/>
      <c r="N25" s="121"/>
      <c r="O25" s="124"/>
      <c r="P25" s="125"/>
      <c r="Q25" s="112"/>
      <c r="R25" s="112"/>
      <c r="S25" s="112"/>
      <c r="T25" s="112"/>
      <c r="U25" s="112"/>
      <c r="V25" s="112"/>
      <c r="W25" s="112"/>
      <c r="X25" s="112"/>
      <c r="Y25" s="112"/>
    </row>
    <row r="26" ht="211.0" customHeight="1">
      <c r="A26" s="120" t="str">
        <v>USER_API_IT12</v>
      </c>
      <c r="B26" s="120" t="str">
        <v>Verify PUT /api/users/{id} updates name, email and role and returns MSG10.</v>
      </c>
      <c r="C26" s="120" t="str">
        <v>1. Send PUT request to /api/users/&lt;id of the test account&gt;.
2. Request headers: Content-Type: application/json; Authorization: Bearer &lt;access token of quantri@trustcabinet.local&gt; (Admin, AdminUsers).
3. Query parameters: None.
4. Request JSON body: { "fullName": "Tên Mới", "email": "moi@trustcabinet.local", "roleId": "&lt;id of the Secretary role&gt;" }.</v>
      </c>
      <c r="D26" s="120" t="str">
        <v>1. HTTP 200 OK response.
2. Response JSON body: code "MSG10", message "Cập nhật tài khoản thành công.".
3. user.fullName is "Tên Mới".
4. One user.updated entry is written to the audit log.</v>
      </c>
      <c r="E26" s="120" t="str">
        <v>1. Backend is running.
2. Signed in as quantri@trustcabinet.local (AdminUsers).
3. A test account "Tên Cũ" / cu@trustcabinet.local exists.
4. No account uses moi@trustcabinet.local.</v>
      </c>
      <c r="F26" s="121" t="str">
        <v>Pending</v>
      </c>
      <c r="G26" s="122" t="str"/>
      <c r="H26" s="121" t="str"/>
      <c r="I26" s="121" t="str"/>
      <c r="J26" s="122" t="str"/>
      <c r="K26" s="121" t="str"/>
      <c r="L26" s="121" t="str"/>
      <c r="M26" s="123" t="str"/>
      <c r="N26" s="121" t="str"/>
      <c r="O26" s="124" t="str"/>
      <c r="P26" s="125"/>
      <c r="Q26" s="112"/>
      <c r="R26" s="112"/>
      <c r="S26" s="112"/>
      <c r="T26" s="112"/>
      <c r="U26" s="112"/>
      <c r="V26" s="112"/>
      <c r="W26" s="112"/>
      <c r="X26" s="112"/>
      <c r="Y26" s="112"/>
    </row>
    <row r="27" ht="254.5" customHeight="1">
      <c r="A27" s="120" t="str">
        <v>USER_API_IT13</v>
      </c>
      <c r="B27" s="120" t="str">
        <v>Verify changing an account's role does not sign that account out.</v>
      </c>
      <c r="C27" s="120" t="str">
        <v>1. Send PUT request to /api/users/&lt;id of thanhvien@trustcabinet.local&gt;.
2. Request headers: Content-Type: application/json; Authorization: Bearer &lt;access token of quantri@trustcabinet.local&gt; (Admin, AdminUsers).
3. Query parameters: None.
4. Request JSON body: { "fullName": "Lê Thành Viên", "email": "thanhvien@trustcabinet.local", "roleId": "&lt;id of the Secretary role&gt;" }.
5. In the browser where thanhvien@trustcabinet.local is signed in, reload the page.</v>
      </c>
      <c r="D27" s="120" t="str">
        <v>1. HTTP 200 OK response.
2. The member stays signed in; the session is not revoked.</v>
      </c>
      <c r="E27" s="120" t="str">
        <v>1. Backend is running.
2. Signed in as quantri@trustcabinet.local (AdminUsers).
3. thanhvien@trustcabinet.local is signed in in another browser.</v>
      </c>
      <c r="F27" s="121" t="str">
        <v>Pending</v>
      </c>
      <c r="G27" s="122" t="str"/>
      <c r="H27" s="121" t="str"/>
      <c r="I27" s="121" t="str"/>
      <c r="J27" s="122" t="str"/>
      <c r="K27" s="121" t="str"/>
      <c r="L27" s="121" t="str"/>
      <c r="M27" s="123" t="str"/>
      <c r="N27" s="121" t="str"/>
      <c r="O27" s="124" t="str"/>
      <c r="P27" s="125"/>
      <c r="Q27" s="112"/>
      <c r="R27" s="112"/>
      <c r="S27" s="112"/>
      <c r="T27" s="112"/>
      <c r="U27" s="112"/>
      <c r="V27" s="112"/>
      <c r="W27" s="112"/>
      <c r="X27" s="112"/>
      <c r="Y27" s="112"/>
    </row>
    <row r="28" ht="211.0" customHeight="1">
      <c r="A28" s="120" t="str">
        <v>USER_API_IT14</v>
      </c>
      <c r="B28" s="120" t="str">
        <v>Verify PUT /api/users/{id} returns 404 for an unknown account.</v>
      </c>
      <c r="C28" s="120" t="str">
        <v>1. Send PUT request to /api/users/&lt;random UUID that no account has&gt;.
2. Request headers: Content-Type: application/json; Authorization: Bearer &lt;access token of quantri@trustcabinet.local&gt; (Admin, AdminUsers).
3. Query parameters: None.
4. Request JSON body: { "fullName": "Tên hợp lệ", "email": "hople@trustcabinet.local", "roleId": "&lt;id of the Member role&gt;" }.</v>
      </c>
      <c r="D28" s="120" t="str">
        <v>1. HTTP 404 Not Found response.
2. No account is changed.</v>
      </c>
      <c r="E28" s="120" t="str">
        <v>1. Backend is running.
2. Signed in as quantri@trustcabinet.local (AdminUsers).</v>
      </c>
      <c r="F28" s="121" t="str">
        <v>Pending</v>
      </c>
      <c r="G28" s="122" t="str"/>
      <c r="H28" s="121" t="str"/>
      <c r="I28" s="121" t="str"/>
      <c r="J28" s="122" t="str"/>
      <c r="K28" s="121" t="str"/>
      <c r="L28" s="121" t="str"/>
      <c r="M28" s="123" t="str"/>
      <c r="N28" s="121" t="str"/>
      <c r="O28" s="124" t="str"/>
      <c r="P28" s="125"/>
      <c r="Q28" s="112"/>
      <c r="R28" s="112"/>
      <c r="S28" s="112"/>
      <c r="T28" s="112"/>
      <c r="U28" s="112"/>
      <c r="V28" s="112"/>
      <c r="W28" s="112"/>
      <c r="X28" s="112"/>
      <c r="Y28" s="112"/>
    </row>
    <row r="29" ht="269.0" customHeight="1">
      <c r="A29" s="120" t="str">
        <v>USER_API_IT15</v>
      </c>
      <c r="B29" s="120" t="str">
        <v>Verify PUT /api/users/{id} cannot change the account status.</v>
      </c>
      <c r="C29" s="120" t="str">
        <v>1. Send PUT request to /api/users/&lt;id of thanhvien@trustcabinet.local&gt;.
2. Request headers: Content-Type: application/json; Authorization: Bearer &lt;access token of quantri@trustcabinet.local&gt; (Admin, AdminUsers).
3. Query parameters: None.
4. Request JSON body: { "fullName": "Lê Thành Viên", "email": "thanhvien@trustcabinet.local", "roleId": "&lt;id of the Member role&gt;", "isActive": false }.
5. Send GET request to /api/users/&lt;id of thanhvien@trustcabinet.local&gt;.</v>
      </c>
      <c r="D29" s="120" t="str">
        <v>1. The update is accepted without the isActive field taking effect.
2. The account is still active (isActive true).</v>
      </c>
      <c r="E29" s="120" t="str">
        <v>1. Backend is running.
2. Signed in as quantri@trustcabinet.local (AdminUsers).
3. thanhvien@trustcabinet.local is active.</v>
      </c>
      <c r="F29" s="121" t="str">
        <v>Pending</v>
      </c>
      <c r="G29" s="122" t="str"/>
      <c r="H29" s="121" t="str"/>
      <c r="I29" s="121" t="str"/>
      <c r="J29" s="122" t="str"/>
      <c r="K29" s="121" t="str"/>
      <c r="L29" s="121" t="str"/>
      <c r="M29" s="123" t="str"/>
      <c r="N29" s="121" t="str"/>
      <c r="O29" s="124" t="str"/>
      <c r="P29" s="125"/>
      <c r="Q29" s="112"/>
      <c r="R29" s="112"/>
      <c r="S29" s="112"/>
      <c r="T29" s="112"/>
      <c r="U29" s="112"/>
      <c r="V29" s="112"/>
      <c r="W29" s="112"/>
      <c r="X29" s="112"/>
      <c r="Y29" s="112"/>
    </row>
    <row r="30" ht="167.5" customHeight="1">
      <c r="A30" s="120" t="str">
        <v>USER_API_IT16</v>
      </c>
      <c r="B30" s="120" t="str">
        <v>Verify account writes are refused without AdminUsers.</v>
      </c>
      <c r="C30" s="120" t="str">
        <v>1. Send PUT request to /api/users/&lt;id of thanhvien@trustcabinet.local&gt; with header Authorization: Bearer &lt;access token of thuky@trustcabinet.local&gt;.
2. Send PUT request to /api/users/&lt;id of thanhvien@trustcabinet.local&gt;/status with the same header and body { "isActive": false }.</v>
      </c>
      <c r="D30" s="120" t="str">
        <v>1. Both requests return HTTP 403 Forbidden.
2. thanhvien@trustcabinet.local stays active.
3. Nothing is written to the audit log.</v>
      </c>
      <c r="E30" s="120" t="str">
        <v>1. Backend is running.
2. Signed in as thuky@trustcabinet.local (no AdminUsers).</v>
      </c>
      <c r="F30" s="121" t="str">
        <v>Pending</v>
      </c>
      <c r="G30" s="122" t="str"/>
      <c r="H30" s="121" t="str"/>
      <c r="I30" s="121" t="str"/>
      <c r="J30" s="122" t="str"/>
      <c r="K30" s="121" t="str"/>
      <c r="L30" s="121" t="str"/>
      <c r="M30" s="123" t="str"/>
      <c r="N30" s="121" t="str"/>
      <c r="O30" s="124" t="str"/>
      <c r="P30" s="125"/>
      <c r="Q30" s="112"/>
      <c r="R30" s="112"/>
      <c r="S30" s="112"/>
      <c r="T30" s="112"/>
      <c r="U30" s="112"/>
      <c r="V30" s="112"/>
      <c r="W30" s="112"/>
      <c r="X30" s="112"/>
      <c r="Y30" s="112"/>
    </row>
    <row r="31" ht="24" customHeight="1">
      <c r="A31" s="120" t="str">
        <v>PUT /api/users/{id}/status</v>
      </c>
      <c r="B31" s="120"/>
      <c r="C31" s="120"/>
      <c r="D31" s="120"/>
      <c r="E31" s="120"/>
      <c r="F31" s="121"/>
      <c r="G31" s="122"/>
      <c r="H31" s="121"/>
      <c r="I31" s="121"/>
      <c r="J31" s="122"/>
      <c r="K31" s="121"/>
      <c r="L31" s="121"/>
      <c r="M31" s="123"/>
      <c r="N31" s="121"/>
      <c r="O31" s="124"/>
      <c r="P31" s="125"/>
      <c r="Q31" s="112"/>
      <c r="R31" s="112"/>
      <c r="S31" s="112"/>
      <c r="T31" s="112"/>
      <c r="U31" s="112"/>
      <c r="V31" s="112"/>
      <c r="W31" s="112"/>
      <c r="X31" s="112"/>
      <c r="Y31" s="112"/>
    </row>
    <row r="32" ht="211.0" customHeight="1">
      <c r="A32" s="120" t="str">
        <v>USER_API_IT17</v>
      </c>
      <c r="B32" s="120" t="str">
        <v>Verify deactivating an account returns MSG11 and ends its sessions.</v>
      </c>
      <c r="C32" s="120" t="str">
        <v>1. Send PUT request to /api/users/&lt;id of thanhvien@trustcabinet.local&gt;/status.
2. Request headers: Content-Type: application/json; Authorization: Bearer &lt;access token of quantri@trustcabinet.local&gt; (Admin, AdminUsers).
3. Query parameters: None.
4. Request JSON body: { "isActive": false }.
5. In the browser where thanhvien@trustcabinet.local is signed in, reload the page.</v>
      </c>
      <c r="D32" s="120" t="str">
        <v>1. HTTP 200 OK response.
2. Response JSON body: code "MSG11", message "Đổi trạng thái tài khoản thành công.", user.isActive false.
3. The member's session ends and the sign-in page is shown.
4. One user.deactivated entry is written to the audit log.</v>
      </c>
      <c r="E32" s="120" t="str">
        <v>1. Backend is running.
2. Signed in as quantri@trustcabinet.local (AdminUsers).
3. thanhvien@trustcabinet.local is active and signed in in another browser.</v>
      </c>
      <c r="F32" s="121" t="str">
        <v>Pending</v>
      </c>
      <c r="G32" s="122" t="str"/>
      <c r="H32" s="121" t="str"/>
      <c r="I32" s="121" t="str"/>
      <c r="J32" s="122" t="str"/>
      <c r="K32" s="121" t="str"/>
      <c r="L32" s="121" t="str"/>
      <c r="M32" s="123" t="str"/>
      <c r="N32" s="121" t="str"/>
      <c r="O32" s="124" t="str"/>
      <c r="P32" s="125"/>
      <c r="Q32" s="112"/>
      <c r="R32" s="112"/>
      <c r="S32" s="112"/>
      <c r="T32" s="112"/>
      <c r="U32" s="112"/>
      <c r="V32" s="112"/>
      <c r="W32" s="112"/>
      <c r="X32" s="112"/>
      <c r="Y32" s="112"/>
    </row>
    <row r="33" ht="167.5" customHeight="1">
      <c r="A33" s="120" t="str">
        <v>USER_API_IT18</v>
      </c>
      <c r="B33" s="120" t="str">
        <v>Verify reactivating an account returns MSG11.</v>
      </c>
      <c r="C33" s="120" t="str">
        <v>1. Send PUT request to /api/users/&lt;id of thanhvien@trustcabinet.local&gt;/status.
2. Request headers: Content-Type: application/json; Authorization: Bearer &lt;access token of quantri@trustcabinet.local&gt; (Admin, AdminUsers).
3. Query parameters: None.
4. Request JSON body: { "isActive": true }.</v>
      </c>
      <c r="D33" s="120" t="str">
        <v>1. HTTP 200 OK response.
2. Response JSON body has code "MSG11" and user.isActive true.
3. One user.reactivated entry is written to the audit log.
4. thanhvien@trustcabinet.local can sign in again.</v>
      </c>
      <c r="E33" s="120" t="str">
        <v>1. Backend is running.
2. Signed in as quantri@trustcabinet.local (AdminUsers).
3. thanhvien@trustcabinet.local is deactivated.</v>
      </c>
      <c r="F33" s="121" t="str">
        <v>Pending</v>
      </c>
      <c r="G33" s="122" t="str"/>
      <c r="H33" s="121" t="str"/>
      <c r="I33" s="121" t="str"/>
      <c r="J33" s="122" t="str"/>
      <c r="K33" s="121" t="str"/>
      <c r="L33" s="121" t="str"/>
      <c r="M33" s="123" t="str"/>
      <c r="N33" s="121" t="str"/>
      <c r="O33" s="124" t="str"/>
      <c r="P33" s="125"/>
      <c r="Q33" s="112"/>
      <c r="R33" s="112"/>
      <c r="S33" s="112"/>
      <c r="T33" s="112"/>
      <c r="U33" s="112"/>
      <c r="V33" s="112"/>
      <c r="W33" s="112"/>
      <c r="X33" s="112"/>
      <c r="Y33" s="112"/>
    </row>
    <row r="34" ht="167.5" customHeight="1">
      <c r="A34" s="120" t="str">
        <v>USER_API_IT19</v>
      </c>
      <c r="B34" s="120" t="str">
        <v>Verify setting the status an account already has returns MSG12 with 409.</v>
      </c>
      <c r="C34" s="120" t="str">
        <v>1. Send PUT request to /api/users/&lt;id of thanhvien@trustcabinet.local&gt;/status.
2. Request headers: Content-Type: application/json; Authorization: Bearer &lt;access token of quantri@trustcabinet.local&gt; (Admin, AdminUsers).
3. Query parameters: None.
4. Request JSON body: { "isActive": false }.</v>
      </c>
      <c r="D34" s="120" t="str">
        <v>1. HTTP 409 Conflict response.
2. Response JSON body: code "MSG12", message "Không thể đổi trạng thái tài khoản này.".
3. Nothing is written to the audit log.</v>
      </c>
      <c r="E34" s="120" t="str">
        <v>1. Backend is running.
2. Signed in as quantri@trustcabinet.local (AdminUsers).
3. thanhvien@trustcabinet.local is already deactivated.</v>
      </c>
      <c r="F34" s="121" t="str">
        <v>Pending</v>
      </c>
      <c r="G34" s="122" t="str"/>
      <c r="H34" s="121" t="str"/>
      <c r="I34" s="121" t="str"/>
      <c r="J34" s="122" t="str"/>
      <c r="K34" s="121" t="str"/>
      <c r="L34" s="121" t="str"/>
      <c r="M34" s="123" t="str"/>
      <c r="N34" s="121" t="str"/>
      <c r="O34" s="124" t="str"/>
      <c r="P34" s="125"/>
      <c r="Q34" s="112"/>
      <c r="R34" s="112"/>
      <c r="S34" s="112"/>
      <c r="T34" s="112"/>
      <c r="U34" s="112"/>
      <c r="V34" s="112"/>
      <c r="W34" s="112"/>
      <c r="X34" s="112"/>
      <c r="Y34" s="112"/>
    </row>
    <row r="35" ht="167.5" customHeight="1">
      <c r="A35" s="120" t="str">
        <v>USER_API_IT20</v>
      </c>
      <c r="B35" s="120" t="str">
        <v>Verify an administrator cannot deactivate their own account.</v>
      </c>
      <c r="C35" s="120" t="str">
        <v>1. Send PUT request to /api/users/&lt;id of quantri@trustcabinet.local&gt;/status.
2. Request headers: Content-Type: application/json; Authorization: Bearer &lt;access token of quantri@trustcabinet.local&gt; (Admin, AdminUsers).
3. Query parameters: None.
4. Request JSON body: { "isActive": false }.</v>
      </c>
      <c r="D35" s="120" t="str">
        <v>1. HTTP 409 Conflict response with code "MSG12".
2. quantri@trustcabinet.local stays active.</v>
      </c>
      <c r="E35" s="120" t="str">
        <v>1. Backend is running.
2. Signed in as quantri@trustcabinet.local (AdminUsers).</v>
      </c>
      <c r="F35" s="121" t="str">
        <v>Pending</v>
      </c>
      <c r="G35" s="122" t="str"/>
      <c r="H35" s="121" t="str"/>
      <c r="I35" s="121" t="str"/>
      <c r="J35" s="122" t="str"/>
      <c r="K35" s="121" t="str"/>
      <c r="L35" s="121" t="str"/>
      <c r="M35" s="123" t="str"/>
      <c r="N35" s="121" t="str"/>
      <c r="O35" s="124" t="str"/>
      <c r="P35" s="125"/>
      <c r="Q35" s="112"/>
      <c r="R35" s="112"/>
      <c r="S35" s="112"/>
      <c r="T35" s="112"/>
      <c r="U35" s="112"/>
      <c r="V35" s="112"/>
      <c r="W35" s="112"/>
      <c r="X35" s="112"/>
      <c r="Y35" s="112"/>
    </row>
    <row r="36" ht="167.5" customHeight="1">
      <c r="A36" s="120" t="str">
        <v>USER_API_IT21</v>
      </c>
      <c r="B36" s="120" t="str">
        <v>Verify a deactivated administrator is refused even with a still valid access token.</v>
      </c>
      <c r="C36" s="120" t="str">
        <v>1. Send PUT request to /api/users/&lt;id of thanhvien@trustcabinet.local&gt;/status.
2. Request headers: Content-Type: application/json; Authorization: Bearer &lt;access token of the administrator, issued before deactivation&gt;.
3. Query parameters: None.
4. Request JSON body: { "isActive": false }.</v>
      </c>
      <c r="D36" s="120" t="str">
        <v>1. HTTP 403 Forbidden response.
2. thanhvien@trustcabinet.local stays active.
3. Nothing is written to the audit log.</v>
      </c>
      <c r="E36" s="120" t="str">
        <v>1. Backend is running.
2. A second administrator signed in and kept the access token.
3. That administrator was then deactivated by quantri@trustcabinet.local.</v>
      </c>
      <c r="F36" s="121" t="str">
        <v>Pending</v>
      </c>
      <c r="G36" s="122" t="str"/>
      <c r="H36" s="121" t="str"/>
      <c r="I36" s="121" t="str"/>
      <c r="J36" s="122" t="str"/>
      <c r="K36" s="121" t="str"/>
      <c r="L36" s="121" t="str"/>
      <c r="M36" s="123" t="str"/>
      <c r="N36" s="121" t="str"/>
      <c r="O36" s="124" t="str"/>
      <c r="P36" s="125"/>
      <c r="Q36" s="112"/>
      <c r="R36" s="112"/>
      <c r="S36" s="112"/>
      <c r="T36" s="112"/>
      <c r="U36" s="112"/>
      <c r="V36" s="112"/>
      <c r="W36" s="112"/>
      <c r="X36" s="112"/>
      <c r="Y36" s="112"/>
    </row>
    <row r="37" ht="153.0" customHeight="1">
      <c r="A37" s="120" t="str">
        <v>USER_API_IT22</v>
      </c>
      <c r="B37" s="120" t="str">
        <v>Verify the status change refuses a body that does not state isActive.</v>
      </c>
      <c r="C37" s="120" t="str">
        <v>1. Send PUT request to /api/users/&lt;id of thanhvien@trustcabinet.local&gt;/status with header Authorization: Bearer &lt;access token of quantri@trustcabinet.local&gt; and body {}.
2. Repeat with body { "is_active": true }.
3. Repeat with body { "active": true }.</v>
      </c>
      <c r="D37" s="120" t="str">
        <v>1. Each request returns HTTP 400 Bad Request.
2. thanhvien@trustcabinet.local stays active.
3. Nothing is written to the audit log.</v>
      </c>
      <c r="E37" s="120" t="str">
        <v>1. Backend is running.
2. Signed in as quantri@trustcabinet.local (AdminUsers).
3. thanhvien@trustcabinet.local is active.</v>
      </c>
      <c r="F37" s="121" t="str">
        <v>Pending</v>
      </c>
      <c r="G37" s="122" t="str"/>
      <c r="H37" s="121" t="str"/>
      <c r="I37" s="121" t="str"/>
      <c r="J37" s="122" t="str"/>
      <c r="K37" s="121" t="str"/>
      <c r="L37" s="121" t="str"/>
      <c r="M37" s="123" t="str"/>
      <c r="N37" s="121" t="str"/>
      <c r="O37" s="124" t="str"/>
      <c r="P37" s="125"/>
      <c r="Q37" s="112"/>
      <c r="R37" s="112"/>
      <c r="S37" s="112"/>
      <c r="T37" s="112"/>
      <c r="U37" s="112"/>
      <c r="V37" s="112"/>
      <c r="W37" s="112"/>
      <c r="X37" s="112"/>
      <c r="Y37" s="112"/>
    </row>
    <row r="38" ht="167.5" customHeight="1">
      <c r="A38" s="120" t="str">
        <v>USER_API_IT23</v>
      </c>
      <c r="B38" s="120" t="str">
        <v>Verify the status change returns 404 for an unknown account.</v>
      </c>
      <c r="C38" s="120" t="str">
        <v>1. Send PUT request to /api/users/&lt;random UUID that no account has&gt;/status.
2. Request headers: Content-Type: application/json; Authorization: Bearer &lt;access token of quantri@trustcabinet.local&gt; (Admin, AdminUsers).
3. Query parameters: None.
4. Request JSON body: { "isActive": false }.</v>
      </c>
      <c r="D38" s="120" t="str">
        <v>1. HTTP 404 Not Found response.</v>
      </c>
      <c r="E38" s="120" t="str">
        <v>1. Backend is running.
2. Signed in as quantri@trustcabinet.local (AdminUsers).</v>
      </c>
      <c r="F38" s="121" t="str">
        <v>Pending</v>
      </c>
      <c r="G38" s="122" t="str"/>
      <c r="H38" s="121" t="str"/>
      <c r="I38" s="121" t="str"/>
      <c r="J38" s="122" t="str"/>
      <c r="K38" s="121" t="str"/>
      <c r="L38" s="121" t="str"/>
      <c r="M38" s="123" t="str"/>
      <c r="N38" s="121" t="str"/>
      <c r="O38" s="124" t="str"/>
      <c r="P38" s="125"/>
      <c r="Q38" s="112"/>
      <c r="R38" s="112"/>
      <c r="S38" s="112"/>
      <c r="T38" s="112"/>
      <c r="U38" s="112"/>
      <c r="V38" s="112"/>
      <c r="W38" s="112"/>
      <c r="X38" s="112"/>
      <c r="Y38" s="112"/>
    </row>
    <row r="39" ht="24" customHeight="1">
      <c r="A39" s="120" t="str">
        <v>POST /api/users/{id}/password-reset</v>
      </c>
      <c r="B39" s="120"/>
      <c r="C39" s="120"/>
      <c r="D39" s="120"/>
      <c r="E39" s="120"/>
      <c r="F39" s="121"/>
      <c r="G39" s="122"/>
      <c r="H39" s="121"/>
      <c r="I39" s="121"/>
      <c r="J39" s="122"/>
      <c r="K39" s="121"/>
      <c r="L39" s="121"/>
      <c r="M39" s="123"/>
      <c r="N39" s="121"/>
      <c r="O39" s="124"/>
      <c r="P39" s="125"/>
      <c r="Q39" s="112"/>
      <c r="R39" s="112"/>
      <c r="S39" s="112"/>
      <c r="T39" s="112"/>
      <c r="U39" s="112"/>
      <c r="V39" s="112"/>
      <c r="W39" s="112"/>
      <c r="X39" s="112"/>
      <c r="Y39" s="112"/>
    </row>
    <row r="40" ht="167.5" customHeight="1">
      <c r="A40" s="120" t="str">
        <v>USER_API_IT24</v>
      </c>
      <c r="B40" s="120" t="str">
        <v>Verify requesting a password reset returns MSG13 and emails the account.</v>
      </c>
      <c r="C40" s="120" t="str">
        <v>1. Send POST request to /api/users/&lt;id of thanhvien@trustcabinet.local&gt;/password-reset.
2. Request headers: Authorization: Bearer &lt;access token of quantri@trustcabinet.local&gt; (Admin, AdminUsers).
3. Query parameters: None.
4. Request body: None.
5. Open the mailbox of the account (SMTP sandbox).</v>
      </c>
      <c r="D40" s="120" t="str">
        <v>1. HTTP 200 OK response.
2. Response JSON body: code "MSG13", message "Đã gửi email đặt lại mật khẩu.", user.id is the account's id.
3. One email with a reset link arrives at the account's address.</v>
      </c>
      <c r="E40" s="120" t="str">
        <v>1. Backend is running.
2. Signed in as quantri@trustcabinet.local (AdminUsers).
3. The account is active and signs in with a password.
4. SMTP sandbox is running.</v>
      </c>
      <c r="F40" s="121" t="str">
        <v>Pending</v>
      </c>
      <c r="G40" s="122" t="str"/>
      <c r="H40" s="121" t="str"/>
      <c r="I40" s="121" t="str"/>
      <c r="J40" s="122" t="str"/>
      <c r="K40" s="121" t="str"/>
      <c r="L40" s="121" t="str"/>
      <c r="M40" s="123" t="str"/>
      <c r="N40" s="121" t="str"/>
      <c r="O40" s="124" t="str"/>
      <c r="P40" s="125"/>
      <c r="Q40" s="112"/>
      <c r="R40" s="112"/>
      <c r="S40" s="112"/>
      <c r="T40" s="112"/>
      <c r="U40" s="112"/>
      <c r="V40" s="112"/>
      <c r="W40" s="112"/>
      <c r="X40" s="112"/>
      <c r="Y40" s="112"/>
    </row>
    <row r="41" ht="138.5" customHeight="1">
      <c r="A41" s="120" t="str">
        <v>USER_API_IT25</v>
      </c>
      <c r="B41" s="120" t="str">
        <v>Verify a password reset for a deactivated account returns MSG14.</v>
      </c>
      <c r="C41" s="120" t="str">
        <v>1. Send POST request to /api/users/&lt;id of a deactivated account&gt;/password-reset.
2. Request headers: Authorization: Bearer &lt;access token of quantri@trustcabinet.local&gt; (Admin, AdminUsers).
3. Query parameters: None.
4. Request body: None.</v>
      </c>
      <c r="D41" s="120" t="str">
        <v>1. HTTP 409 Conflict response.
2. Response JSON body: code "MSG14", message "Tài khoản này không dùng được chức năng đặt lại mật khẩu.".
3. No email is sent.</v>
      </c>
      <c r="E41" s="120" t="str">
        <v>1. Backend is running.
2. Signed in as quantri@trustcabinet.local (AdminUsers).
3. The target account is deactivated.</v>
      </c>
      <c r="F41" s="121" t="str">
        <v>Pending</v>
      </c>
      <c r="G41" s="122" t="str"/>
      <c r="H41" s="121" t="str"/>
      <c r="I41" s="121" t="str"/>
      <c r="J41" s="122" t="str"/>
      <c r="K41" s="121" t="str"/>
      <c r="L41" s="121" t="str"/>
      <c r="M41" s="123" t="str"/>
      <c r="N41" s="121" t="str"/>
      <c r="O41" s="124" t="str"/>
      <c r="P41" s="125"/>
      <c r="Q41" s="112"/>
      <c r="R41" s="112"/>
      <c r="S41" s="112"/>
      <c r="T41" s="112"/>
      <c r="U41" s="112"/>
      <c r="V41" s="112"/>
      <c r="W41" s="112"/>
      <c r="X41" s="112"/>
      <c r="Y41" s="112"/>
    </row>
    <row r="42" ht="138.5" customHeight="1">
      <c r="A42" s="120" t="str">
        <v>USER_API_IT26</v>
      </c>
      <c r="B42" s="120" t="str">
        <v>Verify a password reset for a Google-only account (no password) returns MSG14.</v>
      </c>
      <c r="C42" s="120" t="str">
        <v>1. Send POST request to /api/users/&lt;id of the Google-only account&gt;/password-reset.
2. Request headers: Authorization: Bearer &lt;access token of quantri@trustcabinet.local&gt; (Admin, AdminUsers).
3. Query parameters: None.
4. Request body: None.</v>
      </c>
      <c r="D42" s="120" t="str">
        <v>1. HTTP 409 Conflict response with code "MSG14".
2. No email is sent.</v>
      </c>
      <c r="E42" s="120" t="str">
        <v>1. Backend is running.
2. Signed in as quantri@trustcabinet.local (AdminUsers).
3. The target account signs in only with Google and has no password.</v>
      </c>
      <c r="F42" s="121" t="str">
        <v>Pending</v>
      </c>
      <c r="G42" s="122" t="str"/>
      <c r="H42" s="121" t="str"/>
      <c r="I42" s="121" t="str"/>
      <c r="J42" s="122" t="str"/>
      <c r="K42" s="121" t="str"/>
      <c r="L42" s="121" t="str"/>
      <c r="M42" s="123" t="str"/>
      <c r="N42" s="121" t="str"/>
      <c r="O42" s="124" t="str"/>
      <c r="P42" s="125"/>
      <c r="Q42" s="112"/>
      <c r="R42" s="112"/>
      <c r="S42" s="112"/>
      <c r="T42" s="112"/>
      <c r="U42" s="112"/>
      <c r="V42" s="112"/>
      <c r="W42" s="112"/>
      <c r="X42" s="112"/>
      <c r="Y42" s="112"/>
    </row>
    <row r="43" ht="138.5" customHeight="1">
      <c r="A43" s="120" t="str">
        <v>USER_API_IT27</v>
      </c>
      <c r="B43" s="120" t="str">
        <v>Verify a password reset returns MSG15 with 503 when the email cannot be sent.</v>
      </c>
      <c r="C43" s="120" t="str">
        <v>1. Send POST request to /api/users/&lt;id of thanhvien@trustcabinet.local&gt;/password-reset.
2. Request headers: Authorization: Bearer &lt;access token of quantri@trustcabinet.local&gt; (Admin, AdminUsers).
3. Query parameters: None.
4. Request body: None.</v>
      </c>
      <c r="D43" s="120" t="str">
        <v>1. HTTP 503 Service Unavailable response.
2. Response JSON body: code "MSG15", message "Không gửi được email đặt lại mật khẩu. Vui lòng thử lại.".</v>
      </c>
      <c r="E43" s="120" t="str">
        <v>1. Backend is running.
2. Signed in as quantri@trustcabinet.local (AdminUsers).
3. The SMTP server is stopped, so mail cannot be sent.</v>
      </c>
      <c r="F43" s="121" t="str">
        <v>Pending</v>
      </c>
      <c r="G43" s="122" t="str"/>
      <c r="H43" s="121" t="str"/>
      <c r="I43" s="121" t="str"/>
      <c r="J43" s="122" t="str"/>
      <c r="K43" s="121" t="str"/>
      <c r="L43" s="121" t="str"/>
      <c r="M43" s="123" t="str"/>
      <c r="N43" s="121" t="str"/>
      <c r="O43" s="124" t="str"/>
      <c r="P43" s="125"/>
      <c r="Q43" s="112"/>
      <c r="R43" s="112"/>
      <c r="S43" s="112"/>
      <c r="T43" s="112"/>
      <c r="U43" s="112"/>
      <c r="V43" s="112"/>
      <c r="W43" s="112"/>
      <c r="X43" s="112"/>
      <c r="Y43" s="112"/>
    </row>
    <row r="44" ht="138.5" customHeight="1">
      <c r="A44" s="120" t="str">
        <v>USER_API_IT28</v>
      </c>
      <c r="B44" s="120" t="str">
        <v>Verify a password reset returns 404 for an unknown account.</v>
      </c>
      <c r="C44" s="120" t="str">
        <v>1. Send POST request to /api/users/&lt;random UUID that no account has&gt;/password-reset.
2. Request headers: Authorization: Bearer &lt;access token of quantri@trustcabinet.local&gt; (Admin, AdminUsers).
3. Query parameters: None.
4. Request body: None.</v>
      </c>
      <c r="D44" s="120" t="str">
        <v>1. HTTP 404 Not Found response.
2. No email is sent.</v>
      </c>
      <c r="E44" s="120" t="str">
        <v>1. Backend is running.
2. Signed in as quantri@trustcabinet.local (AdminUsers).</v>
      </c>
      <c r="F44" s="121" t="str">
        <v>Pending</v>
      </c>
      <c r="G44" s="122" t="str"/>
      <c r="H44" s="121" t="str"/>
      <c r="I44" s="121" t="str"/>
      <c r="J44" s="122" t="str"/>
      <c r="K44" s="121" t="str"/>
      <c r="L44" s="121" t="str"/>
      <c r="M44" s="123" t="str"/>
      <c r="N44" s="121" t="str"/>
      <c r="O44" s="124" t="str"/>
      <c r="P44" s="125"/>
      <c r="Q44" s="112"/>
      <c r="R44" s="112"/>
      <c r="S44" s="112"/>
      <c r="T44" s="112"/>
      <c r="U44" s="112"/>
      <c r="V44" s="112"/>
      <c r="W44" s="112"/>
      <c r="X44" s="112"/>
      <c r="Y44" s="112"/>
    </row>
    <row r="45" ht="138.5" customHeight="1">
      <c r="A45" s="120" t="str">
        <v>USER_API_IT29</v>
      </c>
      <c r="B45" s="120" t="str">
        <v>Verify requesting a password reset needs AdminUsers.</v>
      </c>
      <c r="C45" s="120" t="str">
        <v>1. Send POST request to /api/users/&lt;id of thanhvien@trustcabinet.local&gt;/password-reset.
2. Request headers: Authorization: Bearer &lt;access token of thuky@trustcabinet.local&gt; (Secretary, MeetingCreator).
3. Query parameters: None.
4. Request body: None.</v>
      </c>
      <c r="D45" s="120" t="str">
        <v>1. HTTP 403 Forbidden response.
2. No email is sent.</v>
      </c>
      <c r="E45" s="120" t="str">
        <v>1. Backend is running.
2. Signed in as thuky@trustcabinet.local (no AdminUsers).</v>
      </c>
      <c r="F45" s="121" t="str">
        <v>Pending</v>
      </c>
      <c r="G45" s="122" t="str"/>
      <c r="H45" s="121" t="str"/>
      <c r="I45" s="121" t="str"/>
      <c r="J45" s="122" t="str"/>
      <c r="K45" s="121" t="str"/>
      <c r="L45" s="121" t="str"/>
      <c r="M45" s="123" t="str"/>
      <c r="N45" s="121" t="str"/>
      <c r="O45" s="124" t="str"/>
      <c r="P45" s="125"/>
      <c r="Q45" s="112"/>
      <c r="R45" s="112"/>
      <c r="S45" s="112"/>
      <c r="T45" s="112"/>
      <c r="U45" s="112"/>
      <c r="V45" s="112"/>
      <c r="W45" s="112"/>
      <c r="X45" s="112"/>
      <c r="Y45" s="112"/>
    </row>
    <row r="46" ht="24" customHeight="1">
      <c r="A46" s="120" t="str">
        <v>POST /api/auth/password-reset</v>
      </c>
      <c r="B46" s="120"/>
      <c r="C46" s="120"/>
      <c r="D46" s="120"/>
      <c r="E46" s="120"/>
      <c r="F46" s="121"/>
      <c r="G46" s="122"/>
      <c r="H46" s="121"/>
      <c r="I46" s="121"/>
      <c r="J46" s="122"/>
      <c r="K46" s="121"/>
      <c r="L46" s="121"/>
      <c r="M46" s="123"/>
      <c r="N46" s="121"/>
      <c r="O46" s="124"/>
      <c r="P46" s="125"/>
      <c r="Q46" s="112"/>
      <c r="R46" s="112"/>
      <c r="S46" s="112"/>
      <c r="T46" s="112"/>
      <c r="U46" s="112"/>
      <c r="V46" s="112"/>
      <c r="W46" s="112"/>
      <c r="X46" s="112"/>
      <c r="Y46" s="112"/>
    </row>
    <row r="47" ht="254.5" customHeight="1">
      <c r="A47" s="120" t="str">
        <v>USER_API_IT30</v>
      </c>
      <c r="B47" s="120" t="str">
        <v>Verify the emailed reset link sets the new password and returns MSG92 without signing in.</v>
      </c>
      <c r="C47" s="120" t="str">
        <v>1. As quantri@trustcabinet.local, request a password reset for thanhvien@trustcabinet.local.
2. Copy the token from the link in the email.
3. Send POST request to /api/auth/password-reset with header Content-Type: application/json and no authentication.
4. Request JSON body: { "token": "&lt;token from the email&gt;", "newPassword": "MotMatKhauMoiRatDai@2026" }.
5. Sign in as thanhvien@trustcabinet.local with the new password.</v>
      </c>
      <c r="D47" s="120" t="str">
        <v>1. HTTP 200 OK response.
2. Response JSON body: code "MSG92", message "Đặt lại mật khẩu thành công. Vui lòng đăng nhập bằng mật khẩu mới.".
3. The body contains no accessToken.
4. Sign-in with the new password succeeds.</v>
      </c>
      <c r="E47" s="120" t="str">
        <v>1. Backend is running.
2. thanhvien@trustcabinet.local is active.
3. SMTP sandbox is running.</v>
      </c>
      <c r="F47" s="121" t="str">
        <v>Pending</v>
      </c>
      <c r="G47" s="122" t="str"/>
      <c r="H47" s="121" t="str"/>
      <c r="I47" s="121" t="str"/>
      <c r="J47" s="122" t="str"/>
      <c r="K47" s="121" t="str"/>
      <c r="L47" s="121" t="str"/>
      <c r="M47" s="123" t="str"/>
      <c r="N47" s="121" t="str"/>
      <c r="O47" s="124" t="str"/>
      <c r="P47" s="125"/>
      <c r="Q47" s="112"/>
      <c r="R47" s="112"/>
      <c r="S47" s="112"/>
      <c r="T47" s="112"/>
      <c r="U47" s="112"/>
      <c r="V47" s="112"/>
      <c r="W47" s="112"/>
      <c r="X47" s="112"/>
      <c r="Y47" s="112"/>
    </row>
    <row r="48" ht="182.0" customHeight="1">
      <c r="A48" s="120" t="str">
        <v>USER_API_IT31</v>
      </c>
      <c r="B48" s="120" t="str">
        <v>Verify an unknown or missing reset token returns MSG93.</v>
      </c>
      <c r="C48" s="120" t="str">
        <v>1. Send POST request to /api/auth/password-reset with body { "token": "khong-ton-tai", "newPassword": "MotMatKhauMoiRatDai@2026" }.
2. Repeat with body { "newPassword": "MotMatKhauMoiRatDai@2026" }.
3. Repeat with body {}.
4. Request headers for each request: Content-Type: application/json, no authentication.</v>
      </c>
      <c r="D48" s="120" t="str">
        <v>1. Each request returns HTTP 400 Bad Request.
2. Each response JSON body: code "MSG93", message "Liên kết đặt lại mật khẩu không hợp lệ hoặc đã hết hạn. Vui lòng liên hệ quản trị viên.".</v>
      </c>
      <c r="E48" s="120" t="str">
        <v>1. Backend is running.
2. No reset token "khong-ton-tai" exists.</v>
      </c>
      <c r="F48" s="121" t="str">
        <v>Pending</v>
      </c>
      <c r="G48" s="122" t="str"/>
      <c r="H48" s="121" t="str"/>
      <c r="I48" s="121" t="str"/>
      <c r="J48" s="122" t="str"/>
      <c r="K48" s="121" t="str"/>
      <c r="L48" s="121" t="str"/>
      <c r="M48" s="123" t="str"/>
      <c r="N48" s="121" t="str"/>
      <c r="O48" s="124" t="str"/>
      <c r="P48" s="125"/>
      <c r="Q48" s="112"/>
      <c r="R48" s="112"/>
      <c r="S48" s="112"/>
      <c r="T48" s="112"/>
      <c r="U48" s="112"/>
      <c r="V48" s="112"/>
      <c r="W48" s="112"/>
      <c r="X48" s="112"/>
      <c r="Y48" s="112"/>
    </row>
    <row r="49" ht="153.0" customHeight="1">
      <c r="A49" s="120" t="str">
        <v>USER_API_IT32</v>
      </c>
      <c r="B49" s="120" t="str">
        <v>Verify a too short new password returns MSG94 on the newPassword field.</v>
      </c>
      <c r="C49" s="120" t="str">
        <v>1. As quantri@trustcabinet.local, request a password reset for thanhvien@trustcabinet.local and copy the token from the email.
2. Send POST request to /api/auth/password-reset with body { "token": "&lt;token from the email&gt;", "newPassword": "ngan" }.</v>
      </c>
      <c r="D49" s="120" t="str">
        <v>1. HTTP 400 Bad Request response.
2. Response JSON body has code "MSG94" ("Mật khẩu mới không hợp lệ.") and an error on newPassword.
3. The old password still works; the link is not spent.</v>
      </c>
      <c r="E49" s="120" t="str">
        <v>1. Backend is running.
2. thanhvien@trustcabinet.local is active.
3. SMTP sandbox is running.</v>
      </c>
      <c r="F49" s="121" t="str">
        <v>Pending</v>
      </c>
      <c r="G49" s="122" t="str"/>
      <c r="H49" s="121" t="str"/>
      <c r="I49" s="121" t="str"/>
      <c r="J49" s="122" t="str"/>
      <c r="K49" s="121" t="str"/>
      <c r="L49" s="121" t="str"/>
      <c r="M49" s="123" t="str"/>
      <c r="N49" s="121" t="str"/>
      <c r="O49" s="124" t="str"/>
      <c r="P49" s="125"/>
      <c r="Q49" s="112"/>
      <c r="R49" s="112"/>
      <c r="S49" s="112"/>
      <c r="T49" s="112"/>
      <c r="U49" s="112"/>
      <c r="V49" s="112"/>
      <c r="W49" s="112"/>
      <c r="X49" s="112"/>
      <c r="Y49" s="112"/>
    </row>
  </sheetData>
  <mergeCells count="10">
    <mergeCell ref="B2:E2"/>
    <mergeCell ref="B3:E3"/>
    <mergeCell ref="B4:E4"/>
    <mergeCell ref="A11:O11"/>
    <mergeCell ref="A16:O16"/>
    <mergeCell ref="A18:O18"/>
    <mergeCell ref="A25:O25"/>
    <mergeCell ref="A31:O31"/>
    <mergeCell ref="A39:O39"/>
    <mergeCell ref="A46:O46"/>
  </mergeCell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TrustCabinet SEP490-G116</dc:creator>
</cp:coreProperties>
</file>