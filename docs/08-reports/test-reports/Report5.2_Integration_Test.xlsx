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name="Cover" sheetId="1" r:id="sheet1"/>
    <sheet name="Test Cases" sheetId="2" r:id="sheet2"/>
    <sheet name="Test Statistics" sheetId="3" r:id="sheet3"/>
    <sheet name="Authentication" sheetId="4" r:id="sheet4"/>
    <sheet name="Password Reset" sheetId="5" r:id="sheet5"/>
    <sheet name="Users" sheetId="6" r:id="sheet6"/>
    <sheet name="Roles" sheetId="7" r:id="sheet7"/>
    <sheet name="Permissions" sheetId="8" r:id="sheet8"/>
    <sheet name="Create Meeting" sheetId="9" r:id="sheet9"/>
    <sheet name="Edit Meeting" sheetId="10" r:id="sheet10"/>
    <sheet name="Meeting List" sheetId="11" r:id="sheet11"/>
    <sheet name="Approval" sheetId="12" r:id="sheet12"/>
    <sheet name="Publication" sheetId="13" r:id="sheet13"/>
    <sheet name="Calendar" sheetId="14" r:id="sheet14"/>
    <sheet name="Notifications" sheetId="15" r:id="sheet15"/>
    <sheet name="Access and Recovery" sheetId="16" r:id="sheet16"/>
  </sheets>
  <calcPr fullCalcOnLoad="1" forceFullCalc="1"/>
</workbook>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d\-mmm\-yy"/>
    <numFmt numFmtId="166" formatCode="dd&quot;/&quot;mm&quot;/&quot;yyyy"/>
  </numFmts>
  <fonts count="30">
    <font>
      <sz val="11.0"/>
      <color rgb="FF000000"/>
      <name val="MS PGothic"/>
      <scheme val="minor"/>
    </font>
    <font>
      <sz val="10.0"/>
      <color theme="1"/>
      <name val="Tahoma"/>
    </font>
    <font>
      <b/>
      <sz val="26.0"/>
      <color rgb="FFFF0000"/>
      <name val="Tahoma"/>
    </font>
    <font>
      <b/>
      <sz val="20.0"/>
      <color rgb="FF000000"/>
      <name val="Tahoma"/>
    </font>
    <font/>
    <font>
      <b/>
      <sz val="10.0"/>
      <color rgb="FF993300"/>
      <name val="Tahoma"/>
    </font>
    <font>
      <i/>
      <sz val="10.0"/>
      <color rgb="FF008000"/>
      <name val="Tahoma"/>
    </font>
    <font>
      <b/>
      <sz val="10.0"/>
      <color theme="1"/>
      <name val="Tahoma"/>
    </font>
    <font>
      <i/>
      <color theme="1"/>
      <name val="Tahoma"/>
    </font>
    <font>
      <i/>
      <sz val="10.0"/>
      <color theme="1"/>
      <name val="Tahoma"/>
    </font>
    <font>
      <b/>
      <sz val="10.0"/>
      <color rgb="FFFFFFFF"/>
      <name val="Tahoma"/>
    </font>
    <font>
      <sz val="12.0"/>
      <color theme="1"/>
      <name val="Times New Roman"/>
    </font>
    <font>
      <sz val="11.0"/>
      <color theme="1"/>
      <name val="MS PGothic"/>
    </font>
    <font>
      <b/>
      <sz val="10.0"/>
      <color rgb="FF000000"/>
      <name val="Tahoma"/>
    </font>
    <font>
      <b/>
      <sz val="10.0"/>
      <color rgb="FFFF0000"/>
      <name val="Tahoma"/>
    </font>
    <font>
      <color theme="1"/>
      <name val="Tahoma"/>
    </font>
    <font>
      <u/>
      <sz val="11.0"/>
      <color rgb="FF0000FF"/>
      <name val="MS PGothic"/>
    </font>
    <font>
      <u/>
      <sz val="10.0"/>
      <color rgb="FF0000FF"/>
      <name val="Tahoma"/>
    </font>
    <font>
      <i/>
      <sz val="10.0"/>
      <color rgb="FF000000"/>
      <name val="Tahoma"/>
    </font>
    <font>
      <u/>
      <sz val="11.0"/>
      <color rgb="FF0000FF"/>
      <name val="MS PGothic"/>
    </font>
    <font>
      <sz val="10.0"/>
      <color rgb="FFFFFFFF"/>
      <name val="Tahoma"/>
    </font>
    <font>
      <b/>
      <sz val="10.0"/>
      <color rgb="FF0000FF"/>
      <name val="Tahoma"/>
    </font>
    <font>
      <sz val="10.0"/>
      <color rgb="FF000000"/>
      <name val="Tahoma"/>
    </font>
    <font>
      <sz val="11.0"/>
      <color rgb="FF000000"/>
      <name val="Calibri"/>
    </font>
    <font>
      <b/>
      <sz val="11.0"/>
      <color theme="1"/>
      <name val="Calibri"/>
    </font>
    <font>
      <b/>
      <sz val="11.0"/>
      <color rgb="FFFFFFFF"/>
      <name val="Calibri"/>
    </font>
    <font>
      <color theme="1"/>
      <name val="Calibri"/>
    </font>
    <font>
      <sz val="10.0"/>
      <color rgb="FFFF0000"/>
      <name val="Tahoma"/>
    </font>
    <font>
      <color theme="1"/>
      <name val="MS PGothic"/>
      <scheme val="minor"/>
    </font>
    <font>
      <sz val="11.0"/>
      <color theme="1"/>
      <name val="Calibri"/>
    </font>
  </fonts>
  <fills count="7">
    <fill>
      <patternFill patternType="none"/>
    </fill>
    <fill>
      <patternFill patternType="lightGray"/>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76923C"/>
        <bgColor rgb="FF76923C"/>
      </patternFill>
    </fill>
    <fill>
      <patternFill patternType="solid">
        <fgColor rgb="FFCCFFFF"/>
        <bgColor rgb="FFCCFFFF"/>
      </patternFill>
    </fill>
  </fills>
  <borders count="3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ttom style="thin">
        <color rgb="FF000000"/>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right/>
      <top/>
    </border>
    <border>
      <right/>
      <top style="thin">
        <color rgb="FF000000"/>
      </top>
      <bottom style="thin">
        <color rgb="FF000000"/>
      </bottom>
    </border>
    <border>
      <right/>
      <top/>
      <bottom/>
    </border>
    <border>
      <left/>
      <right/>
      <bottom/>
    </border>
    <border>
      <left style="thin">
        <color rgb="FF000000"/>
      </left>
      <right style="hair">
        <color rgb="FF000000"/>
      </right>
      <top style="thin">
        <color rgb="FF000000"/>
      </top>
    </border>
    <border>
      <left style="hair">
        <color rgb="FF000000"/>
      </left>
      <right style="hair">
        <color rgb="FF000000"/>
      </right>
      <top style="thin">
        <color rgb="FF000000"/>
      </top>
    </border>
    <border>
      <left style="hair">
        <color rgb="FF000000"/>
      </left>
      <right/>
      <top style="thin">
        <color rgb="FF000000"/>
      </top>
    </border>
    <border>
      <left style="hair">
        <color rgb="FF000000"/>
      </left>
      <right style="thin">
        <color rgb="FF000000"/>
      </right>
      <top style="thin">
        <color rgb="FF000000"/>
      </top>
    </border>
    <border>
      <left/>
      <top/>
      <bottom/>
    </border>
    <border>
      <top/>
      <bottom/>
    </border>
    <border>
      <left style="hair">
        <color rgb="FF000000"/>
      </left>
      <right/>
      <top style="thin">
        <color rgb="FF000000"/>
      </top>
      <bottom style="hair">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style="thin">
        <color rgb="FF000000"/>
      </left>
      <right/>
      <top/>
      <bottom/>
    </border>
    <border>
      <left/>
      <right style="thin">
        <color rgb="FF000000"/>
      </right>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right style="medium">
        <color rgb="FF000000"/>
      </right>
      <top style="thin">
        <color rgb="FF000000"/>
      </top>
      <bottom style="thin">
        <color rgb="FF000000"/>
      </bottom>
    </border>
    <border>
      <left style="thin">
        <color rgb="FF000000"/>
      </left>
      <top style="thin">
        <color rgb="FF000000"/>
      </top>
      <bottom/>
    </border>
    <border>
      <top style="thin">
        <color rgb="FF000000"/>
      </top>
      <bottom/>
    </border>
    <border>
      <right/>
      <top style="thin">
        <color rgb="FF000000"/>
      </top>
      <bottom/>
    </border>
    <border>
      <left style="thin">
        <color rgb="FF000000"/>
      </left>
      <top style="thin">
        <color rgb="FF000000"/>
      </top>
    </border>
  </borders>
  <cellStyleXfs count="1">
    <xf borderId="0" fillId="0" fontId="0" numFmtId="0" applyAlignment="1" applyFont="1"/>
  </cellStyleXfs>
  <cellXfs count="165">
    <xf borderId="0" fillId="0" fontId="0" numFmtId="0" xfId="0" applyAlignment="1" applyFont="1">
      <alignment readingOrder="0" shrinkToFit="0" vertical="bottom" wrapText="0"/>
    </xf>
    <xf borderId="0" fillId="0" fontId="1" numFmtId="0" xfId="0" applyAlignment="1" applyFont="1">
      <alignment horizontal="left"/>
    </xf>
    <xf borderId="0" fillId="0" fontId="1" numFmtId="0" xfId="0" applyFont="1"/>
    <xf borderId="1" fillId="0" fontId="2" numFmtId="0" xfId="0" applyAlignment="1" applyBorder="1" applyFont="1">
      <alignment horizontal="center" vertical="center"/>
    </xf>
    <xf borderId="1" fillId="0" fontId="3" numFmtId="0" xfId="0" applyAlignment="1" applyBorder="1" applyFont="1">
      <alignment horizontal="center" readingOrder="0" vertical="center"/>
    </xf>
    <xf borderId="2" fillId="0" fontId="4" numFmtId="0" xfId="0" applyBorder="1" applyFont="1"/>
    <xf borderId="3" fillId="0" fontId="4" numFmtId="0" xfId="0" applyBorder="1" applyFont="1"/>
    <xf borderId="0" fillId="0" fontId="1" numFmtId="0" xfId="0" applyAlignment="1" applyFont="1">
      <alignment horizontal="center" vertical="center"/>
    </xf>
    <xf borderId="4" fillId="2" fontId="5" numFmtId="0" xfId="0" applyAlignment="1" applyBorder="1" applyFill="1" applyFont="1">
      <alignment horizontal="left"/>
    </xf>
    <xf borderId="0" fillId="0" fontId="6" numFmtId="0" xfId="0" applyAlignment="1" applyFont="1">
      <alignment horizontal="left"/>
    </xf>
    <xf borderId="4" fillId="2" fontId="1" numFmtId="0" xfId="0" applyBorder="1" applyFont="1"/>
    <xf borderId="5" fillId="2" fontId="7" numFmtId="0" xfId="0" applyAlignment="1" applyBorder="1" applyFont="1">
      <alignment horizontal="left"/>
    </xf>
    <xf borderId="1" fillId="0" fontId="8" numFmtId="0" xfId="0" applyAlignment="1" applyBorder="1" applyFont="1">
      <alignment vertical="bottom"/>
    </xf>
    <xf borderId="3" fillId="0" fontId="1" numFmtId="0" xfId="0" applyAlignment="1" applyBorder="1" applyFont="1">
      <alignment readingOrder="0" shrinkToFit="0" vertical="bottom" wrapText="0"/>
    </xf>
    <xf borderId="3" fillId="0" fontId="9" numFmtId="164" xfId="0" applyAlignment="1" applyBorder="1" applyFont="1" applyNumberFormat="1">
      <alignment horizontal="left" readingOrder="0" shrinkToFit="0" vertical="bottom" wrapText="0"/>
    </xf>
    <xf borderId="5" fillId="2" fontId="7" numFmtId="0" xfId="0" applyAlignment="1" applyBorder="1" applyFont="1">
      <alignment vertical="center"/>
    </xf>
    <xf borderId="1" fillId="0" fontId="9" numFmtId="0" xfId="0" applyAlignment="1" applyBorder="1" applyFont="1">
      <alignment horizontal="left" readingOrder="0" vertical="center"/>
    </xf>
    <xf borderId="3" fillId="0" fontId="9" numFmtId="0" xfId="0" applyAlignment="1" applyBorder="1" applyFont="1">
      <alignment horizontal="left" readingOrder="0"/>
    </xf>
    <xf borderId="0" fillId="0" fontId="7" numFmtId="0" xfId="0" applyFont="1"/>
    <xf borderId="0" fillId="0" fontId="5" numFmtId="0" xfId="0" applyAlignment="1" applyFont="1">
      <alignment horizontal="left"/>
    </xf>
    <xf borderId="0" fillId="0" fontId="7" numFmtId="0" xfId="0" applyAlignment="1" applyFont="1">
      <alignment horizontal="left"/>
    </xf>
    <xf borderId="6" fillId="3" fontId="10" numFmtId="165" xfId="0" applyAlignment="1" applyBorder="1" applyFill="1" applyFont="1" applyNumberFormat="1">
      <alignment horizontal="center" vertical="center"/>
    </xf>
    <xf borderId="7" fillId="3" fontId="10" numFmtId="0" xfId="0" applyAlignment="1" applyBorder="1" applyFont="1">
      <alignment horizontal="center" vertical="center"/>
    </xf>
    <xf borderId="8" fillId="3" fontId="10" numFmtId="0" xfId="0" applyAlignment="1" applyBorder="1" applyFont="1">
      <alignment horizontal="center" vertical="center"/>
    </xf>
    <xf borderId="0" fillId="0" fontId="1" numFmtId="0" xfId="0" applyAlignment="1" applyFont="1">
      <alignment vertical="center"/>
    </xf>
    <xf borderId="9" fillId="0" fontId="11" numFmtId="165" xfId="0" applyAlignment="1" applyBorder="1" applyFont="1" applyNumberFormat="1">
      <alignment horizontal="right" readingOrder="0"/>
    </xf>
    <xf borderId="10" fillId="0" fontId="11" numFmtId="49" xfId="0" applyAlignment="1" applyBorder="1" applyFont="1" applyNumberFormat="1">
      <alignment horizontal="center"/>
    </xf>
    <xf borderId="10" fillId="0" fontId="12" numFmtId="0" xfId="0" applyBorder="1" applyFont="1"/>
    <xf borderId="10" fillId="0" fontId="11" numFmtId="0" xfId="0" applyAlignment="1" applyBorder="1" applyFont="1">
      <alignment horizontal="center"/>
    </xf>
    <xf borderId="10" fillId="0" fontId="11" numFmtId="15" xfId="0" applyAlignment="1" applyBorder="1" applyFont="1" applyNumberFormat="1">
      <alignment shrinkToFit="0" wrapText="1"/>
    </xf>
    <xf borderId="11" fillId="0" fontId="9" numFmtId="0" xfId="0" applyAlignment="1" applyBorder="1" applyFont="1">
      <alignment shrinkToFit="0" vertical="top" wrapText="1"/>
    </xf>
    <xf borderId="0" fillId="0" fontId="1" numFmtId="0" xfId="0" applyAlignment="1" applyFont="1">
      <alignment vertical="top"/>
    </xf>
    <xf borderId="9" fillId="0" fontId="11" numFmtId="0" xfId="0" applyAlignment="1" applyBorder="1" applyFont="1">
      <alignment horizontal="right" readingOrder="0"/>
    </xf>
    <xf borderId="10" fillId="0" fontId="11" numFmtId="0" xfId="0" applyAlignment="1" applyBorder="1" applyFont="1">
      <alignment readingOrder="0" shrinkToFit="0" wrapText="1"/>
    </xf>
    <xf borderId="11" fillId="0" fontId="1" numFmtId="0" xfId="0" applyAlignment="1" applyBorder="1" applyFont="1">
      <alignment vertical="top"/>
    </xf>
    <xf borderId="10" fillId="0" fontId="1" numFmtId="0" xfId="0" applyAlignment="1" applyBorder="1" applyFont="1">
      <alignment vertical="top"/>
    </xf>
    <xf borderId="4" fillId="2" fontId="1" numFmtId="1" xfId="0" applyBorder="1" applyFont="1" applyNumberFormat="1"/>
    <xf borderId="4" fillId="2" fontId="1" numFmtId="0" xfId="0" applyAlignment="1" applyBorder="1" applyFont="1">
      <alignment horizontal="left"/>
    </xf>
    <xf borderId="4" fillId="2" fontId="3" numFmtId="0" xfId="0" applyAlignment="1" applyBorder="1" applyFont="1">
      <alignment horizontal="left"/>
    </xf>
    <xf borderId="4" fillId="2" fontId="13" numFmtId="0" xfId="0" applyAlignment="1" applyBorder="1" applyFont="1">
      <alignment horizontal="left"/>
    </xf>
    <xf borderId="12" fillId="2" fontId="14" numFmtId="0" xfId="0" applyAlignment="1" applyBorder="1" applyFont="1">
      <alignment horizontal="left"/>
    </xf>
    <xf borderId="12" fillId="2" fontId="1" numFmtId="0" xfId="0" applyAlignment="1" applyBorder="1" applyFont="1">
      <alignment horizontal="left"/>
    </xf>
    <xf borderId="1" fillId="2" fontId="5" numFmtId="1" xfId="0" applyBorder="1" applyFont="1" applyNumberFormat="1"/>
    <xf borderId="13" fillId="0" fontId="4" numFmtId="0" xfId="0" applyBorder="1" applyFont="1"/>
    <xf borderId="14" fillId="2" fontId="1" numFmtId="0" xfId="0" applyBorder="1" applyFont="1"/>
    <xf borderId="4" fillId="2" fontId="1" numFmtId="0" xfId="0" applyAlignment="1" applyBorder="1" applyFont="1">
      <alignment shrinkToFit="0" wrapText="1"/>
    </xf>
    <xf borderId="1" fillId="2" fontId="5" numFmtId="1" xfId="0" applyAlignment="1" applyBorder="1" applyFont="1" applyNumberFormat="1">
      <alignment shrinkToFit="0" vertical="center" wrapText="1"/>
    </xf>
    <xf borderId="1" fillId="2" fontId="11" numFmtId="0" xfId="0" applyAlignment="1" applyBorder="1" applyFont="1">
      <alignment readingOrder="0" shrinkToFit="0" vertical="top" wrapText="1"/>
    </xf>
    <xf borderId="14" fillId="2" fontId="1" numFmtId="0" xfId="0" applyAlignment="1" applyBorder="1" applyFont="1">
      <alignment shrinkToFit="0" wrapText="1"/>
    </xf>
    <xf borderId="4" fillId="2" fontId="5" numFmtId="1" xfId="0" applyBorder="1" applyFont="1" applyNumberFormat="1"/>
    <xf borderId="15" fillId="2" fontId="1" numFmtId="0" xfId="0" applyBorder="1" applyFont="1"/>
    <xf borderId="4" fillId="2" fontId="1" numFmtId="0" xfId="0" applyAlignment="1" applyBorder="1" applyFont="1">
      <alignment vertical="center"/>
    </xf>
    <xf borderId="4" fillId="2" fontId="1" numFmtId="1" xfId="0" applyAlignment="1" applyBorder="1" applyFont="1" applyNumberFormat="1">
      <alignment vertical="center"/>
    </xf>
    <xf borderId="4" fillId="2" fontId="1" numFmtId="0" xfId="0" applyAlignment="1" applyBorder="1" applyFont="1">
      <alignment horizontal="left" vertical="center"/>
    </xf>
    <xf borderId="4" fillId="2" fontId="7" numFmtId="0" xfId="0" applyAlignment="1" applyBorder="1" applyFont="1">
      <alignment horizontal="center"/>
    </xf>
    <xf borderId="16" fillId="4" fontId="10" numFmtId="1" xfId="0" applyAlignment="1" applyBorder="1" applyFill="1" applyFont="1" applyNumberFormat="1">
      <alignment horizontal="center" shrinkToFit="0" vertical="center" wrapText="1"/>
    </xf>
    <xf borderId="17" fillId="4" fontId="10" numFmtId="0" xfId="0" applyAlignment="1" applyBorder="1" applyFont="1">
      <alignment horizontal="center" shrinkToFit="0" vertical="center" wrapText="1"/>
    </xf>
    <xf borderId="18" fillId="4" fontId="10" numFmtId="0" xfId="0" applyAlignment="1" applyBorder="1" applyFont="1">
      <alignment horizontal="center" shrinkToFit="0" vertical="center" wrapText="1"/>
    </xf>
    <xf borderId="19" fillId="4" fontId="10" numFmtId="0" xfId="0" applyAlignment="1" applyBorder="1" applyFont="1">
      <alignment horizontal="center" shrinkToFit="0" vertical="center" wrapText="1"/>
    </xf>
    <xf borderId="20" fillId="2" fontId="1" numFmtId="0" xfId="0" applyBorder="1" applyFont="1"/>
    <xf borderId="5" fillId="2" fontId="1" numFmtId="1" xfId="0" applyAlignment="1" applyBorder="1" applyFont="1" applyNumberFormat="1">
      <alignment horizontal="left" shrinkToFit="0" vertical="center" wrapText="1"/>
    </xf>
    <xf borderId="5" fillId="0" fontId="15" numFmtId="49" xfId="0" applyAlignment="1" applyBorder="1" applyFont="1" applyNumberFormat="1">
      <alignment shrinkToFit="0" wrapText="1"/>
    </xf>
    <xf borderId="5" fillId="2" fontId="16" numFmtId="0" xfId="0" applyAlignment="1" applyBorder="1" applyFont="1">
      <alignment horizontal="left" readingOrder="0" shrinkToFit="0" vertical="center" wrapText="1"/>
    </xf>
    <xf borderId="5" fillId="2" fontId="17" numFmtId="0" xfId="0" applyAlignment="1" applyBorder="1" applyFont="1">
      <alignment horizontal="left" shrinkToFit="0" vertical="center" wrapText="1"/>
    </xf>
    <xf borderId="5" fillId="2" fontId="1" numFmtId="0" xfId="0" applyAlignment="1" applyBorder="1" applyFont="1">
      <alignment horizontal="left" shrinkToFit="0" vertical="center" wrapText="1"/>
    </xf>
    <xf borderId="5" fillId="0" fontId="15" numFmtId="49" xfId="0" applyAlignment="1" applyBorder="1" applyFont="1" applyNumberFormat="1">
      <alignment readingOrder="0" shrinkToFit="0" wrapText="1"/>
    </xf>
    <xf borderId="15" fillId="2" fontId="1" numFmtId="1" xfId="0" applyBorder="1" applyFont="1" applyNumberFormat="1"/>
    <xf borderId="15" fillId="2" fontId="1" numFmtId="0" xfId="0" applyAlignment="1" applyBorder="1" applyFont="1">
      <alignment horizontal="left"/>
    </xf>
    <xf borderId="20" fillId="2" fontId="3" numFmtId="0" xfId="0" applyAlignment="1" applyBorder="1" applyFont="1">
      <alignment horizontal="center"/>
    </xf>
    <xf borderId="21" fillId="0" fontId="4" numFmtId="0" xfId="0" applyBorder="1" applyFont="1"/>
    <xf borderId="14" fillId="0" fontId="4" numFmtId="0" xfId="0" applyBorder="1" applyFont="1"/>
    <xf borderId="4" fillId="2" fontId="7" numFmtId="0" xfId="0" applyBorder="1" applyFont="1"/>
    <xf borderId="12" fillId="2" fontId="1" numFmtId="0" xfId="0" applyBorder="1" applyFont="1"/>
    <xf borderId="4" fillId="2" fontId="1" numFmtId="165" xfId="0" applyBorder="1" applyFont="1" applyNumberFormat="1"/>
    <xf borderId="5" fillId="2" fontId="5" numFmtId="0" xfId="0" applyAlignment="1" applyBorder="1" applyFont="1">
      <alignment horizontal="left" vertical="center"/>
    </xf>
    <xf borderId="5" fillId="2" fontId="5" numFmtId="0" xfId="0" applyAlignment="1" applyBorder="1" applyFont="1">
      <alignment vertical="center"/>
    </xf>
    <xf borderId="1" fillId="2" fontId="18" numFmtId="0" xfId="0" applyAlignment="1" applyBorder="1" applyFont="1">
      <alignment horizontal="left"/>
    </xf>
    <xf borderId="1" fillId="2" fontId="5" numFmtId="0" xfId="0" applyAlignment="1" applyBorder="1" applyFont="1">
      <alignment horizontal="left"/>
    </xf>
    <xf borderId="2" fillId="0" fontId="9" numFmtId="164" xfId="0" applyAlignment="1" applyBorder="1" applyFont="1" applyNumberFormat="1">
      <alignment horizontal="left" readingOrder="0" shrinkToFit="0" vertical="bottom" wrapText="0"/>
    </xf>
    <xf borderId="1" fillId="2" fontId="6" numFmtId="0" xfId="0" applyAlignment="1" applyBorder="1" applyFont="1">
      <alignment vertical="top"/>
    </xf>
    <xf borderId="4" fillId="2" fontId="5" numFmtId="0" xfId="0" applyBorder="1" applyFont="1"/>
    <xf borderId="4" fillId="2" fontId="6" numFmtId="0" xfId="0" applyBorder="1" applyFont="1"/>
    <xf borderId="6" fillId="3" fontId="10" numFmtId="0" xfId="0" applyAlignment="1" applyBorder="1" applyFont="1">
      <alignment horizontal="center"/>
    </xf>
    <xf borderId="7" fillId="3" fontId="10" numFmtId="0" xfId="0" applyAlignment="1" applyBorder="1" applyFont="1">
      <alignment horizontal="center"/>
    </xf>
    <xf borderId="7" fillId="3" fontId="10" numFmtId="0" xfId="0" applyAlignment="1" applyBorder="1" applyFont="1">
      <alignment horizontal="center" shrinkToFit="0" wrapText="1"/>
    </xf>
    <xf borderId="22" fillId="3" fontId="10" numFmtId="0" xfId="0" applyAlignment="1" applyBorder="1" applyFont="1">
      <alignment horizontal="center"/>
    </xf>
    <xf borderId="8" fillId="3" fontId="10" numFmtId="0" xfId="0" applyAlignment="1" applyBorder="1" applyFont="1">
      <alignment horizontal="center" shrinkToFit="0" wrapText="1"/>
    </xf>
    <xf borderId="9" fillId="2" fontId="1" numFmtId="0" xfId="0" applyAlignment="1" applyBorder="1" applyFont="1">
      <alignment horizontal="center"/>
    </xf>
    <xf borderId="10" fillId="2" fontId="19" numFmtId="0" xfId="0" applyAlignment="1" applyBorder="1" applyFont="1">
      <alignment horizontal="left" readingOrder="0" shrinkToFit="0" vertical="center" wrapText="1"/>
    </xf>
    <xf borderId="10" fillId="2" fontId="15" numFmtId="0" xfId="0" applyAlignment="1" applyBorder="1" applyFont="1">
      <alignment horizontal="center" vertical="bottom"/>
    </xf>
    <xf borderId="10" fillId="2" fontId="15" numFmtId="0" xfId="0" applyAlignment="1" applyBorder="1" applyFont="1">
      <alignment horizontal="center" readingOrder="0" vertical="bottom"/>
    </xf>
    <xf borderId="11" fillId="2" fontId="15" numFmtId="0" xfId="0" applyAlignment="1" applyBorder="1" applyFont="1">
      <alignment horizontal="center" vertical="bottom"/>
    </xf>
    <xf borderId="23" fillId="3" fontId="20" numFmtId="0" xfId="0" applyAlignment="1" applyBorder="1" applyFont="1">
      <alignment horizontal="center"/>
    </xf>
    <xf borderId="24" fillId="3" fontId="10" numFmtId="0" xfId="0" applyBorder="1" applyFont="1"/>
    <xf borderId="24" fillId="3" fontId="20" numFmtId="0" xfId="0" applyAlignment="1" applyBorder="1" applyFont="1">
      <alignment horizontal="center"/>
    </xf>
    <xf borderId="25" fillId="3" fontId="20" numFmtId="0" xfId="0" applyAlignment="1" applyBorder="1" applyFont="1">
      <alignment horizontal="center"/>
    </xf>
    <xf borderId="26" fillId="2" fontId="1" numFmtId="0" xfId="0" applyAlignment="1" applyBorder="1" applyFont="1">
      <alignment horizontal="center"/>
    </xf>
    <xf borderId="4" fillId="2" fontId="1" numFmtId="10" xfId="0" applyAlignment="1" applyBorder="1" applyFont="1" applyNumberFormat="1">
      <alignment horizontal="center"/>
    </xf>
    <xf borderId="4" fillId="2" fontId="1" numFmtId="9" xfId="0" applyAlignment="1" applyBorder="1" applyFont="1" applyNumberFormat="1">
      <alignment horizontal="center"/>
    </xf>
    <xf borderId="27" fillId="2" fontId="1" numFmtId="9" xfId="0" applyAlignment="1" applyBorder="1" applyFont="1" applyNumberFormat="1">
      <alignment horizontal="center"/>
    </xf>
    <xf borderId="26" fillId="2" fontId="1" numFmtId="0" xfId="0" applyBorder="1" applyFont="1"/>
    <xf borderId="4" fillId="2" fontId="21" numFmtId="2" xfId="0" applyAlignment="1" applyBorder="1" applyFont="1" applyNumberFormat="1">
      <alignment horizontal="right" shrinkToFit="0" wrapText="1"/>
    </xf>
    <xf borderId="27" fillId="2" fontId="22" numFmtId="0" xfId="0" applyAlignment="1" applyBorder="1" applyFont="1">
      <alignment horizontal="center" shrinkToFit="0" wrapText="1"/>
    </xf>
    <xf borderId="28" fillId="2" fontId="1" numFmtId="0" xfId="0" applyBorder="1" applyFont="1"/>
    <xf borderId="29" fillId="2" fontId="5" numFmtId="0" xfId="0" applyAlignment="1" applyBorder="1" applyFont="1">
      <alignment horizontal="left"/>
    </xf>
    <xf borderId="29" fillId="2" fontId="1" numFmtId="0" xfId="0" applyBorder="1" applyFont="1"/>
    <xf borderId="29" fillId="2" fontId="21" numFmtId="2" xfId="0" applyAlignment="1" applyBorder="1" applyFont="1" applyNumberFormat="1">
      <alignment horizontal="right" shrinkToFit="0" wrapText="1"/>
    </xf>
    <xf borderId="30" fillId="2" fontId="22" numFmtId="0" xfId="0" applyAlignment="1" applyBorder="1" applyFont="1">
      <alignment horizontal="center" shrinkToFit="0" wrapText="1"/>
    </xf>
    <xf borderId="0" fillId="0" fontId="23" numFmtId="0" xfId="0" applyAlignment="1" applyFont="1">
      <alignment shrinkToFit="0" vertical="bottom" wrapText="1"/>
    </xf>
    <xf borderId="0" fillId="2" fontId="1" numFmtId="0" xfId="0" applyAlignment="1" applyFont="1">
      <alignment shrinkToFit="0" wrapText="1"/>
    </xf>
    <xf borderId="5" fillId="0" fontId="24" numFmtId="0" xfId="0" applyAlignment="1" applyBorder="1" applyFont="1">
      <alignment readingOrder="0" shrinkToFit="0" vertical="bottom" wrapText="1"/>
    </xf>
    <xf borderId="1" fillId="0" fontId="24" numFmtId="0" xfId="0" applyAlignment="1" applyBorder="1" applyFont="1">
      <alignment horizontal="left" readingOrder="0" shrinkToFit="0" wrapText="1"/>
    </xf>
    <xf borderId="31" fillId="0" fontId="4" numFmtId="0" xfId="0" applyBorder="1" applyFont="1"/>
    <xf borderId="4" fillId="2" fontId="22" numFmtId="0" xfId="0" applyAlignment="1" applyBorder="1" applyFont="1">
      <alignment shrinkToFit="0" wrapText="1"/>
    </xf>
    <xf borderId="0" fillId="2" fontId="22" numFmtId="0" xfId="0" applyAlignment="1" applyFont="1">
      <alignment shrinkToFit="0" wrapText="1"/>
    </xf>
    <xf borderId="5" fillId="0" fontId="24" numFmtId="0" xfId="0" applyAlignment="1" applyBorder="1" applyFont="1">
      <alignment horizontal="center" readingOrder="0" shrinkToFit="0" wrapText="1"/>
    </xf>
    <xf borderId="5" fillId="0" fontId="24" numFmtId="0" xfId="0" applyAlignment="1" applyBorder="1" applyFont="1">
      <alignment horizontal="left" readingOrder="0" shrinkToFit="0" wrapText="1"/>
    </xf>
    <xf borderId="5" fillId="5" fontId="25" numFmtId="0" xfId="0" applyAlignment="1" applyBorder="1" applyFill="1" applyFont="1">
      <alignment horizontal="center" readingOrder="0" shrinkToFit="0" wrapText="1"/>
    </xf>
    <xf borderId="4" fillId="2" fontId="14" numFmtId="0" xfId="0" applyAlignment="1" applyBorder="1" applyFont="1">
      <alignment horizontal="center" shrinkToFit="0" vertical="center" wrapText="1"/>
    </xf>
    <xf borderId="1" fillId="6" fontId="24" numFmtId="0" xfId="0" applyAlignment="1" applyBorder="1" applyFill="1" applyFont="1">
      <alignment horizontal="left" readingOrder="0" shrinkToFit="0" wrapText="1"/>
    </xf>
    <xf borderId="14" fillId="2" fontId="14" numFmtId="0" xfId="0" applyAlignment="1" applyBorder="1" applyFont="1">
      <alignment horizontal="left" shrinkToFit="0" vertical="center" wrapText="1"/>
    </xf>
    <xf borderId="5" fillId="0" fontId="26" numFmtId="0" xfId="0" applyAlignment="1" applyBorder="1" applyFont="1">
      <alignment horizontal="left" readingOrder="0" shrinkToFit="0" vertical="top" wrapText="1"/>
    </xf>
    <xf borderId="5" fillId="0" fontId="26" numFmtId="164" xfId="0" applyAlignment="1" applyBorder="1" applyFont="1" applyNumberFormat="1">
      <alignment horizontal="left" readingOrder="0" shrinkToFit="0" vertical="top" wrapText="1"/>
    </xf>
    <xf borderId="5" fillId="0" fontId="26" numFmtId="166" xfId="0" applyAlignment="1" applyBorder="1" applyFont="1" applyNumberFormat="1">
      <alignment horizontal="left" shrinkToFit="0" vertical="top" wrapText="1"/>
    </xf>
    <xf borderId="4" fillId="2" fontId="14" numFmtId="0" xfId="0" applyAlignment="1" applyBorder="1" applyFont="1">
      <alignment horizontal="left" shrinkToFit="0" vertical="center" wrapText="1"/>
    </xf>
    <xf borderId="5" fillId="0" fontId="26" numFmtId="0" xfId="0" applyAlignment="1" applyBorder="1" applyFont="1">
      <alignment horizontal="left" shrinkToFit="0" vertical="top" wrapText="1"/>
    </xf>
    <xf borderId="4" fillId="2" fontId="27" numFmtId="0" xfId="0" applyAlignment="1" applyBorder="1" applyFont="1">
      <alignment shrinkToFit="0" vertical="top" wrapText="1"/>
    </xf>
    <xf borderId="4" fillId="2" fontId="22" numFmtId="0" xfId="0" applyAlignment="1" applyBorder="1" applyFont="1">
      <alignment shrinkToFit="0" vertical="top" wrapText="1"/>
    </xf>
    <xf borderId="5" fillId="0" fontId="26" numFmtId="0" xfId="0" applyAlignment="1" applyBorder="1" applyFont="1">
      <alignment horizontal="left" shrinkToFit="0" vertical="top" wrapText="1"/>
    </xf>
    <xf borderId="14" fillId="2" fontId="27" numFmtId="0" xfId="0" applyAlignment="1" applyBorder="1" applyFont="1">
      <alignment shrinkToFit="0" vertical="top" wrapText="1"/>
    </xf>
    <xf borderId="4" fillId="2" fontId="27" numFmtId="0" xfId="0" applyAlignment="1" applyBorder="1" applyFont="1">
      <alignment shrinkToFit="0" wrapText="1"/>
    </xf>
    <xf borderId="14" fillId="2" fontId="27" numFmtId="0" xfId="0" applyAlignment="1" applyBorder="1" applyFont="1">
      <alignment shrinkToFit="0" wrapText="1"/>
    </xf>
    <xf borderId="5" fillId="0" fontId="26" numFmtId="0" xfId="0" applyAlignment="1" applyBorder="1" applyFont="1">
      <alignment horizontal="left" shrinkToFit="0" vertical="top" wrapText="1"/>
    </xf>
    <xf borderId="0" fillId="0" fontId="28" numFmtId="0" xfId="0" applyAlignment="1" applyFont="1">
      <alignment shrinkToFit="0" wrapText="1"/>
    </xf>
    <xf borderId="0" fillId="0" fontId="23" numFmtId="0" xfId="0" applyAlignment="1" applyFont="1">
      <alignment shrinkToFit="0" vertical="bottom" wrapText="1"/>
    </xf>
    <xf borderId="32" fillId="0" fontId="24" numFmtId="0" xfId="0" applyAlignment="1" applyBorder="1" applyFont="1">
      <alignment horizontal="left" readingOrder="0" shrinkToFit="0" wrapText="1"/>
    </xf>
    <xf borderId="33" fillId="0" fontId="4" numFmtId="0" xfId="0" applyBorder="1" applyFont="1"/>
    <xf borderId="34" fillId="0" fontId="4" numFmtId="0" xfId="0" applyBorder="1" applyFont="1"/>
    <xf borderId="0" fillId="2" fontId="1" numFmtId="0" xfId="0" applyFont="1"/>
    <xf borderId="0" fillId="0" fontId="23" numFmtId="0" xfId="0" applyAlignment="1" applyFont="1">
      <alignment shrinkToFit="0" vertical="bottom" wrapText="1"/>
    </xf>
    <xf borderId="0" fillId="0" fontId="23" numFmtId="164" xfId="0" applyAlignment="1" applyFont="1" applyNumberFormat="1">
      <alignment shrinkToFit="0" vertical="bottom" wrapText="1"/>
    </xf>
    <xf borderId="4" fillId="2" fontId="27" numFmtId="0" xfId="0" applyBorder="1" applyFont="1"/>
    <xf borderId="4" fillId="2" fontId="22" numFmtId="0" xfId="0" applyBorder="1" applyFont="1"/>
    <xf borderId="0" fillId="2" fontId="22" numFmtId="0" xfId="0" applyFont="1"/>
    <xf borderId="5" fillId="0" fontId="29" numFmtId="0" xfId="0" applyAlignment="1" applyBorder="1" applyFont="1">
      <alignment readingOrder="0" shrinkToFit="0" vertical="top" wrapText="1"/>
    </xf>
    <xf borderId="5" fillId="0" fontId="29" numFmtId="0" xfId="0" applyAlignment="1" applyBorder="1" applyFont="1">
      <alignment shrinkToFit="0" vertical="top" wrapText="1"/>
    </xf>
    <xf borderId="5" fillId="0" fontId="29" numFmtId="164" xfId="0" applyAlignment="1" applyBorder="1" applyFont="1" applyNumberFormat="1">
      <alignment shrinkToFit="0" vertical="top" wrapText="1"/>
    </xf>
    <xf borderId="5" fillId="0" fontId="12" numFmtId="0" xfId="0" applyAlignment="1" applyBorder="1" applyFont="1">
      <alignment vertical="top"/>
    </xf>
    <xf borderId="5" fillId="0" fontId="29" numFmtId="164" xfId="0" applyAlignment="1" applyBorder="1" applyFont="1" applyNumberFormat="1">
      <alignment horizontal="right" shrinkToFit="0" vertical="top" wrapText="1"/>
    </xf>
    <xf borderId="5" fillId="0" fontId="12" numFmtId="0" xfId="0" applyAlignment="1" applyBorder="1" applyFont="1">
      <alignment vertical="top"/>
    </xf>
    <xf borderId="32" fillId="6" fontId="24" numFmtId="0" xfId="0" applyAlignment="1" applyBorder="1" applyFont="1">
      <alignment horizontal="left" readingOrder="0" shrinkToFit="0" wrapText="1"/>
    </xf>
    <xf borderId="5" fillId="0" fontId="12" numFmtId="0" xfId="0" applyAlignment="1" applyBorder="1" applyFont="1">
      <alignment vertical="top"/>
    </xf>
    <xf borderId="4" fillId="2" fontId="12" numFmtId="0" xfId="0" applyAlignment="1" applyBorder="1" applyFont="1">
      <alignment vertical="bottom"/>
    </xf>
    <xf borderId="0" fillId="2" fontId="12" numFmtId="0" xfId="0" applyAlignment="1" applyFont="1">
      <alignment vertical="bottom"/>
    </xf>
    <xf borderId="4" fillId="2" fontId="1" numFmtId="0" xfId="0" applyAlignment="1" applyBorder="1" applyFont="1">
      <alignment horizontal="center" shrinkToFit="0" wrapText="1"/>
    </xf>
    <xf borderId="4" fillId="2" fontId="27" numFmtId="0" xfId="0" applyAlignment="1" applyBorder="1" applyFont="1">
      <alignment horizontal="center" shrinkToFit="0" wrapText="1"/>
    </xf>
    <xf borderId="14" fillId="2" fontId="22" numFmtId="0" xfId="0" applyAlignment="1" applyBorder="1" applyFont="1">
      <alignment shrinkToFit="0" wrapText="1"/>
    </xf>
    <xf borderId="3" fillId="0" fontId="29" numFmtId="0" xfId="0" applyAlignment="1" applyBorder="1" applyFont="1">
      <alignment readingOrder="0" shrinkToFit="0" vertical="top" wrapText="1"/>
    </xf>
    <xf borderId="3" fillId="0" fontId="12" numFmtId="0" xfId="0" applyAlignment="1" applyBorder="1" applyFont="1">
      <alignment vertical="top"/>
    </xf>
    <xf borderId="35" fillId="0" fontId="26" numFmtId="0" xfId="0" applyAlignment="1" applyBorder="1" applyFont="1">
      <alignment horizontal="left" shrinkToFit="0" vertical="top" wrapText="1"/>
    </xf>
    <xf borderId="35" fillId="0" fontId="12" numFmtId="0" xfId="0" applyAlignment="1" applyBorder="1" applyFont="1">
      <alignment vertical="top"/>
    </xf>
    <xf borderId="5" fillId="0" fontId="26" numFmtId="0" xfId="0" applyAlignment="1" applyBorder="1" applyFont="1">
      <alignment horizontal="left" readingOrder="0" vertical="top"/>
    </xf>
    <xf borderId="5" fillId="0" fontId="24" numFmtId="0" xfId="0" applyAlignment="1" applyBorder="1" applyFont="1">
      <alignment readingOrder="0" shrinkToFit="0" vertical="bottom" wrapText="0"/>
    </xf>
    <xf borderId="1" fillId="0" fontId="24" numFmtId="0" xfId="0" applyAlignment="1" applyBorder="1" applyFont="1">
      <alignment horizontal="left" readingOrder="0"/>
    </xf>
    <xf borderId="5" fillId="0" fontId="24" numFmtId="0" xfId="0" applyAlignment="1" applyBorder="1" applyFont="1">
      <alignment horizontal="center"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styles" Type="http://schemas.openxmlformats.org/officeDocument/2006/relationships/styles" Target="styles.xml"/><Relationship Id="theme" Type="http://schemas.openxmlformats.org/officeDocument/2006/relationships/theme" Target="theme/theme1.xml"/><Relationship Id="sheet1" Type="http://schemas.openxmlformats.org/officeDocument/2006/relationships/worksheet" Target="worksheets/sheet1.xml"/><Relationship Id="sheet2" Type="http://schemas.openxmlformats.org/officeDocument/2006/relationships/worksheet" Target="worksheets/sheet2.xml"/><Relationship Id="sheet3" Type="http://schemas.openxmlformats.org/officeDocument/2006/relationships/worksheet" Target="worksheets/sheet3.xml"/><Relationship Id="sheet4" Type="http://schemas.openxmlformats.org/officeDocument/2006/relationships/worksheet" Target="worksheets/sheet4.xml"/><Relationship Id="sheet5" Type="http://schemas.openxmlformats.org/officeDocument/2006/relationships/worksheet" Target="worksheets/sheet5.xml"/><Relationship Id="sheet6" Type="http://schemas.openxmlformats.org/officeDocument/2006/relationships/worksheet" Target="worksheets/sheet6.xml"/><Relationship Id="sheet7" Type="http://schemas.openxmlformats.org/officeDocument/2006/relationships/worksheet" Target="worksheets/sheet7.xml"/><Relationship Id="sheet8" Type="http://schemas.openxmlformats.org/officeDocument/2006/relationships/worksheet" Target="worksheets/sheet8.xml"/><Relationship Id="sheet9" Type="http://schemas.openxmlformats.org/officeDocument/2006/relationships/worksheet" Target="worksheets/sheet9.xml"/><Relationship Id="sheet10" Type="http://schemas.openxmlformats.org/officeDocument/2006/relationships/worksheet" Target="worksheets/sheet10.xml"/><Relationship Id="sheet11" Type="http://schemas.openxmlformats.org/officeDocument/2006/relationships/worksheet" Target="worksheets/sheet11.xml"/><Relationship Id="sheet12" Type="http://schemas.openxmlformats.org/officeDocument/2006/relationships/worksheet" Target="worksheets/sheet12.xml"/><Relationship Id="sheet13" Type="http://schemas.openxmlformats.org/officeDocument/2006/relationships/worksheet" Target="worksheets/sheet13.xml"/><Relationship Id="sheet14" Type="http://schemas.openxmlformats.org/officeDocument/2006/relationships/worksheet" Target="worksheets/sheet14.xml"/><Relationship Id="sheet15" Type="http://schemas.openxmlformats.org/officeDocument/2006/relationships/worksheet" Target="worksheets/sheet15.xml"/><Relationship Id="sheet16" Type="http://schemas.openxmlformats.org/officeDocument/2006/relationships/worksheet" Target="worksheets/sheet1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1419225" cy="5143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topLeftCell="A1" zoomScale="70"/>
  </sheetViews>
  <sheetFormatPr customHeight="1" defaultColWidth="12.63" defaultRowHeight="15.0"/>
  <cols>
    <col customWidth="1" min="1" max="1" width="18.63"/>
    <col customWidth="1" min="2" max="2" width="10.0"/>
    <col customWidth="1" min="3" max="3" width="14.38"/>
    <col customWidth="1" min="4" max="4" width="11.5"/>
    <col customWidth="1" min="5" max="5" width="75.88"/>
    <col customWidth="1" min="6" max="6" width="48.13"/>
    <col customWidth="1" min="7" max="26" width="9.0"/>
  </cols>
  <sheetData>
    <row r="1" ht="12.75" customHeight="1">
      <c r="A1" s="1"/>
      <c r="B1" s="2"/>
      <c r="C1" s="2"/>
      <c r="D1" s="2"/>
      <c r="E1" s="2"/>
      <c r="F1" s="2"/>
      <c r="G1" s="2"/>
      <c r="H1" s="2"/>
      <c r="I1" s="2"/>
      <c r="J1" s="2"/>
      <c r="K1" s="2"/>
      <c r="L1" s="2"/>
      <c r="M1" s="2"/>
      <c r="N1" s="2"/>
      <c r="O1" s="2"/>
      <c r="P1" s="2"/>
      <c r="Q1" s="2"/>
      <c r="R1" s="2"/>
      <c r="S1" s="2"/>
      <c r="T1" s="2"/>
      <c r="U1" s="2"/>
      <c r="V1" s="2"/>
      <c r="W1" s="2"/>
      <c r="X1" s="2"/>
      <c r="Y1" s="2"/>
      <c r="Z1" s="2"/>
    </row>
    <row r="2" ht="75.75" customHeight="1">
      <c r="A2" s="3"/>
      <c r="B2" s="4" t="str">
        <v>INTEGRATION TEST DOCUMENT</v>
      </c>
      <c r="C2" s="5"/>
      <c r="D2" s="5"/>
      <c r="E2" s="5"/>
      <c r="F2" s="6"/>
      <c r="G2" s="7"/>
      <c r="H2" s="7"/>
      <c r="I2" s="7"/>
      <c r="J2" s="7"/>
      <c r="K2" s="7"/>
      <c r="L2" s="7"/>
      <c r="M2" s="7"/>
      <c r="N2" s="7"/>
      <c r="O2" s="7"/>
      <c r="P2" s="7"/>
      <c r="Q2" s="7"/>
      <c r="R2" s="7"/>
      <c r="S2" s="7"/>
      <c r="T2" s="7"/>
      <c r="U2" s="7"/>
      <c r="V2" s="7"/>
      <c r="W2" s="7"/>
      <c r="X2" s="7"/>
      <c r="Y2" s="7"/>
      <c r="Z2" s="7"/>
    </row>
    <row r="3" ht="12.75" customHeight="1">
      <c r="A3" s="8"/>
      <c r="B3" s="9"/>
      <c r="C3" s="2"/>
      <c r="D3" s="2"/>
      <c r="E3" s="10"/>
      <c r="F3" s="2"/>
      <c r="G3" s="2"/>
      <c r="H3" s="2"/>
      <c r="I3" s="2"/>
      <c r="J3" s="2"/>
      <c r="K3" s="2"/>
      <c r="L3" s="2"/>
      <c r="M3" s="2"/>
      <c r="N3" s="2"/>
      <c r="O3" s="2"/>
      <c r="P3" s="2"/>
      <c r="Q3" s="2"/>
      <c r="R3" s="2"/>
      <c r="S3" s="2"/>
      <c r="T3" s="2"/>
      <c r="U3" s="2"/>
      <c r="V3" s="2"/>
      <c r="W3" s="2"/>
      <c r="X3" s="2"/>
      <c r="Y3" s="2"/>
      <c r="Z3" s="2"/>
    </row>
    <row r="4" ht="14.25" customHeight="1">
      <c r="A4" s="11" t="str">
        <v>Project Name</v>
      </c>
      <c r="B4" s="12" t="str">
        <v>TrustCabinet</v>
      </c>
      <c r="C4" s="5"/>
      <c r="D4" s="6"/>
      <c r="E4" s="11" t="str">
        <v>Creator</v>
      </c>
      <c r="F4" s="13" t="str">
        <v>TrustCabinet Team</v>
      </c>
      <c r="G4" s="2"/>
      <c r="H4" s="2"/>
      <c r="I4" s="2"/>
      <c r="J4" s="2"/>
      <c r="K4" s="2"/>
      <c r="L4" s="2"/>
      <c r="M4" s="2"/>
      <c r="N4" s="2"/>
      <c r="O4" s="2"/>
      <c r="P4" s="2"/>
      <c r="Q4" s="2"/>
      <c r="R4" s="2"/>
      <c r="S4" s="2"/>
      <c r="T4" s="2"/>
      <c r="U4" s="2"/>
      <c r="V4" s="2"/>
      <c r="W4" s="2"/>
      <c r="X4" s="2"/>
      <c r="Y4" s="2"/>
      <c r="Z4" s="2"/>
    </row>
    <row r="5" ht="14.25" customHeight="1">
      <c r="A5" s="11" t="str">
        <v>Project Code</v>
      </c>
      <c r="B5" s="12" t="str">
        <v>SEP490-G116</v>
      </c>
      <c r="C5" s="5"/>
      <c r="D5" s="6"/>
      <c r="E5" s="11" t="str">
        <v>Issue Date</v>
      </c>
      <c r="F5" s="14" t="str">
        <v>2026-10-23</v>
      </c>
      <c r="G5" s="2"/>
      <c r="H5" s="2"/>
      <c r="I5" s="2"/>
      <c r="J5" s="2"/>
      <c r="K5" s="2"/>
      <c r="L5" s="2"/>
      <c r="M5" s="2"/>
      <c r="N5" s="2"/>
      <c r="O5" s="2"/>
      <c r="P5" s="2"/>
      <c r="Q5" s="2"/>
      <c r="R5" s="2"/>
      <c r="S5" s="2"/>
      <c r="T5" s="2"/>
      <c r="U5" s="2"/>
      <c r="V5" s="2"/>
      <c r="W5" s="2"/>
      <c r="X5" s="2"/>
      <c r="Y5" s="2"/>
      <c r="Z5" s="2"/>
    </row>
    <row r="6" ht="15.75" customHeight="1">
      <c r="A6" s="15" t="str">
        <v>Document Code</v>
      </c>
      <c r="B6" s="16" t="str">
        <f>B5&amp;"_"&amp;B2&amp;"_"&amp;F6</f>
        <v>SEP490-G116_INTEGRATION TEST DOCUMENT_1.1</v>
      </c>
      <c r="C6" s="5"/>
      <c r="D6" s="6"/>
      <c r="E6" s="11" t="str">
        <v>Version</v>
      </c>
      <c r="F6" s="17" t="str">
        <v>1.1</v>
      </c>
      <c r="G6" s="2"/>
      <c r="H6" s="2"/>
      <c r="I6" s="2"/>
      <c r="J6" s="2"/>
      <c r="K6" s="2"/>
      <c r="L6" s="2"/>
      <c r="M6" s="2"/>
      <c r="N6" s="2"/>
      <c r="O6" s="2"/>
      <c r="P6" s="2"/>
      <c r="Q6" s="2"/>
      <c r="R6" s="2"/>
      <c r="S6" s="2"/>
      <c r="T6" s="2"/>
      <c r="U6" s="2"/>
      <c r="V6" s="2"/>
      <c r="W6" s="2"/>
      <c r="X6" s="2"/>
      <c r="Y6" s="2"/>
      <c r="Z6" s="2"/>
    </row>
    <row r="7" ht="12.75" customHeight="1">
      <c r="A7" s="18"/>
      <c r="B7" s="9"/>
      <c r="C7" s="2"/>
      <c r="D7" s="2"/>
      <c r="E7" s="19"/>
      <c r="F7" s="9"/>
      <c r="G7" s="2"/>
      <c r="H7" s="2"/>
      <c r="I7" s="2"/>
      <c r="J7" s="2"/>
      <c r="K7" s="2"/>
      <c r="L7" s="2"/>
      <c r="M7" s="2"/>
      <c r="N7" s="2"/>
      <c r="O7" s="2"/>
      <c r="P7" s="2"/>
      <c r="Q7" s="2"/>
      <c r="R7" s="2"/>
      <c r="S7" s="2"/>
      <c r="T7" s="2"/>
      <c r="U7" s="2"/>
      <c r="V7" s="2"/>
      <c r="W7" s="2"/>
      <c r="X7" s="2"/>
      <c r="Y7" s="2"/>
      <c r="Z7" s="2"/>
    </row>
    <row r="8" ht="12.75" customHeight="1">
      <c r="A8" s="2"/>
      <c r="B8" s="2"/>
      <c r="C8" s="2"/>
      <c r="D8" s="2"/>
      <c r="E8" s="2"/>
      <c r="F8" s="2"/>
      <c r="G8" s="2"/>
      <c r="H8" s="2"/>
      <c r="I8" s="2"/>
      <c r="J8" s="2"/>
      <c r="K8" s="2"/>
      <c r="L8" s="2"/>
      <c r="M8" s="2"/>
      <c r="N8" s="2"/>
      <c r="O8" s="2"/>
      <c r="P8" s="2"/>
      <c r="Q8" s="2"/>
      <c r="R8" s="2"/>
      <c r="S8" s="2"/>
      <c r="T8" s="2"/>
      <c r="U8" s="2"/>
      <c r="V8" s="2"/>
      <c r="W8" s="2"/>
      <c r="X8" s="2"/>
      <c r="Y8" s="2"/>
      <c r="Z8" s="2"/>
    </row>
    <row r="9" ht="12.75" customHeight="1">
      <c r="A9" s="20" t="str">
        <v>Record of change</v>
      </c>
      <c r="B9" s="2"/>
      <c r="C9" s="2"/>
      <c r="D9" s="2"/>
      <c r="E9" s="2"/>
      <c r="F9" s="2"/>
      <c r="G9" s="2"/>
      <c r="H9" s="2"/>
      <c r="I9" s="2"/>
      <c r="J9" s="2"/>
      <c r="K9" s="2"/>
      <c r="L9" s="2"/>
      <c r="M9" s="2"/>
      <c r="N9" s="2"/>
      <c r="O9" s="2"/>
      <c r="P9" s="2"/>
      <c r="Q9" s="2"/>
      <c r="R9" s="2"/>
      <c r="S9" s="2"/>
      <c r="T9" s="2"/>
      <c r="U9" s="2"/>
      <c r="V9" s="2"/>
      <c r="W9" s="2"/>
      <c r="X9" s="2"/>
      <c r="Y9" s="2"/>
      <c r="Z9" s="2"/>
    </row>
    <row r="10" ht="12.75" customHeight="1">
      <c r="A10" s="21" t="str">
        <v>Effective Date</v>
      </c>
      <c r="B10" s="22" t="str">
        <v>Version</v>
      </c>
      <c r="C10" s="22" t="str">
        <v>Change Item</v>
      </c>
      <c r="D10" s="22" t="str">
        <v>*A,D,M</v>
      </c>
      <c r="E10" s="22" t="str">
        <v>Change description</v>
      </c>
      <c r="F10" s="23" t="str">
        <v>Reference</v>
      </c>
      <c r="G10" s="24"/>
      <c r="H10" s="24"/>
      <c r="I10" s="24"/>
      <c r="J10" s="24"/>
      <c r="K10" s="24"/>
      <c r="L10" s="24"/>
      <c r="M10" s="24"/>
      <c r="N10" s="24"/>
      <c r="O10" s="24"/>
      <c r="P10" s="24"/>
      <c r="Q10" s="24"/>
      <c r="R10" s="24"/>
      <c r="S10" s="24"/>
      <c r="T10" s="24"/>
      <c r="U10" s="24"/>
      <c r="V10" s="24"/>
      <c r="W10" s="24"/>
      <c r="X10" s="24"/>
      <c r="Y10" s="24"/>
      <c r="Z10" s="24"/>
    </row>
    <row r="11" ht="65" customHeight="1">
      <c r="A11" s="25" t="str">
        <v>2026-10-23</v>
      </c>
      <c r="B11" s="26" t="str">
        <v>1.0</v>
      </c>
      <c r="C11" s="27"/>
      <c r="D11" s="28" t="str">
        <v>A</v>
      </c>
      <c r="E11" s="29" t="str">
        <v>Manual integration test cases for human testers: browser actions, preconditions and observable results. Three execution rounds; no execution results claimed.</v>
      </c>
      <c r="F11" s="30"/>
      <c r="G11" s="31"/>
      <c r="H11" s="31"/>
      <c r="I11" s="31"/>
      <c r="J11" s="31"/>
      <c r="K11" s="31"/>
      <c r="L11" s="31"/>
      <c r="M11" s="31"/>
      <c r="N11" s="31"/>
      <c r="O11" s="31"/>
      <c r="P11" s="31"/>
      <c r="Q11" s="31"/>
      <c r="R11" s="31"/>
      <c r="S11" s="31"/>
      <c r="T11" s="31"/>
      <c r="U11" s="31"/>
      <c r="V11" s="31"/>
      <c r="W11" s="31"/>
      <c r="X11" s="31"/>
      <c r="Y11" s="31"/>
      <c r="Z11" s="31"/>
    </row>
    <row r="12" ht="21.75" customHeight="1">
      <c r="A12" s="32"/>
      <c r="B12" s="26"/>
      <c r="C12" s="27"/>
      <c r="D12" s="28"/>
      <c r="E12" s="33"/>
      <c r="F12" s="34"/>
      <c r="G12" s="31"/>
      <c r="H12" s="31"/>
      <c r="I12" s="31"/>
      <c r="J12" s="31"/>
      <c r="K12" s="31"/>
      <c r="L12" s="31"/>
      <c r="M12" s="31"/>
      <c r="N12" s="31"/>
      <c r="O12" s="31"/>
      <c r="P12" s="31"/>
      <c r="Q12" s="31"/>
      <c r="R12" s="31"/>
      <c r="S12" s="31"/>
      <c r="T12" s="31"/>
      <c r="U12" s="31"/>
      <c r="V12" s="31"/>
      <c r="W12" s="31"/>
      <c r="X12" s="31"/>
      <c r="Y12" s="31"/>
      <c r="Z12" s="31"/>
    </row>
    <row r="13" ht="19.5" customHeight="1">
      <c r="A13" s="32"/>
      <c r="B13" s="26"/>
      <c r="C13" s="27"/>
      <c r="D13" s="28"/>
      <c r="E13" s="33"/>
      <c r="F13" s="34"/>
      <c r="G13" s="31"/>
      <c r="H13" s="31"/>
      <c r="I13" s="31"/>
      <c r="J13" s="31"/>
      <c r="K13" s="31"/>
      <c r="L13" s="31"/>
      <c r="M13" s="31"/>
      <c r="N13" s="31"/>
      <c r="O13" s="31"/>
      <c r="P13" s="31"/>
      <c r="Q13" s="31"/>
      <c r="R13" s="31"/>
      <c r="S13" s="31"/>
      <c r="T13" s="31"/>
      <c r="U13" s="31"/>
      <c r="V13" s="31"/>
      <c r="W13" s="31"/>
      <c r="X13" s="31"/>
      <c r="Y13" s="31"/>
      <c r="Z13" s="31"/>
    </row>
    <row r="14" ht="21.75" customHeight="1">
      <c r="A14" s="32"/>
      <c r="B14" s="26"/>
      <c r="C14" s="27"/>
      <c r="D14" s="28"/>
      <c r="E14" s="33"/>
      <c r="F14" s="34"/>
      <c r="G14" s="31"/>
      <c r="H14" s="31"/>
      <c r="I14" s="31"/>
      <c r="J14" s="31"/>
      <c r="K14" s="31"/>
      <c r="L14" s="31"/>
      <c r="M14" s="31"/>
      <c r="N14" s="31"/>
      <c r="O14" s="31"/>
      <c r="P14" s="31"/>
      <c r="Q14" s="31"/>
      <c r="R14" s="31"/>
      <c r="S14" s="31"/>
      <c r="T14" s="31"/>
      <c r="U14" s="31"/>
      <c r="V14" s="31"/>
      <c r="W14" s="31"/>
      <c r="X14" s="31"/>
      <c r="Y14" s="31"/>
      <c r="Z14" s="31"/>
    </row>
    <row r="15" ht="19.5" customHeight="1">
      <c r="A15" s="32"/>
      <c r="B15" s="26"/>
      <c r="C15" s="27"/>
      <c r="D15" s="28"/>
      <c r="E15" s="33"/>
      <c r="F15" s="34"/>
      <c r="G15" s="31"/>
      <c r="H15" s="31"/>
      <c r="I15" s="31"/>
      <c r="J15" s="31"/>
      <c r="K15" s="31"/>
      <c r="L15" s="31"/>
      <c r="M15" s="31"/>
      <c r="N15" s="31"/>
      <c r="O15" s="31"/>
      <c r="P15" s="31"/>
      <c r="Q15" s="31"/>
      <c r="R15" s="31"/>
      <c r="S15" s="31"/>
      <c r="T15" s="31"/>
      <c r="U15" s="31"/>
      <c r="V15" s="31"/>
      <c r="W15" s="31"/>
      <c r="X15" s="31"/>
      <c r="Y15" s="31"/>
      <c r="Z15" s="31"/>
    </row>
    <row r="16" ht="21.75" customHeight="1">
      <c r="A16" s="32"/>
      <c r="B16" s="26"/>
      <c r="C16" s="35"/>
      <c r="D16" s="28"/>
      <c r="E16" s="33"/>
      <c r="F16" s="34"/>
      <c r="G16" s="31"/>
      <c r="H16" s="31"/>
      <c r="I16" s="31"/>
      <c r="J16" s="31"/>
      <c r="K16" s="31"/>
      <c r="L16" s="31"/>
      <c r="M16" s="31"/>
      <c r="N16" s="31"/>
      <c r="O16" s="31"/>
      <c r="P16" s="31"/>
      <c r="Q16" s="31"/>
      <c r="R16" s="31"/>
      <c r="S16" s="31"/>
      <c r="T16" s="31"/>
      <c r="U16" s="31"/>
      <c r="V16" s="31"/>
      <c r="W16" s="31"/>
      <c r="X16" s="31"/>
      <c r="Y16" s="31"/>
      <c r="Z16" s="31"/>
    </row>
    <row r="17" ht="12.75" customHeight="1">
      <c r="A17" s="1"/>
      <c r="B17" s="2"/>
      <c r="C17" s="2"/>
      <c r="D17" s="2"/>
      <c r="E17" s="2"/>
      <c r="F17" s="2"/>
      <c r="G17" s="2"/>
      <c r="H17" s="2"/>
      <c r="I17" s="2"/>
      <c r="J17" s="2"/>
      <c r="K17" s="2"/>
      <c r="L17" s="2"/>
      <c r="M17" s="2"/>
      <c r="N17" s="2"/>
      <c r="O17" s="2"/>
      <c r="P17" s="2"/>
      <c r="Q17" s="2"/>
      <c r="R17" s="2"/>
      <c r="S17" s="2"/>
      <c r="T17" s="2"/>
      <c r="U17" s="2"/>
      <c r="V17" s="2"/>
      <c r="W17" s="2"/>
      <c r="X17" s="2"/>
      <c r="Y17" s="2"/>
      <c r="Z17" s="2"/>
    </row>
    <row r="18" ht="12.75" customHeight="1">
      <c r="A18" s="1"/>
      <c r="B18" s="2"/>
      <c r="C18" s="2"/>
      <c r="D18" s="2"/>
      <c r="E18" s="2"/>
      <c r="F18" s="2"/>
      <c r="G18" s="2"/>
      <c r="H18" s="2"/>
      <c r="I18" s="2"/>
      <c r="J18" s="2"/>
      <c r="K18" s="2"/>
      <c r="L18" s="2"/>
      <c r="M18" s="2"/>
      <c r="N18" s="2"/>
      <c r="O18" s="2"/>
      <c r="P18" s="2"/>
      <c r="Q18" s="2"/>
      <c r="R18" s="2"/>
      <c r="S18" s="2"/>
      <c r="T18" s="2"/>
      <c r="U18" s="2"/>
      <c r="V18" s="2"/>
      <c r="W18" s="2"/>
      <c r="X18" s="2"/>
      <c r="Y18" s="2"/>
      <c r="Z18" s="2"/>
    </row>
    <row r="19" ht="12.75" customHeight="1">
      <c r="A19" s="1"/>
      <c r="B19" s="2"/>
      <c r="C19" s="2"/>
      <c r="D19" s="2"/>
      <c r="E19" s="2"/>
      <c r="F19" s="2"/>
      <c r="G19" s="2"/>
      <c r="H19" s="2"/>
      <c r="I19" s="2"/>
      <c r="J19" s="2"/>
      <c r="K19" s="2"/>
      <c r="L19" s="2"/>
      <c r="M19" s="2"/>
      <c r="N19" s="2"/>
      <c r="O19" s="2"/>
      <c r="P19" s="2"/>
      <c r="Q19" s="2"/>
      <c r="R19" s="2"/>
      <c r="S19" s="2"/>
      <c r="T19" s="2"/>
      <c r="U19" s="2"/>
      <c r="V19" s="2"/>
      <c r="W19" s="2"/>
      <c r="X19" s="2"/>
      <c r="Y19" s="2"/>
      <c r="Z19" s="2"/>
    </row>
    <row r="20" ht="12.75" customHeight="1">
      <c r="A20" s="1"/>
      <c r="B20" s="2"/>
      <c r="C20" s="2"/>
      <c r="D20" s="2"/>
      <c r="E20" s="2"/>
      <c r="F20" s="2"/>
      <c r="G20" s="2"/>
      <c r="H20" s="2"/>
      <c r="I20" s="2"/>
      <c r="J20" s="2"/>
      <c r="K20" s="2"/>
      <c r="L20" s="2"/>
      <c r="M20" s="2"/>
      <c r="N20" s="2"/>
      <c r="O20" s="2"/>
      <c r="P20" s="2"/>
      <c r="Q20" s="2"/>
      <c r="R20" s="2"/>
      <c r="S20" s="2"/>
      <c r="T20" s="2"/>
      <c r="U20" s="2"/>
      <c r="V20" s="2"/>
      <c r="W20" s="2"/>
      <c r="X20" s="2"/>
      <c r="Y20" s="2"/>
      <c r="Z20" s="2"/>
    </row>
  </sheetData>
  <mergeCells count="4">
    <mergeCell ref="B2:F2"/>
    <mergeCell ref="B4:D4"/>
    <mergeCell ref="B5:D5"/>
    <mergeCell ref="B6:D6"/>
  </mergeCells>
  <printOptions/>
  <pageMargins bottom="0.35138888888888886" footer="0.0" header="0.0" left="0.4701388888888889" right="0.4701388888888889" top="0.5"/>
  <pageSetup paperSize="9" orientation="landscape"/>
  <headerFooter>
    <oddFooter>&amp;L 02ae-BM/PM/HDCV/FSOFT v2/1&amp;CInternal use&amp;R&amp;P/</oddFooter>
  </headerFooter>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topLeftCell="A1" zoomScale="70" showGridLines="0"/>
  </sheetViews>
  <sheetFormatPr customHeight="1" defaultColWidth="12.63" defaultRowHeight="15.0"/>
  <cols>
    <col customWidth="1" min="1" max="1" width="1.38"/>
    <col customWidth="1" min="2" max="2" width="8.13"/>
    <col customWidth="1" min="3" max="3" width="38.13"/>
    <col customWidth="1" min="4" max="4" width="24.5"/>
    <col customWidth="1" min="5" max="5" width="28.13"/>
    <col customWidth="1" min="6" max="6" width="30.63"/>
    <col customWidth="1" min="7" max="26" width="9.0"/>
  </cols>
  <sheetData>
    <row r="1" ht="38" customHeight="1">
      <c r="A1" s="10"/>
      <c r="B1" s="36"/>
      <c r="C1" s="37"/>
      <c r="D1" s="38" t="str">
        <v>TEST CASE LIST</v>
      </c>
      <c r="E1" s="39"/>
      <c r="F1" s="37"/>
      <c r="G1" s="10"/>
      <c r="H1" s="10"/>
      <c r="I1" s="10"/>
      <c r="J1" s="10"/>
      <c r="K1" s="10"/>
      <c r="L1" s="10"/>
      <c r="M1" s="10"/>
      <c r="N1" s="10"/>
      <c r="O1" s="10"/>
      <c r="P1" s="10"/>
      <c r="Q1" s="10"/>
      <c r="R1" s="10"/>
      <c r="S1" s="10"/>
      <c r="T1" s="10"/>
      <c r="U1" s="10"/>
      <c r="V1" s="10"/>
      <c r="W1" s="10"/>
      <c r="X1" s="10"/>
      <c r="Y1" s="10"/>
      <c r="Z1" s="10"/>
    </row>
    <row r="2" ht="13.5" customHeight="1">
      <c r="A2" s="10"/>
      <c r="B2" s="36"/>
      <c r="C2" s="37"/>
      <c r="D2" s="40"/>
      <c r="E2" s="40"/>
      <c r="F2" s="41"/>
      <c r="G2" s="10"/>
      <c r="H2" s="10"/>
      <c r="I2" s="10"/>
      <c r="J2" s="10"/>
      <c r="K2" s="10"/>
      <c r="L2" s="10"/>
      <c r="M2" s="10"/>
      <c r="N2" s="10"/>
      <c r="O2" s="10"/>
      <c r="P2" s="10"/>
      <c r="Q2" s="10"/>
      <c r="R2" s="10"/>
      <c r="S2" s="10"/>
      <c r="T2" s="10"/>
      <c r="U2" s="10"/>
      <c r="V2" s="10"/>
      <c r="W2" s="10"/>
      <c r="X2" s="10"/>
      <c r="Y2" s="10"/>
      <c r="Z2" s="10"/>
    </row>
    <row r="3" ht="12.75" customHeight="1">
      <c r="A3" s="10"/>
      <c r="B3" s="42" t="str">
        <v>Project Name</v>
      </c>
      <c r="C3" s="43"/>
      <c r="D3" s="12" t="str">
        <v>TrustCabinet</v>
      </c>
      <c r="E3" s="5"/>
      <c r="F3" s="6"/>
      <c r="G3" s="44"/>
      <c r="H3" s="10"/>
      <c r="I3" s="10"/>
      <c r="J3" s="10"/>
      <c r="K3" s="10"/>
      <c r="L3" s="10"/>
      <c r="M3" s="10"/>
      <c r="N3" s="10"/>
      <c r="O3" s="10"/>
      <c r="P3" s="10"/>
      <c r="Q3" s="10"/>
      <c r="R3" s="10"/>
      <c r="S3" s="10"/>
      <c r="T3" s="10"/>
      <c r="U3" s="10"/>
      <c r="V3" s="10"/>
      <c r="W3" s="10"/>
      <c r="X3" s="10"/>
      <c r="Y3" s="10"/>
      <c r="Z3" s="10"/>
    </row>
    <row r="4" ht="12.75" customHeight="1">
      <c r="A4" s="10"/>
      <c r="B4" s="42" t="str">
        <v>Project Code</v>
      </c>
      <c r="C4" s="43"/>
      <c r="D4" s="12" t="str">
        <v>SEP490-G116</v>
      </c>
      <c r="E4" s="5"/>
      <c r="F4" s="6"/>
      <c r="G4" s="44"/>
      <c r="H4" s="10"/>
      <c r="I4" s="10"/>
      <c r="J4" s="10"/>
      <c r="K4" s="10"/>
      <c r="L4" s="10"/>
      <c r="M4" s="10"/>
      <c r="N4" s="10"/>
      <c r="O4" s="10"/>
      <c r="P4" s="10"/>
      <c r="Q4" s="10"/>
      <c r="R4" s="10"/>
      <c r="S4" s="10"/>
      <c r="T4" s="10"/>
      <c r="U4" s="10"/>
      <c r="V4" s="10"/>
      <c r="W4" s="10"/>
      <c r="X4" s="10"/>
      <c r="Y4" s="10"/>
      <c r="Z4" s="10"/>
    </row>
    <row r="5" ht="180" customHeight="1">
      <c r="A5" s="45"/>
      <c r="B5" s="46" t="str">
        <v>Test Environment Setup Description</v>
      </c>
      <c r="C5" s="6"/>
      <c r="D5" s="47" t="str">
        <v>Manual execution in Chrome or Edge against the team test build. QA lead supplies Admin, Organizer (MeetingCreator), Approver (MeetingApprover), Participant and unrelated-user accounts in separate browser profiles. Use disposable records and controlled inboxes. Future schedules: tomorrow or later, 09:00-10:00. Password examples are test data, not live credentials. Record build/browser versions before execution.</v>
      </c>
      <c r="E5" s="5"/>
      <c r="F5" s="6"/>
      <c r="G5" s="48"/>
      <c r="H5" s="45"/>
      <c r="I5" s="45"/>
      <c r="J5" s="45"/>
      <c r="K5" s="45"/>
      <c r="L5" s="45"/>
      <c r="M5" s="45"/>
      <c r="N5" s="45"/>
      <c r="O5" s="45"/>
      <c r="P5" s="45"/>
      <c r="Q5" s="45"/>
      <c r="R5" s="45"/>
      <c r="S5" s="45"/>
      <c r="T5" s="45"/>
      <c r="U5" s="45"/>
      <c r="V5" s="45"/>
      <c r="W5" s="45"/>
      <c r="X5" s="45"/>
      <c r="Y5" s="45"/>
      <c r="Z5" s="45"/>
    </row>
    <row r="6" ht="85" customHeight="1">
      <c r="A6" s="10"/>
      <c r="B6" s="64" t="str">
        <v>Execution: check each precondition first. NotRun = not executed; Blocked = prerequisite unavailable. Enter actual outcome, evidence/defect, test date and tester for each completed round. Publication requires a QA-prepared roster; the attendee UI is not implemented. Automated API cases remain in Report 5.2.2.</v>
      </c>
      <c r="C6" s="64"/>
      <c r="D6" s="64"/>
      <c r="E6" s="64"/>
      <c r="F6" s="64"/>
      <c r="G6" s="10"/>
      <c r="H6" s="10"/>
      <c r="I6" s="10"/>
      <c r="J6" s="10"/>
      <c r="K6" s="10"/>
      <c r="L6" s="10"/>
      <c r="M6" s="10"/>
      <c r="N6" s="10"/>
      <c r="O6" s="10"/>
      <c r="P6" s="10"/>
      <c r="Q6" s="10"/>
      <c r="R6" s="10"/>
      <c r="S6" s="10"/>
      <c r="T6" s="10"/>
      <c r="U6" s="10"/>
      <c r="V6" s="10"/>
      <c r="W6" s="10"/>
      <c r="X6" s="10"/>
      <c r="Y6" s="10"/>
      <c r="Z6" s="10"/>
    </row>
    <row r="7" ht="12.75" customHeight="1">
      <c r="A7" s="51"/>
      <c r="B7" s="52"/>
      <c r="C7" s="53"/>
      <c r="D7" s="53"/>
      <c r="E7" s="53"/>
      <c r="F7" s="53"/>
      <c r="G7" s="51"/>
      <c r="H7" s="51"/>
      <c r="I7" s="51"/>
      <c r="J7" s="51"/>
      <c r="K7" s="51"/>
      <c r="L7" s="51"/>
      <c r="M7" s="51"/>
      <c r="N7" s="51"/>
      <c r="O7" s="51"/>
      <c r="P7" s="51"/>
      <c r="Q7" s="51"/>
      <c r="R7" s="51"/>
      <c r="S7" s="51"/>
      <c r="T7" s="51"/>
      <c r="U7" s="51"/>
      <c r="V7" s="51"/>
      <c r="W7" s="51"/>
      <c r="X7" s="51"/>
      <c r="Y7" s="51"/>
      <c r="Z7" s="51"/>
    </row>
    <row r="8" ht="21.0" customHeight="1">
      <c r="A8" s="54"/>
      <c r="B8" s="55" t="str">
        <v>No</v>
      </c>
      <c r="C8" s="56" t="str">
        <v>Function Name</v>
      </c>
      <c r="D8" s="56" t="str">
        <v>Sheet Name</v>
      </c>
      <c r="E8" s="57" t="str">
        <v>Description</v>
      </c>
      <c r="F8" s="58" t="str">
        <v>Pre-Condition</v>
      </c>
      <c r="G8" s="54"/>
      <c r="H8" s="54"/>
      <c r="I8" s="54"/>
      <c r="J8" s="54"/>
      <c r="K8" s="54"/>
      <c r="L8" s="54"/>
      <c r="M8" s="54"/>
      <c r="N8" s="54"/>
      <c r="O8" s="54"/>
      <c r="P8" s="54"/>
      <c r="Q8" s="54"/>
      <c r="R8" s="54"/>
      <c r="S8" s="54"/>
      <c r="T8" s="54"/>
      <c r="U8" s="54"/>
      <c r="V8" s="54"/>
      <c r="W8" s="54"/>
      <c r="X8" s="54"/>
      <c r="Y8" s="54"/>
      <c r="Z8" s="54"/>
    </row>
    <row r="9" ht="95" customHeight="1">
      <c r="A9" s="59"/>
      <c r="B9" s="60" t="n">
        <v>1</v>
      </c>
      <c r="C9" s="61" t="str">
        <v>Authentication</v>
      </c>
      <c r="D9" s="64" t="str">
        <v>Authentication</v>
      </c>
      <c r="E9" s="63" t="str">
        <v>11 manual cases</v>
      </c>
      <c r="F9" s="64" t="str">
        <v>Signed out; /login open; active password account provided by QA lead.</v>
      </c>
      <c r="G9" s="44"/>
      <c r="H9" s="10"/>
      <c r="I9" s="10"/>
      <c r="J9" s="10"/>
      <c r="K9" s="10"/>
      <c r="L9" s="10"/>
      <c r="M9" s="10"/>
      <c r="N9" s="10"/>
      <c r="O9" s="10"/>
      <c r="P9" s="10"/>
      <c r="Q9" s="10"/>
      <c r="R9" s="10"/>
      <c r="S9" s="10"/>
      <c r="T9" s="10"/>
      <c r="U9" s="10"/>
      <c r="V9" s="10"/>
      <c r="W9" s="10"/>
      <c r="X9" s="10"/>
      <c r="Y9" s="10"/>
      <c r="Z9" s="10"/>
    </row>
    <row r="10" ht="95" customHeight="1">
      <c r="A10" s="59"/>
      <c r="B10" s="60" t="n">
        <v>2</v>
      </c>
      <c r="C10" s="61" t="str">
        <v>Password Reset</v>
      </c>
      <c r="D10" s="64" t="str">
        <v>Password Reset</v>
      </c>
      <c r="E10" s="63" t="str">
        <v>9 manual cases</v>
      </c>
      <c r="F10" s="64" t="str">
        <v>AdminUsers user in "Người dùng &amp; Quyền"; active password account Reset User; controlled inbox and email delivery enabled.</v>
      </c>
      <c r="G10" s="44"/>
      <c r="H10" s="10"/>
      <c r="I10" s="10"/>
      <c r="J10" s="10"/>
      <c r="K10" s="10"/>
      <c r="L10" s="10"/>
      <c r="M10" s="10"/>
      <c r="N10" s="10"/>
      <c r="O10" s="10"/>
      <c r="P10" s="10"/>
      <c r="Q10" s="10"/>
      <c r="R10" s="10"/>
      <c r="S10" s="10"/>
      <c r="T10" s="10"/>
      <c r="U10" s="10"/>
      <c r="V10" s="10"/>
      <c r="W10" s="10"/>
      <c r="X10" s="10"/>
      <c r="Y10" s="10"/>
      <c r="Z10" s="10"/>
    </row>
    <row r="11" ht="95" customHeight="1">
      <c r="A11" s="59"/>
      <c r="B11" s="60" t="n">
        <v>3</v>
      </c>
      <c r="C11" s="61" t="str">
        <v>Users</v>
      </c>
      <c r="D11" s="64" t="str">
        <v>Users</v>
      </c>
      <c r="E11" s="63" t="str">
        <v>13 manual cases</v>
      </c>
      <c r="F11" s="64" t="str">
        <v>AdminUsers user at /mgmt/admin/users; disposable data; a suitable existing role; second active admin retained.</v>
      </c>
      <c r="G11" s="44"/>
      <c r="H11" s="10"/>
      <c r="I11" s="10"/>
      <c r="J11" s="10"/>
      <c r="K11" s="10"/>
      <c r="L11" s="10"/>
      <c r="M11" s="10"/>
      <c r="N11" s="10"/>
      <c r="O11" s="10"/>
      <c r="P11" s="10"/>
      <c r="Q11" s="10"/>
      <c r="R11" s="10"/>
      <c r="S11" s="10"/>
      <c r="T11" s="10"/>
      <c r="U11" s="10"/>
      <c r="V11" s="10"/>
      <c r="W11" s="10"/>
      <c r="X11" s="10"/>
      <c r="Y11" s="10"/>
      <c r="Z11" s="10"/>
    </row>
    <row r="12" ht="95" customHeight="1">
      <c r="A12" s="59"/>
      <c r="B12" s="60" t="n">
        <v>4</v>
      </c>
      <c r="C12" s="61" t="str">
        <v>Roles</v>
      </c>
      <c r="D12" s="64" t="str">
        <v>Roles</v>
      </c>
      <c r="E12" s="63" t="str">
        <v>10 manual cases</v>
      </c>
      <c r="F12" s="64" t="str">
        <v>AdminUsers user at /mgmt/admin/roles, "Danh sách vai trò"; disposable custom roles; retain a working administrator.</v>
      </c>
      <c r="G12" s="44"/>
      <c r="H12" s="10"/>
      <c r="I12" s="10"/>
      <c r="J12" s="10"/>
      <c r="K12" s="10"/>
      <c r="L12" s="10"/>
      <c r="M12" s="10"/>
      <c r="N12" s="10"/>
      <c r="O12" s="10"/>
      <c r="P12" s="10"/>
      <c r="Q12" s="10"/>
      <c r="R12" s="10"/>
      <c r="S12" s="10"/>
      <c r="T12" s="10"/>
      <c r="U12" s="10"/>
      <c r="V12" s="10"/>
      <c r="W12" s="10"/>
      <c r="X12" s="10"/>
      <c r="Y12" s="10"/>
      <c r="Z12" s="10"/>
    </row>
    <row r="13" ht="95" customHeight="1">
      <c r="A13" s="59"/>
      <c r="B13" s="60" t="n">
        <v>5</v>
      </c>
      <c r="C13" s="61" t="str">
        <v>Permissions</v>
      </c>
      <c r="D13" s="64" t="str">
        <v>Permissions</v>
      </c>
      <c r="E13" s="63" t="str">
        <v>7 manual cases</v>
      </c>
      <c r="F13" s="64" t="str">
        <v>AdminUsers user in "Vai trò" &gt; "Ma trận phân quyền"; disposable role assigned to a controlled user; second admin unaffected.</v>
      </c>
      <c r="G13" s="44"/>
      <c r="H13" s="10"/>
      <c r="I13" s="10"/>
      <c r="J13" s="10"/>
      <c r="K13" s="10"/>
      <c r="L13" s="10"/>
      <c r="M13" s="10"/>
      <c r="N13" s="10"/>
      <c r="O13" s="10"/>
      <c r="P13" s="10"/>
      <c r="Q13" s="10"/>
      <c r="R13" s="10"/>
      <c r="S13" s="10"/>
      <c r="T13" s="10"/>
      <c r="U13" s="10"/>
      <c r="V13" s="10"/>
      <c r="W13" s="10"/>
      <c r="X13" s="10"/>
      <c r="Y13" s="10"/>
      <c r="Z13" s="10"/>
    </row>
    <row r="14" ht="95" customHeight="1">
      <c r="A14" s="59"/>
      <c r="B14" s="60" t="n">
        <v>6</v>
      </c>
      <c r="C14" s="61" t="str">
        <v>Create Meeting</v>
      </c>
      <c r="D14" s="64" t="str">
        <v>Create Meeting</v>
      </c>
      <c r="E14" s="63" t="str">
        <v>14 manual cases</v>
      </c>
      <c r="F14" s="64" t="str">
        <v>Organizer with MeetingCreator; open "Cuộc họp" &gt; "Tạo cuộc họp"; use a future day at 09:00-10:00 and unique title Manual Integration Meeting.</v>
      </c>
      <c r="G14" s="44"/>
      <c r="H14" s="10"/>
      <c r="I14" s="10"/>
      <c r="J14" s="10"/>
      <c r="K14" s="10"/>
      <c r="L14" s="10"/>
      <c r="M14" s="10"/>
      <c r="N14" s="10"/>
      <c r="O14" s="10"/>
      <c r="P14" s="10"/>
      <c r="Q14" s="10"/>
      <c r="R14" s="10"/>
      <c r="S14" s="10"/>
      <c r="T14" s="10"/>
      <c r="U14" s="10"/>
      <c r="V14" s="10"/>
      <c r="W14" s="10"/>
      <c r="X14" s="10"/>
      <c r="Y14" s="10"/>
      <c r="Z14" s="10"/>
    </row>
    <row r="15" ht="95" customHeight="1">
      <c r="A15" s="59"/>
      <c r="B15" s="60" t="n">
        <v>7</v>
      </c>
      <c r="C15" s="61" t="str">
        <v>Edit Meeting</v>
      </c>
      <c r="D15" s="64" t="str">
        <v>Edit Meeting</v>
      </c>
      <c r="E15" s="63" t="str">
        <v>9 manual cases</v>
      </c>
      <c r="F15" s="64" t="str">
        <v>Organizer with MeetingCreator; owns a disposable Draft; open its details.</v>
      </c>
      <c r="G15" s="44"/>
      <c r="H15" s="10"/>
      <c r="I15" s="10"/>
      <c r="J15" s="10"/>
      <c r="K15" s="10"/>
      <c r="L15" s="10"/>
      <c r="M15" s="10"/>
      <c r="N15" s="10"/>
      <c r="O15" s="10"/>
      <c r="P15" s="10"/>
      <c r="Q15" s="10"/>
      <c r="R15" s="10"/>
      <c r="S15" s="10"/>
      <c r="T15" s="10"/>
      <c r="U15" s="10"/>
      <c r="V15" s="10"/>
      <c r="W15" s="10"/>
      <c r="X15" s="10"/>
      <c r="Y15" s="10"/>
      <c r="Z15" s="10"/>
    </row>
    <row r="16" ht="95" customHeight="1">
      <c r="A16" s="59"/>
      <c r="B16" s="60" t="n">
        <v>8</v>
      </c>
      <c r="C16" s="61" t="str">
        <v>Meeting List</v>
      </c>
      <c r="D16" s="64" t="str">
        <v>Meeting List</v>
      </c>
      <c r="E16" s="63" t="str">
        <v>10 manual cases</v>
      </c>
      <c r="F16" s="64" t="str">
        <v>Signed-in user; QA lead supplies readable meetings with known titles, states, sensitivities and dates plus one unrelated private meeting.</v>
      </c>
      <c r="G16" s="44"/>
      <c r="H16" s="10"/>
      <c r="I16" s="10"/>
      <c r="J16" s="10"/>
      <c r="K16" s="10"/>
      <c r="L16" s="10"/>
      <c r="M16" s="10"/>
      <c r="N16" s="10"/>
      <c r="O16" s="10"/>
      <c r="P16" s="10"/>
      <c r="Q16" s="10"/>
      <c r="R16" s="10"/>
      <c r="S16" s="10"/>
      <c r="T16" s="10"/>
      <c r="U16" s="10"/>
      <c r="V16" s="10"/>
      <c r="W16" s="10"/>
      <c r="X16" s="10"/>
      <c r="Y16" s="10"/>
      <c r="Z16" s="10"/>
    </row>
    <row r="17" ht="95" customHeight="1">
      <c r="A17" s="59"/>
      <c r="B17" s="60" t="n">
        <v>9</v>
      </c>
      <c r="C17" s="61" t="str">
        <v>Approval</v>
      </c>
      <c r="D17" s="64" t="str">
        <v>Approval</v>
      </c>
      <c r="E17" s="63" t="str">
        <v>11 manual cases</v>
      </c>
      <c r="F17" s="64" t="str">
        <v>Organizer O and distinct active MeetingApprover A in separate browsers; O owns a valid future Draft D; retain independent admin.</v>
      </c>
      <c r="G17" s="44"/>
      <c r="H17" s="10"/>
      <c r="I17" s="10"/>
      <c r="J17" s="10"/>
      <c r="K17" s="10"/>
      <c r="L17" s="10"/>
      <c r="M17" s="10"/>
      <c r="N17" s="10"/>
      <c r="O17" s="10"/>
      <c r="P17" s="10"/>
      <c r="Q17" s="10"/>
      <c r="R17" s="10"/>
      <c r="S17" s="10"/>
      <c r="T17" s="10"/>
      <c r="U17" s="10"/>
      <c r="V17" s="10"/>
      <c r="W17" s="10"/>
      <c r="X17" s="10"/>
      <c r="Y17" s="10"/>
      <c r="Z17" s="10"/>
    </row>
    <row r="18" ht="95" customHeight="1">
      <c r="A18" s="59"/>
      <c r="B18" s="60" t="n">
        <v>10</v>
      </c>
      <c r="C18" s="61" t="str">
        <v>Publication</v>
      </c>
      <c r="D18" s="64" t="str">
        <v>Publication</v>
      </c>
      <c r="E18" s="63" t="str">
        <v>7 manual cases</v>
      </c>
      <c r="F18" s="64" t="str">
        <v>QA lead supplies Approved test meetings owned by organizer O; roster prepared outside UI because attendee management is a placeholder; active Chair and Secretary plus controlled recipient P and unrelated user X; email delivery enabled for mail checks.</v>
      </c>
      <c r="G18" s="44"/>
      <c r="H18" s="10"/>
      <c r="I18" s="10"/>
      <c r="J18" s="10"/>
      <c r="K18" s="10"/>
      <c r="L18" s="10"/>
      <c r="M18" s="10"/>
      <c r="N18" s="10"/>
      <c r="O18" s="10"/>
      <c r="P18" s="10"/>
      <c r="Q18" s="10"/>
      <c r="R18" s="10"/>
      <c r="S18" s="10"/>
      <c r="T18" s="10"/>
      <c r="U18" s="10"/>
      <c r="V18" s="10"/>
      <c r="W18" s="10"/>
      <c r="X18" s="10"/>
      <c r="Y18" s="10"/>
      <c r="Z18" s="10"/>
    </row>
    <row r="19" ht="95" customHeight="1">
      <c r="A19" s="59"/>
      <c r="B19" s="60" t="n">
        <v>11</v>
      </c>
      <c r="C19" s="61" t="str">
        <v>Calendar</v>
      </c>
      <c r="D19" s="64" t="str">
        <v>Calendar</v>
      </c>
      <c r="E19" s="63" t="str">
        <v>8 manual cases</v>
      </c>
      <c r="F19" s="64" t="str">
        <v>Signed in; fewer than 100 readable meetings in the selected week; test meetings include weekday, weekend and overlapping schedules; browser time zone recorded.</v>
      </c>
      <c r="G19" s="44"/>
      <c r="H19" s="10"/>
      <c r="I19" s="10"/>
      <c r="J19" s="10"/>
      <c r="K19" s="10"/>
      <c r="L19" s="10"/>
      <c r="M19" s="10"/>
      <c r="N19" s="10"/>
      <c r="O19" s="10"/>
      <c r="P19" s="10"/>
      <c r="Q19" s="10"/>
      <c r="R19" s="10"/>
      <c r="S19" s="10"/>
      <c r="T19" s="10"/>
      <c r="U19" s="10"/>
      <c r="V19" s="10"/>
      <c r="W19" s="10"/>
      <c r="X19" s="10"/>
      <c r="Y19" s="10"/>
      <c r="Z19" s="10"/>
    </row>
    <row r="20" ht="95" customHeight="1">
      <c r="A20" s="59"/>
      <c r="B20" s="60" t="n">
        <v>12</v>
      </c>
      <c r="C20" s="61" t="str">
        <v>Notifications</v>
      </c>
      <c r="D20" s="64" t="str">
        <v>Notifications</v>
      </c>
      <c r="E20" s="63" t="str">
        <v>9 manual cases</v>
      </c>
      <c r="F20" s="64" t="str">
        <v>Two separate signed-in browser profiles O (organizer) and A (assigned approver); valid future Draft; notification delivery enabled.</v>
      </c>
      <c r="G20" s="44"/>
      <c r="H20" s="10"/>
      <c r="I20" s="10"/>
      <c r="J20" s="10"/>
      <c r="K20" s="10"/>
      <c r="L20" s="10"/>
      <c r="M20" s="10"/>
      <c r="N20" s="10"/>
      <c r="O20" s="10"/>
      <c r="P20" s="10"/>
      <c r="Q20" s="10"/>
      <c r="R20" s="10"/>
      <c r="S20" s="10"/>
      <c r="T20" s="10"/>
      <c r="U20" s="10"/>
      <c r="V20" s="10"/>
      <c r="W20" s="10"/>
      <c r="X20" s="10"/>
      <c r="Y20" s="10"/>
      <c r="Z20" s="10"/>
    </row>
    <row r="21" ht="95" customHeight="1">
      <c r="A21" s="59"/>
      <c r="B21" s="60" t="n">
        <v>13</v>
      </c>
      <c r="C21" s="61" t="str">
        <v>Access and Recovery</v>
      </c>
      <c r="D21" s="64" t="str">
        <v>Access and Recovery</v>
      </c>
      <c r="E21" s="63" t="str">
        <v>6 manual cases</v>
      </c>
      <c r="F21" s="64" t="str">
        <v>Signed out; known valid credentials; browser Offline/Online control available.</v>
      </c>
      <c r="G21" s="44"/>
      <c r="H21" s="10"/>
      <c r="I21" s="10"/>
      <c r="J21" s="10"/>
      <c r="K21" s="10"/>
      <c r="L21" s="10"/>
      <c r="M21" s="10"/>
      <c r="N21" s="10"/>
      <c r="O21" s="10"/>
      <c r="P21" s="10"/>
      <c r="Q21" s="10"/>
      <c r="R21" s="10"/>
      <c r="S21" s="10"/>
      <c r="T21" s="10"/>
      <c r="U21" s="10"/>
      <c r="V21" s="10"/>
      <c r="W21" s="10"/>
      <c r="X21" s="10"/>
      <c r="Y21" s="10"/>
      <c r="Z21" s="10"/>
    </row>
  </sheetData>
  <mergeCells count="7">
    <mergeCell ref="B3:C3"/>
    <mergeCell ref="D3:F3"/>
    <mergeCell ref="B4:C4"/>
    <mergeCell ref="D4:F4"/>
    <mergeCell ref="B5:C5"/>
    <mergeCell ref="D5:F5"/>
    <mergeCell ref="B6:F6"/>
  </mergeCells>
  <printOptions/>
  <pageMargins bottom="1.1506944444444445" footer="0.0" header="0.0" left="0.7479166666666667" right="0.7479166666666667" top="0.9840277777777778"/>
  <pageSetup paperSize="9" orientation="landscape"/>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topLeftCell="A1" zoomScale="70" showGridLines="0"/>
  </sheetViews>
  <sheetFormatPr customHeight="1" defaultColWidth="12.63" defaultRowHeight="15.0"/>
  <cols>
    <col customWidth="1" min="1" max="1" width="4.5"/>
    <col customWidth="1" min="2" max="2" width="18.38"/>
    <col customWidth="1" min="3" max="3" width="19.38"/>
    <col customWidth="1" min="4" max="6" width="11.63"/>
    <col customWidth="1" min="7" max="7" width="9.0"/>
    <col customWidth="1" min="8" max="8" width="35.5"/>
    <col customWidth="1" min="9" max="26" width="9.0"/>
  </cols>
  <sheetData>
    <row r="1" ht="38" customHeight="1">
      <c r="A1" s="10"/>
      <c r="B1" s="68" t="str">
        <v>TEST STATISTICS</v>
      </c>
      <c r="C1" s="69"/>
      <c r="D1" s="69"/>
      <c r="E1" s="69"/>
      <c r="F1" s="69"/>
      <c r="G1" s="69"/>
      <c r="H1" s="70"/>
      <c r="I1" s="10"/>
      <c r="J1" s="10"/>
      <c r="K1" s="10"/>
      <c r="L1" s="10"/>
      <c r="M1" s="10"/>
      <c r="N1" s="10"/>
      <c r="O1" s="10"/>
      <c r="P1" s="10"/>
      <c r="Q1" s="10"/>
      <c r="R1" s="10"/>
      <c r="S1" s="10"/>
      <c r="T1" s="10"/>
      <c r="U1" s="10"/>
      <c r="V1" s="10"/>
      <c r="W1" s="10"/>
      <c r="X1" s="10"/>
      <c r="Y1" s="10"/>
      <c r="Z1" s="10"/>
    </row>
    <row r="2" ht="14.25" customHeight="1">
      <c r="A2" s="71"/>
      <c r="B2" s="71"/>
      <c r="C2" s="72"/>
      <c r="D2" s="72"/>
      <c r="E2" s="72"/>
      <c r="F2" s="72"/>
      <c r="G2" s="10"/>
      <c r="H2" s="73"/>
      <c r="I2" s="10"/>
      <c r="J2" s="10"/>
      <c r="K2" s="10"/>
      <c r="L2" s="10"/>
      <c r="M2" s="10"/>
      <c r="N2" s="10"/>
      <c r="O2" s="10"/>
      <c r="P2" s="10"/>
      <c r="Q2" s="10"/>
      <c r="R2" s="10"/>
      <c r="S2" s="10"/>
      <c r="T2" s="10"/>
      <c r="U2" s="10"/>
      <c r="V2" s="10"/>
      <c r="W2" s="10"/>
      <c r="X2" s="10"/>
      <c r="Y2" s="10"/>
      <c r="Z2" s="10"/>
    </row>
    <row r="3" ht="12.0" customHeight="1">
      <c r="A3" s="10"/>
      <c r="B3" s="74" t="str">
        <v>Project Name</v>
      </c>
      <c r="C3" s="12" t="str">
        <v>TrustCabinet</v>
      </c>
      <c r="D3" s="5"/>
      <c r="E3" s="5"/>
      <c r="F3" s="5"/>
      <c r="G3" s="5"/>
      <c r="H3" s="6"/>
      <c r="I3" s="10"/>
      <c r="J3" s="10"/>
      <c r="K3" s="10"/>
      <c r="L3" s="10"/>
      <c r="M3" s="10"/>
      <c r="N3" s="10"/>
      <c r="O3" s="10"/>
      <c r="P3" s="10"/>
      <c r="Q3" s="10"/>
      <c r="R3" s="10"/>
      <c r="S3" s="10"/>
      <c r="T3" s="10"/>
      <c r="U3" s="10"/>
      <c r="V3" s="10"/>
      <c r="W3" s="10"/>
      <c r="X3" s="10"/>
      <c r="Y3" s="10"/>
      <c r="Z3" s="10"/>
    </row>
    <row r="4" ht="12.0" customHeight="1">
      <c r="A4" s="10"/>
      <c r="B4" s="74" t="str">
        <v>Project Code</v>
      </c>
      <c r="C4" s="12" t="str">
        <v>SEP490-G116</v>
      </c>
      <c r="D4" s="5"/>
      <c r="E4" s="5"/>
      <c r="F4" s="5"/>
      <c r="G4" s="5"/>
      <c r="H4" s="6"/>
      <c r="I4" s="10"/>
      <c r="J4" s="10"/>
      <c r="K4" s="10"/>
      <c r="L4" s="10"/>
      <c r="M4" s="10"/>
      <c r="N4" s="10"/>
      <c r="O4" s="10"/>
      <c r="P4" s="10"/>
      <c r="Q4" s="10"/>
      <c r="R4" s="10"/>
      <c r="S4" s="10"/>
      <c r="T4" s="10"/>
      <c r="U4" s="10"/>
      <c r="V4" s="10"/>
      <c r="W4" s="10"/>
      <c r="X4" s="10"/>
      <c r="Y4" s="10"/>
      <c r="Z4" s="10"/>
    </row>
    <row r="5" ht="12.0" customHeight="1">
      <c r="A5" s="10"/>
      <c r="B5" s="75" t="str">
        <v>Document Code</v>
      </c>
      <c r="C5" s="76" t="str">
        <v>SEP490-G116_Integration_Manual_v1.1</v>
      </c>
      <c r="D5" s="6"/>
      <c r="E5" s="77" t="str">
        <v>Issue Date</v>
      </c>
      <c r="F5" s="6"/>
      <c r="G5" s="78" t="str">
        <v>2026-10-23</v>
      </c>
      <c r="H5" s="6"/>
      <c r="I5" s="10"/>
      <c r="J5" s="10"/>
      <c r="K5" s="10"/>
      <c r="L5" s="10"/>
      <c r="M5" s="10"/>
      <c r="N5" s="10"/>
      <c r="O5" s="10"/>
      <c r="P5" s="10"/>
      <c r="Q5" s="10"/>
      <c r="R5" s="10"/>
      <c r="S5" s="10"/>
      <c r="T5" s="10"/>
      <c r="U5" s="10"/>
      <c r="V5" s="10"/>
      <c r="W5" s="10"/>
      <c r="X5" s="10"/>
      <c r="Y5" s="10"/>
      <c r="Z5" s="10"/>
    </row>
    <row r="6" ht="60" customHeight="1">
      <c r="A6" s="71"/>
      <c r="B6" s="75" t="str">
        <v>Notes</v>
      </c>
      <c r="C6" s="79" t="str">
        <v>Round 1: Pending = NotRun/blank/Blocked; N/A = Skipped. Rates measure execution, not code coverage.</v>
      </c>
      <c r="D6" s="5"/>
      <c r="E6" s="5"/>
      <c r="F6" s="5"/>
      <c r="G6" s="5"/>
      <c r="H6" s="6"/>
      <c r="I6" s="10"/>
      <c r="J6" s="10"/>
      <c r="K6" s="10"/>
      <c r="L6" s="10"/>
      <c r="M6" s="10"/>
      <c r="N6" s="10"/>
      <c r="O6" s="10"/>
      <c r="P6" s="10"/>
      <c r="Q6" s="10"/>
      <c r="R6" s="10"/>
      <c r="S6" s="10"/>
      <c r="T6" s="10"/>
      <c r="U6" s="10"/>
      <c r="V6" s="10"/>
      <c r="W6" s="10"/>
      <c r="X6" s="10"/>
      <c r="Y6" s="10"/>
      <c r="Z6" s="10"/>
    </row>
    <row r="7" ht="14.25" customHeight="1">
      <c r="A7" s="71"/>
      <c r="B7" s="80"/>
      <c r="C7" s="81"/>
      <c r="D7" s="10"/>
      <c r="E7" s="10"/>
      <c r="F7" s="10"/>
      <c r="G7" s="10"/>
      <c r="H7" s="73"/>
      <c r="I7" s="10"/>
      <c r="J7" s="10"/>
      <c r="K7" s="10"/>
      <c r="L7" s="10"/>
      <c r="M7" s="10"/>
      <c r="N7" s="10"/>
      <c r="O7" s="10"/>
      <c r="P7" s="10"/>
      <c r="Q7" s="10"/>
      <c r="R7" s="10"/>
      <c r="S7" s="10"/>
      <c r="T7" s="10"/>
      <c r="U7" s="10"/>
      <c r="V7" s="10"/>
      <c r="W7" s="10"/>
      <c r="X7" s="10"/>
      <c r="Y7" s="10"/>
      <c r="Z7" s="10"/>
    </row>
    <row r="8" ht="12.75" customHeight="1">
      <c r="A8" s="10"/>
      <c r="B8" s="80"/>
      <c r="C8" s="81"/>
      <c r="D8" s="10"/>
      <c r="E8" s="10"/>
      <c r="F8" s="10"/>
      <c r="G8" s="10"/>
      <c r="H8" s="73"/>
      <c r="I8" s="10"/>
      <c r="J8" s="10"/>
      <c r="K8" s="10"/>
      <c r="L8" s="10"/>
      <c r="M8" s="10"/>
      <c r="N8" s="10"/>
      <c r="O8" s="10"/>
      <c r="P8" s="10"/>
      <c r="Q8" s="10"/>
      <c r="R8" s="10"/>
      <c r="S8" s="10"/>
      <c r="T8" s="10"/>
      <c r="U8" s="10"/>
      <c r="V8" s="10"/>
      <c r="W8" s="10"/>
      <c r="X8" s="10"/>
      <c r="Y8" s="10"/>
      <c r="Z8" s="10"/>
    </row>
    <row r="9" ht="12.75" customHeight="1">
      <c r="A9" s="10"/>
      <c r="B9" s="72"/>
      <c r="C9" s="72"/>
      <c r="D9" s="72"/>
      <c r="E9" s="72"/>
      <c r="F9" s="72"/>
      <c r="G9" s="72"/>
      <c r="H9" s="72"/>
      <c r="I9" s="10"/>
      <c r="J9" s="10"/>
      <c r="K9" s="10"/>
      <c r="L9" s="10"/>
      <c r="M9" s="10"/>
      <c r="N9" s="10"/>
      <c r="O9" s="10"/>
      <c r="P9" s="10"/>
      <c r="Q9" s="10"/>
      <c r="R9" s="10"/>
      <c r="S9" s="10"/>
      <c r="T9" s="10"/>
      <c r="U9" s="10"/>
      <c r="V9" s="10"/>
      <c r="W9" s="10"/>
      <c r="X9" s="10"/>
      <c r="Y9" s="10"/>
      <c r="Z9" s="10"/>
    </row>
    <row r="10" ht="12.75" customHeight="1">
      <c r="A10" s="59"/>
      <c r="B10" s="82" t="str">
        <v>No</v>
      </c>
      <c r="C10" s="83" t="str">
        <v>Module code</v>
      </c>
      <c r="D10" s="84" t="str">
        <v>Passed</v>
      </c>
      <c r="E10" s="83" t="str">
        <v>Failed</v>
      </c>
      <c r="F10" s="83" t="str">
        <v>Pending</v>
      </c>
      <c r="G10" s="85" t="str">
        <v>N/A</v>
      </c>
      <c r="H10" s="86" t="str">
        <v>Number of  test cases</v>
      </c>
      <c r="I10" s="44"/>
      <c r="J10" s="10"/>
      <c r="K10" s="10"/>
      <c r="L10" s="10"/>
      <c r="M10" s="10"/>
      <c r="N10" s="10"/>
      <c r="O10" s="10"/>
      <c r="P10" s="10"/>
      <c r="Q10" s="10"/>
      <c r="R10" s="10"/>
      <c r="S10" s="10"/>
      <c r="T10" s="10"/>
      <c r="U10" s="10"/>
      <c r="V10" s="10"/>
      <c r="W10" s="10"/>
      <c r="X10" s="10"/>
      <c r="Y10" s="10"/>
      <c r="Z10" s="10"/>
    </row>
    <row r="11" ht="35" customHeight="1">
      <c r="A11" s="59"/>
      <c r="B11" s="87" t="n">
        <v>1</v>
      </c>
      <c r="C11" s="88" t="str">
        <v>Authentication</v>
      </c>
      <c r="D11" s="89" t="n">
        <f>'Authentication'!B6</f>
        <v>0</v>
      </c>
      <c r="E11" s="90" t="n">
        <f>'Authentication'!C6</f>
        <v>0</v>
      </c>
      <c r="F11" s="89" t="n">
        <f>'Authentication'!D6</f>
        <v>11</v>
      </c>
      <c r="G11" s="89" t="n">
        <f>'Authentication'!E6</f>
        <v>0</v>
      </c>
      <c r="H11" s="91" t="n">
        <f>'Authentication'!B4</f>
        <v>11</v>
      </c>
      <c r="I11" s="44"/>
      <c r="J11" s="10"/>
      <c r="K11" s="10"/>
      <c r="L11" s="10"/>
      <c r="M11" s="10"/>
      <c r="N11" s="10"/>
      <c r="O11" s="10"/>
      <c r="P11" s="10"/>
      <c r="Q11" s="10"/>
      <c r="R11" s="10"/>
      <c r="S11" s="10"/>
      <c r="T11" s="10"/>
      <c r="U11" s="10"/>
      <c r="V11" s="10"/>
      <c r="W11" s="10"/>
      <c r="X11" s="10"/>
      <c r="Y11" s="10"/>
      <c r="Z11" s="10"/>
    </row>
    <row r="12" ht="35" customHeight="1">
      <c r="A12" s="59"/>
      <c r="B12" s="87" t="n">
        <v>2</v>
      </c>
      <c r="C12" s="88" t="str">
        <v>Password Reset</v>
      </c>
      <c r="D12" s="89" t="n">
        <f>'Password Reset'!B6</f>
        <v>0</v>
      </c>
      <c r="E12" s="90" t="n">
        <f>'Password Reset'!C6</f>
        <v>0</v>
      </c>
      <c r="F12" s="89" t="n">
        <f>'Password Reset'!D6</f>
        <v>9</v>
      </c>
      <c r="G12" s="89" t="n">
        <f>'Password Reset'!E6</f>
        <v>0</v>
      </c>
      <c r="H12" s="91" t="n">
        <f>'Password Reset'!B4</f>
        <v>9</v>
      </c>
      <c r="I12" s="44"/>
      <c r="J12" s="10"/>
      <c r="K12" s="10"/>
      <c r="L12" s="10"/>
      <c r="M12" s="10"/>
      <c r="N12" s="10"/>
      <c r="O12" s="10"/>
      <c r="P12" s="10"/>
      <c r="Q12" s="10"/>
      <c r="R12" s="10"/>
      <c r="S12" s="10"/>
      <c r="T12" s="10"/>
      <c r="U12" s="10"/>
      <c r="V12" s="10"/>
      <c r="W12" s="10"/>
      <c r="X12" s="10"/>
      <c r="Y12" s="10"/>
      <c r="Z12" s="10"/>
    </row>
    <row r="13" ht="35" customHeight="1">
      <c r="A13" s="59"/>
      <c r="B13" s="87" t="n">
        <v>3</v>
      </c>
      <c r="C13" s="88" t="str">
        <v>Users</v>
      </c>
      <c r="D13" s="89" t="n">
        <f>'Users'!B6</f>
        <v>0</v>
      </c>
      <c r="E13" s="90" t="n">
        <f>'Users'!C6</f>
        <v>0</v>
      </c>
      <c r="F13" s="89" t="n">
        <f>'Users'!D6</f>
        <v>13</v>
      </c>
      <c r="G13" s="89" t="n">
        <f>'Users'!E6</f>
        <v>0</v>
      </c>
      <c r="H13" s="91" t="n">
        <f>'Users'!B4</f>
        <v>13</v>
      </c>
      <c r="I13" s="44"/>
      <c r="J13" s="10"/>
      <c r="K13" s="10"/>
      <c r="L13" s="10"/>
      <c r="M13" s="10"/>
      <c r="N13" s="10"/>
      <c r="O13" s="10"/>
      <c r="P13" s="10"/>
      <c r="Q13" s="10"/>
      <c r="R13" s="10"/>
      <c r="S13" s="10"/>
      <c r="T13" s="10"/>
      <c r="U13" s="10"/>
      <c r="V13" s="10"/>
      <c r="W13" s="10"/>
      <c r="X13" s="10"/>
      <c r="Y13" s="10"/>
      <c r="Z13" s="10"/>
    </row>
    <row r="14" ht="35" customHeight="1">
      <c r="A14" s="59"/>
      <c r="B14" s="87" t="n">
        <v>4</v>
      </c>
      <c r="C14" s="88" t="str">
        <v>Roles</v>
      </c>
      <c r="D14" s="89" t="n">
        <f>'Roles'!B6</f>
        <v>0</v>
      </c>
      <c r="E14" s="90" t="n">
        <f>'Roles'!C6</f>
        <v>0</v>
      </c>
      <c r="F14" s="89" t="n">
        <f>'Roles'!D6</f>
        <v>10</v>
      </c>
      <c r="G14" s="89" t="n">
        <f>'Roles'!E6</f>
        <v>0</v>
      </c>
      <c r="H14" s="91" t="n">
        <f>'Roles'!B4</f>
        <v>10</v>
      </c>
      <c r="I14" s="44"/>
      <c r="J14" s="10"/>
      <c r="K14" s="10"/>
      <c r="L14" s="10"/>
      <c r="M14" s="10"/>
      <c r="N14" s="10"/>
      <c r="O14" s="10"/>
      <c r="P14" s="10"/>
      <c r="Q14" s="10"/>
      <c r="R14" s="10"/>
      <c r="S14" s="10"/>
      <c r="T14" s="10"/>
      <c r="U14" s="10"/>
      <c r="V14" s="10"/>
      <c r="W14" s="10"/>
      <c r="X14" s="10"/>
      <c r="Y14" s="10"/>
      <c r="Z14" s="10"/>
    </row>
    <row r="15" ht="35" customHeight="1">
      <c r="A15" s="59"/>
      <c r="B15" s="87" t="n">
        <v>5</v>
      </c>
      <c r="C15" s="88" t="str">
        <v>Permissions</v>
      </c>
      <c r="D15" s="89" t="n">
        <f>'Permissions'!B6</f>
        <v>0</v>
      </c>
      <c r="E15" s="90" t="n">
        <f>'Permissions'!C6</f>
        <v>0</v>
      </c>
      <c r="F15" s="89" t="n">
        <f>'Permissions'!D6</f>
        <v>7</v>
      </c>
      <c r="G15" s="89" t="n">
        <f>'Permissions'!E6</f>
        <v>0</v>
      </c>
      <c r="H15" s="91" t="n">
        <f>'Permissions'!B4</f>
        <v>7</v>
      </c>
      <c r="I15" s="44"/>
      <c r="J15" s="10"/>
      <c r="K15" s="10"/>
      <c r="L15" s="10"/>
      <c r="M15" s="10"/>
      <c r="N15" s="10"/>
      <c r="O15" s="10"/>
      <c r="P15" s="10"/>
      <c r="Q15" s="10"/>
      <c r="R15" s="10"/>
      <c r="S15" s="10"/>
      <c r="T15" s="10"/>
      <c r="U15" s="10"/>
      <c r="V15" s="10"/>
      <c r="W15" s="10"/>
      <c r="X15" s="10"/>
      <c r="Y15" s="10"/>
      <c r="Z15" s="10"/>
    </row>
    <row r="16" ht="35" customHeight="1">
      <c r="A16" s="59"/>
      <c r="B16" s="87" t="n">
        <v>6</v>
      </c>
      <c r="C16" s="88" t="str">
        <v>Create Meeting</v>
      </c>
      <c r="D16" s="89" t="n">
        <f>'Create Meeting'!B6</f>
        <v>0</v>
      </c>
      <c r="E16" s="90" t="n">
        <f>'Create Meeting'!C6</f>
        <v>0</v>
      </c>
      <c r="F16" s="89" t="n">
        <f>'Create Meeting'!D6</f>
        <v>14</v>
      </c>
      <c r="G16" s="89" t="n">
        <f>'Create Meeting'!E6</f>
        <v>0</v>
      </c>
      <c r="H16" s="91" t="n">
        <f>'Create Meeting'!B4</f>
        <v>14</v>
      </c>
      <c r="I16" s="44"/>
      <c r="J16" s="10"/>
      <c r="K16" s="10"/>
      <c r="L16" s="10"/>
      <c r="M16" s="10"/>
      <c r="N16" s="10"/>
      <c r="O16" s="10"/>
      <c r="P16" s="10"/>
      <c r="Q16" s="10"/>
      <c r="R16" s="10"/>
      <c r="S16" s="10"/>
      <c r="T16" s="10"/>
      <c r="U16" s="10"/>
      <c r="V16" s="10"/>
      <c r="W16" s="10"/>
      <c r="X16" s="10"/>
      <c r="Y16" s="10"/>
      <c r="Z16" s="10"/>
    </row>
    <row r="17" ht="35" customHeight="1">
      <c r="A17" s="59"/>
      <c r="B17" s="87" t="n">
        <v>7</v>
      </c>
      <c r="C17" s="88" t="str">
        <v>Edit Meeting</v>
      </c>
      <c r="D17" s="89" t="n">
        <f>'Edit Meeting'!B6</f>
        <v>0</v>
      </c>
      <c r="E17" s="90" t="n">
        <f>'Edit Meeting'!C6</f>
        <v>0</v>
      </c>
      <c r="F17" s="89" t="n">
        <f>'Edit Meeting'!D6</f>
        <v>9</v>
      </c>
      <c r="G17" s="89" t="n">
        <f>'Edit Meeting'!E6</f>
        <v>0</v>
      </c>
      <c r="H17" s="91" t="n">
        <f>'Edit Meeting'!B4</f>
        <v>9</v>
      </c>
      <c r="I17" s="44"/>
      <c r="J17" s="10"/>
      <c r="K17" s="10"/>
      <c r="L17" s="10"/>
      <c r="M17" s="10"/>
      <c r="N17" s="10"/>
      <c r="O17" s="10"/>
      <c r="P17" s="10"/>
      <c r="Q17" s="10"/>
      <c r="R17" s="10"/>
      <c r="S17" s="10"/>
      <c r="T17" s="10"/>
      <c r="U17" s="10"/>
      <c r="V17" s="10"/>
      <c r="W17" s="10"/>
      <c r="X17" s="10"/>
      <c r="Y17" s="10"/>
      <c r="Z17" s="10"/>
    </row>
    <row r="18" ht="35" customHeight="1">
      <c r="A18" s="59"/>
      <c r="B18" s="87" t="n">
        <v>8</v>
      </c>
      <c r="C18" s="88" t="str">
        <v>Meeting List</v>
      </c>
      <c r="D18" s="89" t="n">
        <f>'Meeting List'!B6</f>
        <v>0</v>
      </c>
      <c r="E18" s="90" t="n">
        <f>'Meeting List'!C6</f>
        <v>0</v>
      </c>
      <c r="F18" s="89" t="n">
        <f>'Meeting List'!D6</f>
        <v>10</v>
      </c>
      <c r="G18" s="89" t="n">
        <f>'Meeting List'!E6</f>
        <v>0</v>
      </c>
      <c r="H18" s="91" t="n">
        <f>'Meeting List'!B4</f>
        <v>10</v>
      </c>
      <c r="I18" s="44"/>
      <c r="J18" s="10"/>
      <c r="K18" s="10"/>
      <c r="L18" s="10"/>
      <c r="M18" s="10"/>
      <c r="N18" s="10"/>
      <c r="O18" s="10"/>
      <c r="P18" s="10"/>
      <c r="Q18" s="10"/>
      <c r="R18" s="10"/>
      <c r="S18" s="10"/>
      <c r="T18" s="10"/>
      <c r="U18" s="10"/>
      <c r="V18" s="10"/>
      <c r="W18" s="10"/>
      <c r="X18" s="10"/>
      <c r="Y18" s="10"/>
      <c r="Z18" s="10"/>
    </row>
    <row r="19" ht="35" customHeight="1">
      <c r="A19" s="59"/>
      <c r="B19" s="87" t="n">
        <v>9</v>
      </c>
      <c r="C19" s="88" t="str">
        <v>Approval</v>
      </c>
      <c r="D19" s="89" t="n">
        <f>'Approval'!B6</f>
        <v>0</v>
      </c>
      <c r="E19" s="90" t="n">
        <f>'Approval'!C6</f>
        <v>0</v>
      </c>
      <c r="F19" s="89" t="n">
        <f>'Approval'!D6</f>
        <v>11</v>
      </c>
      <c r="G19" s="89" t="n">
        <f>'Approval'!E6</f>
        <v>0</v>
      </c>
      <c r="H19" s="91" t="n">
        <f>'Approval'!B4</f>
        <v>11</v>
      </c>
      <c r="I19" s="44"/>
      <c r="J19" s="10"/>
      <c r="K19" s="10"/>
      <c r="L19" s="10"/>
      <c r="M19" s="10"/>
      <c r="N19" s="10"/>
      <c r="O19" s="10"/>
      <c r="P19" s="10"/>
      <c r="Q19" s="10"/>
      <c r="R19" s="10"/>
      <c r="S19" s="10"/>
      <c r="T19" s="10"/>
      <c r="U19" s="10"/>
      <c r="V19" s="10"/>
      <c r="W19" s="10"/>
      <c r="X19" s="10"/>
      <c r="Y19" s="10"/>
      <c r="Z19" s="10"/>
    </row>
    <row r="20" ht="35" customHeight="1">
      <c r="A20" s="59"/>
      <c r="B20" s="87" t="n">
        <v>10</v>
      </c>
      <c r="C20" s="88" t="str">
        <v>Publication</v>
      </c>
      <c r="D20" s="89" t="n">
        <f>'Publication'!B6</f>
        <v>0</v>
      </c>
      <c r="E20" s="90" t="n">
        <f>'Publication'!C6</f>
        <v>0</v>
      </c>
      <c r="F20" s="89" t="n">
        <f>'Publication'!D6</f>
        <v>7</v>
      </c>
      <c r="G20" s="89" t="n">
        <f>'Publication'!E6</f>
        <v>0</v>
      </c>
      <c r="H20" s="91" t="n">
        <f>'Publication'!B4</f>
        <v>7</v>
      </c>
      <c r="I20" s="44"/>
      <c r="J20" s="10"/>
      <c r="K20" s="10"/>
      <c r="L20" s="10"/>
      <c r="M20" s="10"/>
      <c r="N20" s="10"/>
      <c r="O20" s="10"/>
      <c r="P20" s="10"/>
      <c r="Q20" s="10"/>
      <c r="R20" s="10"/>
      <c r="S20" s="10"/>
      <c r="T20" s="10"/>
      <c r="U20" s="10"/>
      <c r="V20" s="10"/>
      <c r="W20" s="10"/>
      <c r="X20" s="10"/>
      <c r="Y20" s="10"/>
      <c r="Z20" s="10"/>
    </row>
    <row r="21" ht="35" customHeight="1">
      <c r="A21" s="59"/>
      <c r="B21" s="87" t="n">
        <v>11</v>
      </c>
      <c r="C21" s="88" t="str">
        <v>Calendar</v>
      </c>
      <c r="D21" s="89" t="n">
        <f>'Calendar'!B6</f>
        <v>0</v>
      </c>
      <c r="E21" s="90" t="n">
        <f>'Calendar'!C6</f>
        <v>0</v>
      </c>
      <c r="F21" s="89" t="n">
        <f>'Calendar'!D6</f>
        <v>8</v>
      </c>
      <c r="G21" s="89" t="n">
        <f>'Calendar'!E6</f>
        <v>0</v>
      </c>
      <c r="H21" s="91" t="n">
        <f>'Calendar'!B4</f>
        <v>8</v>
      </c>
      <c r="I21" s="44"/>
      <c r="J21" s="10"/>
      <c r="K21" s="10"/>
      <c r="L21" s="10"/>
      <c r="M21" s="10"/>
      <c r="N21" s="10"/>
      <c r="O21" s="10"/>
      <c r="P21" s="10"/>
      <c r="Q21" s="10"/>
      <c r="R21" s="10"/>
      <c r="S21" s="10"/>
      <c r="T21" s="10"/>
      <c r="U21" s="10"/>
      <c r="V21" s="10"/>
      <c r="W21" s="10"/>
      <c r="X21" s="10"/>
      <c r="Y21" s="10"/>
      <c r="Z21" s="10"/>
    </row>
    <row r="22" ht="35" customHeight="1">
      <c r="A22" s="59"/>
      <c r="B22" s="87" t="n">
        <v>12</v>
      </c>
      <c r="C22" s="88" t="str">
        <v>Notifications</v>
      </c>
      <c r="D22" s="89" t="n">
        <f>'Notifications'!B6</f>
        <v>0</v>
      </c>
      <c r="E22" s="90" t="n">
        <f>'Notifications'!C6</f>
        <v>0</v>
      </c>
      <c r="F22" s="89" t="n">
        <f>'Notifications'!D6</f>
        <v>9</v>
      </c>
      <c r="G22" s="89" t="n">
        <f>'Notifications'!E6</f>
        <v>0</v>
      </c>
      <c r="H22" s="91" t="n">
        <f>'Notifications'!B4</f>
        <v>9</v>
      </c>
      <c r="I22" s="44"/>
      <c r="J22" s="10"/>
      <c r="K22" s="10"/>
      <c r="L22" s="10"/>
      <c r="M22" s="10"/>
      <c r="N22" s="10"/>
      <c r="O22" s="10"/>
      <c r="P22" s="10"/>
      <c r="Q22" s="10"/>
      <c r="R22" s="10"/>
      <c r="S22" s="10"/>
      <c r="T22" s="10"/>
      <c r="U22" s="10"/>
      <c r="V22" s="10"/>
      <c r="W22" s="10"/>
      <c r="X22" s="10"/>
      <c r="Y22" s="10"/>
      <c r="Z22" s="10"/>
    </row>
    <row r="23" ht="35" customHeight="1">
      <c r="A23" s="59"/>
      <c r="B23" s="87" t="n">
        <v>13</v>
      </c>
      <c r="C23" s="88" t="str">
        <v>Access and Recovery</v>
      </c>
      <c r="D23" s="89" t="n">
        <f>'Access and Recovery'!B6</f>
        <v>0</v>
      </c>
      <c r="E23" s="90" t="n">
        <f>'Access and Recovery'!C6</f>
        <v>0</v>
      </c>
      <c r="F23" s="89" t="n">
        <f>'Access and Recovery'!D6</f>
        <v>6</v>
      </c>
      <c r="G23" s="89" t="n">
        <f>'Access and Recovery'!E6</f>
        <v>0</v>
      </c>
      <c r="H23" s="91" t="n">
        <f>'Access and Recovery'!B4</f>
        <v>6</v>
      </c>
      <c r="I23" s="44"/>
      <c r="J23" s="10"/>
      <c r="K23" s="10"/>
      <c r="L23" s="10"/>
      <c r="M23" s="10"/>
      <c r="N23" s="10"/>
      <c r="O23" s="10"/>
      <c r="P23" s="10"/>
      <c r="Q23" s="10"/>
      <c r="R23" s="10"/>
      <c r="S23" s="10"/>
      <c r="T23" s="10"/>
      <c r="U23" s="10"/>
      <c r="V23" s="10"/>
      <c r="W23" s="10"/>
      <c r="X23" s="10"/>
      <c r="Y23" s="10"/>
      <c r="Z23" s="10"/>
    </row>
    <row r="24" ht="25" customHeight="1">
      <c r="A24" s="59"/>
      <c r="B24" s="92"/>
      <c r="C24" s="93" t="str">
        <v>Sub total</v>
      </c>
      <c r="D24" s="94" t="n">
        <f>SUM(D11:D23)</f>
        <v>0</v>
      </c>
      <c r="E24" s="94" t="n">
        <f>SUM(E11:E23)</f>
        <v>0</v>
      </c>
      <c r="F24" s="94" t="n">
        <f>SUM(F11:F23)</f>
        <v>124</v>
      </c>
      <c r="G24" s="94" t="n">
        <f>SUM(G11:G23)</f>
        <v>0</v>
      </c>
      <c r="H24" s="95" t="n">
        <f>SUM(H11:H23)</f>
        <v>124</v>
      </c>
      <c r="I24" s="44"/>
      <c r="J24" s="10"/>
      <c r="K24" s="10"/>
      <c r="L24" s="10"/>
      <c r="M24" s="10"/>
      <c r="N24" s="10"/>
      <c r="O24" s="10"/>
      <c r="P24" s="10"/>
      <c r="Q24" s="10"/>
      <c r="R24" s="10"/>
      <c r="S24" s="10"/>
      <c r="T24" s="10"/>
      <c r="U24" s="10"/>
      <c r="V24" s="10"/>
      <c r="W24" s="10"/>
      <c r="X24" s="10"/>
      <c r="Y24" s="10"/>
      <c r="Z24" s="10"/>
    </row>
    <row r="25">
      <c r="A25"/>
      <c r="B25"/>
      <c r="C25"/>
      <c r="D25"/>
      <c r="E25"/>
      <c r="F25"/>
      <c r="G25"/>
      <c r="H25"/>
    </row>
    <row r="26" ht="25" customHeight="1">
      <c r="A26" s="59"/>
      <c r="B26" s="100"/>
      <c r="C26" s="8" t="str">
        <v>Test coverage</v>
      </c>
      <c r="D26" s="10"/>
      <c r="E26" s="101" t="n">
        <f>IFERROR((D24+E24)*100/(H24-G24),0)</f>
        <v>0</v>
      </c>
      <c r="F26" s="10" t="str">
        <v>%</v>
      </c>
      <c r="G26" s="10"/>
      <c r="H26" s="102"/>
      <c r="I26" s="44"/>
      <c r="J26" s="10"/>
      <c r="K26" s="10"/>
      <c r="L26" s="10"/>
      <c r="M26" s="10"/>
      <c r="N26" s="10"/>
      <c r="O26" s="10"/>
      <c r="P26" s="10"/>
      <c r="Q26" s="10"/>
      <c r="R26" s="10"/>
      <c r="S26" s="10"/>
      <c r="T26" s="10"/>
      <c r="U26" s="10"/>
      <c r="V26" s="10"/>
      <c r="W26" s="10"/>
      <c r="X26" s="10"/>
      <c r="Y26" s="10"/>
      <c r="Z26" s="10"/>
    </row>
    <row r="27" ht="25" customHeight="1">
      <c r="A27" s="59"/>
      <c r="B27" s="103"/>
      <c r="C27" s="104" t="str">
        <v>Test successful coverage</v>
      </c>
      <c r="D27" s="105"/>
      <c r="E27" s="106" t="n">
        <f>IFERROR(D24*100/(H24-G24),0)</f>
        <v>0</v>
      </c>
      <c r="F27" s="105" t="str">
        <v>%</v>
      </c>
      <c r="G27" s="105"/>
      <c r="H27" s="107"/>
      <c r="I27" s="44"/>
      <c r="J27" s="10"/>
      <c r="K27" s="10"/>
      <c r="L27" s="10"/>
      <c r="M27" s="10"/>
      <c r="N27" s="10"/>
      <c r="O27" s="10"/>
      <c r="P27" s="10"/>
      <c r="Q27" s="10"/>
      <c r="R27" s="10"/>
      <c r="S27" s="10"/>
      <c r="T27" s="10"/>
      <c r="U27" s="10"/>
      <c r="V27" s="10"/>
      <c r="W27" s="10"/>
      <c r="X27" s="10"/>
      <c r="Y27" s="10"/>
      <c r="Z27" s="10"/>
    </row>
  </sheetData>
  <mergeCells count="7">
    <mergeCell ref="B1:H1"/>
    <mergeCell ref="C3:H3"/>
    <mergeCell ref="C4:H4"/>
    <mergeCell ref="C5:D5"/>
    <mergeCell ref="E5:F5"/>
    <mergeCell ref="G5:H5"/>
    <mergeCell ref="C6:H6"/>
  </mergeCells>
  <printOptions/>
  <pageMargins bottom="0.9840277777777777" footer="0.0" header="0.0" left="0.7479166666666667" right="0.7479166666666667" top="0.9840277777777778"/>
  <pageSetup orientation="landscape"/>
  <headerFooter>
    <oddFooter>&amp;L 02ae-BM/PM/HDCV/FSOFT v2/0&amp;CInternal use&amp;R&amp;P/</oddFooter>
  </headerFooter>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topLeftCell="A1" zoomScale="70" showGridLines="0">
      <pane xSplit="2" ySplit="10" topLeftCell="C11" activePane="bottomRight" state="frozen"/>
      <selection pane="bottomRight" activeCell="A1" sqref="A1"/>
    </sheetView>
  </sheetViews>
  <sheetFormatPr customHeight="1" defaultColWidth="12.63" defaultRowHeight="15.0" outlineLevelCol="1" outlineLevelRow="1"/>
  <cols>
    <col customWidth="1" min="1" max="1" width="17.0"/>
    <col customWidth="1" min="2" max="2" width="34.5"/>
    <col customWidth="1" min="3" max="3" width="34.13"/>
    <col customWidth="1" min="4" max="4" width="43.75"/>
    <col customWidth="1" min="5" max="5" width="28.38"/>
    <col customWidth="1" min="6" max="6" width="9.38"/>
    <col customWidth="1" min="7" max="7" width="10.38" outlineLevel="1"/>
    <col customWidth="1" min="8" max="9" width="9.38"/>
    <col customWidth="1" min="10" max="10" width="10.38" outlineLevel="1"/>
    <col customWidth="1" min="11" max="12" width="9.38"/>
    <col customWidth="1" min="13" max="13" width="10.38" outlineLevel="1"/>
    <col customWidth="1" min="14" max="14" width="9.38"/>
    <col customWidth="1" min="15" max="15" width="24"/>
    <col customWidth="1" hidden="1" min="16" max="16" width="7.63"/>
    <col customWidth="1" min="17" max="25" width="9.0"/>
  </cols>
  <sheetData>
    <row r="1" ht="12.75" customHeight="1">
      <c r="A1" s="108"/>
      <c r="B1" s="108"/>
      <c r="C1" s="108"/>
      <c r="D1" s="108"/>
      <c r="E1" s="108"/>
      <c r="F1" s="108"/>
      <c r="G1" s="108"/>
      <c r="H1" s="108"/>
      <c r="I1" s="108"/>
      <c r="J1" s="108"/>
      <c r="K1" s="108"/>
      <c r="L1" s="108"/>
      <c r="M1" s="108"/>
      <c r="N1" s="108"/>
      <c r="O1" s="108"/>
      <c r="P1" s="45"/>
      <c r="Q1" s="45"/>
      <c r="R1" s="45"/>
      <c r="S1" s="45"/>
      <c r="T1" s="45"/>
      <c r="U1" s="45"/>
      <c r="V1" s="45"/>
      <c r="W1" s="45"/>
      <c r="X1" s="45"/>
      <c r="Y1" s="109"/>
    </row>
    <row r="2" ht="15.0" customHeight="1">
      <c r="A2" s="110" t="str">
        <v>Feature</v>
      </c>
      <c r="B2" s="111" t="str">
        <v>Authentication</v>
      </c>
      <c r="C2" s="5"/>
      <c r="D2" s="5"/>
      <c r="E2" s="112"/>
      <c r="F2" s="108"/>
      <c r="G2" s="108"/>
      <c r="H2" s="108"/>
      <c r="I2" s="108"/>
      <c r="J2" s="108"/>
      <c r="K2" s="108"/>
      <c r="L2" s="108"/>
      <c r="M2" s="108"/>
      <c r="N2" s="108"/>
      <c r="O2" s="108"/>
      <c r="P2" s="113" t="str">
        <v>Passed</v>
      </c>
      <c r="Q2" s="113"/>
      <c r="R2" s="113"/>
      <c r="S2" s="113"/>
      <c r="T2" s="113"/>
      <c r="U2" s="113"/>
      <c r="V2" s="113"/>
      <c r="W2" s="113"/>
      <c r="X2" s="113"/>
      <c r="Y2" s="114"/>
    </row>
    <row r="3" ht="52" customHeight="1">
      <c r="A3" s="110" t="str">
        <v>Test requirement</v>
      </c>
      <c r="B3" s="111" t="str">
        <v>Manual integration: perform the browser steps and compare saved data or recipient screens. Check prerequisites before execution.</v>
      </c>
      <c r="C3" s="5"/>
      <c r="D3" s="5"/>
      <c r="E3" s="112"/>
      <c r="F3" s="108"/>
      <c r="G3" s="108"/>
      <c r="H3" s="108"/>
      <c r="I3" s="108"/>
      <c r="J3" s="108"/>
      <c r="K3" s="108"/>
      <c r="L3" s="108"/>
      <c r="M3" s="108"/>
      <c r="N3" s="108"/>
      <c r="O3" s="108"/>
      <c r="P3" s="113" t="str">
        <v>Failed</v>
      </c>
      <c r="Q3" s="113"/>
      <c r="R3" s="113"/>
      <c r="S3" s="113"/>
      <c r="T3" s="113"/>
      <c r="U3" s="113"/>
      <c r="V3" s="113"/>
      <c r="W3" s="113"/>
      <c r="X3" s="113"/>
      <c r="Y3" s="114"/>
    </row>
    <row r="4" ht="18.0" customHeight="1">
      <c r="A4" s="110" t="str">
        <v>Number of TCs</v>
      </c>
      <c r="B4" s="111" t="n">
        <v>11</v>
      </c>
      <c r="C4" s="5"/>
      <c r="D4" s="5"/>
      <c r="E4" s="112"/>
      <c r="F4" s="108"/>
      <c r="G4" s="108"/>
      <c r="H4" s="108"/>
      <c r="I4" s="108"/>
      <c r="J4" s="108"/>
      <c r="K4" s="108"/>
      <c r="L4" s="108"/>
      <c r="M4" s="108"/>
      <c r="N4" s="108"/>
      <c r="O4" s="108"/>
      <c r="P4" s="113" t="str">
        <v>NotRun</v>
      </c>
      <c r="Q4" s="113"/>
      <c r="R4" s="113"/>
      <c r="S4" s="113"/>
      <c r="T4" s="113"/>
      <c r="U4" s="113"/>
      <c r="V4" s="113"/>
      <c r="W4" s="113"/>
      <c r="X4" s="113"/>
      <c r="Y4" s="114"/>
    </row>
    <row r="5" ht="19.5" customHeight="1">
      <c r="A5" s="115" t="str">
        <v>Testing Round</v>
      </c>
      <c r="B5" s="115" t="str">
        <v>Passed</v>
      </c>
      <c r="C5" s="115" t="str">
        <v>Failed</v>
      </c>
      <c r="D5" s="115" t="str">
        <v>Pending</v>
      </c>
      <c r="E5" s="115" t="str">
        <v>N/A</v>
      </c>
      <c r="F5" s="108"/>
      <c r="G5" s="108"/>
      <c r="H5" s="108"/>
      <c r="I5" s="108"/>
      <c r="J5" s="108"/>
      <c r="K5" s="108"/>
      <c r="L5" s="108"/>
      <c r="M5" s="108"/>
      <c r="N5" s="108"/>
      <c r="O5" s="108"/>
      <c r="P5" s="113" t="str">
        <v>Skipped</v>
      </c>
      <c r="Q5" s="113"/>
      <c r="R5" s="113"/>
      <c r="S5" s="113"/>
      <c r="T5" s="113"/>
      <c r="U5" s="113"/>
      <c r="V5" s="113"/>
      <c r="W5" s="113"/>
      <c r="X5" s="113"/>
      <c r="Y5" s="114"/>
    </row>
    <row r="6" ht="15.0" customHeight="1">
      <c r="A6" s="116" t="str">
        <v>Round 1</v>
      </c>
      <c r="B6" s="115" t="n">
        <f>COUNTIF(F12:F24,"Passed")</f>
        <v>0</v>
      </c>
      <c r="C6" s="115" t="n">
        <f>COUNTIF(F12:F24,"Failed")</f>
        <v>0</v>
      </c>
      <c r="D6" s="115" t="n">
        <f>B4-B6-C6-E6</f>
        <v>11</v>
      </c>
      <c r="E6" s="115" t="n">
        <f>COUNTIF(F12:F24,"Skipped")</f>
        <v>0</v>
      </c>
      <c r="F6" s="108"/>
      <c r="G6" s="108"/>
      <c r="H6" s="108"/>
      <c r="I6" s="108"/>
      <c r="J6" s="108"/>
      <c r="K6" s="108"/>
      <c r="L6" s="108"/>
      <c r="M6" s="108"/>
      <c r="N6" s="108"/>
      <c r="O6" s="108"/>
      <c r="P6" s="113"/>
      <c r="Q6" s="113"/>
      <c r="R6" s="113"/>
      <c r="S6" s="113"/>
      <c r="T6" s="113"/>
      <c r="U6" s="113"/>
      <c r="V6" s="113"/>
      <c r="W6" s="113"/>
      <c r="X6" s="113"/>
      <c r="Y6" s="114"/>
    </row>
    <row r="7" ht="15.0" customHeight="1">
      <c r="A7" s="116" t="str">
        <v>Round 2</v>
      </c>
      <c r="B7" s="115" t="n">
        <f>COUNTIF(I12:I24,"Passed")</f>
        <v>0</v>
      </c>
      <c r="C7" s="115" t="n">
        <f>COUNTIF(I12:I24,"Failed")</f>
        <v>0</v>
      </c>
      <c r="D7" s="115" t="n">
        <f>B4-B7-C7-E7</f>
        <v>11</v>
      </c>
      <c r="E7" s="115" t="n">
        <f>COUNTIF(I12:I24,"Skipped")</f>
        <v>0</v>
      </c>
      <c r="F7" s="108"/>
      <c r="G7" s="108"/>
      <c r="H7" s="108"/>
      <c r="I7" s="108"/>
      <c r="J7" s="108"/>
      <c r="K7" s="108"/>
      <c r="L7" s="108"/>
      <c r="M7" s="108"/>
      <c r="N7" s="108"/>
      <c r="O7" s="108"/>
      <c r="P7" s="113"/>
      <c r="Q7" s="113"/>
      <c r="R7" s="113"/>
      <c r="S7" s="113"/>
      <c r="T7" s="113"/>
      <c r="U7" s="113"/>
      <c r="V7" s="113"/>
      <c r="W7" s="113"/>
      <c r="X7" s="113"/>
      <c r="Y7" s="114"/>
    </row>
    <row r="8" ht="15.0" customHeight="1">
      <c r="A8" s="116" t="str">
        <v>Round 3</v>
      </c>
      <c r="B8" s="115" t="n">
        <f>COUNTIF(L12:L24,"Passed")</f>
        <v>0</v>
      </c>
      <c r="C8" s="115" t="n">
        <f>COUNTIF(L12:L24,"Failed")</f>
        <v>0</v>
      </c>
      <c r="D8" s="115" t="n">
        <f>B4-B8-C8-E8</f>
        <v>11</v>
      </c>
      <c r="E8" s="115" t="n">
        <f>COUNTIF(L12:L24,"Skipped")</f>
        <v>0</v>
      </c>
      <c r="F8" s="108"/>
      <c r="G8" s="108"/>
      <c r="H8" s="108"/>
      <c r="I8" s="108"/>
      <c r="J8" s="108"/>
      <c r="K8" s="108"/>
      <c r="L8" s="108"/>
      <c r="M8" s="108"/>
      <c r="N8" s="108"/>
      <c r="O8" s="108"/>
      <c r="P8" s="113"/>
      <c r="Q8" s="113"/>
      <c r="R8" s="113"/>
      <c r="S8" s="113"/>
      <c r="T8" s="113"/>
      <c r="U8" s="113"/>
      <c r="V8" s="113"/>
      <c r="W8" s="113"/>
      <c r="X8" s="113"/>
      <c r="Y8" s="114"/>
    </row>
    <row r="9" ht="15.0" customHeight="1">
      <c r="A9" s="108"/>
      <c r="B9" s="108"/>
      <c r="C9" s="108"/>
      <c r="D9" s="108"/>
      <c r="E9" s="108"/>
      <c r="F9" s="108"/>
      <c r="G9" s="108"/>
      <c r="H9" s="108"/>
      <c r="I9" s="108"/>
      <c r="J9" s="108"/>
      <c r="K9" s="108"/>
      <c r="L9" s="108"/>
      <c r="M9" s="108"/>
      <c r="N9" s="108"/>
      <c r="O9" s="108"/>
      <c r="P9" s="113"/>
      <c r="Q9" s="113"/>
      <c r="R9" s="113"/>
      <c r="S9" s="113"/>
      <c r="T9" s="113"/>
      <c r="U9" s="113"/>
      <c r="V9" s="113"/>
      <c r="W9" s="113"/>
      <c r="X9" s="113"/>
      <c r="Y9" s="114"/>
    </row>
    <row r="10" ht="42" customHeight="1">
      <c r="A10" s="117" t="str">
        <v>Test Case ID</v>
      </c>
      <c r="B10" s="117" t="str">
        <v>Test Case Description</v>
      </c>
      <c r="C10" s="117" t="str">
        <v>Test Case Procedure</v>
      </c>
      <c r="D10" s="117" t="str">
        <v>Expected Results</v>
      </c>
      <c r="E10" s="117" t="str">
        <v>Pre-conditions</v>
      </c>
      <c r="F10" s="117" t="str">
        <v>Round 1</v>
      </c>
      <c r="G10" s="117" t="str">
        <v>Test date</v>
      </c>
      <c r="H10" s="117" t="str">
        <v>Tester</v>
      </c>
      <c r="I10" s="117" t="str">
        <v>Round 2</v>
      </c>
      <c r="J10" s="117" t="str">
        <v>Test date</v>
      </c>
      <c r="K10" s="117" t="str">
        <v>Tester</v>
      </c>
      <c r="L10" s="117" t="str">
        <v>Round 3</v>
      </c>
      <c r="M10" s="117" t="str">
        <v>Test date</v>
      </c>
      <c r="N10" s="117" t="str">
        <v>Tester</v>
      </c>
      <c r="O10" s="117" t="str">
        <v>Actual result / Evidence / Defect</v>
      </c>
      <c r="P10" s="118"/>
      <c r="Q10" s="113"/>
      <c r="R10" s="113"/>
      <c r="S10" s="113"/>
      <c r="T10" s="113"/>
      <c r="U10" s="113"/>
      <c r="V10" s="113"/>
      <c r="W10" s="113"/>
      <c r="X10" s="113"/>
      <c r="Y10" s="113"/>
    </row>
    <row r="11" ht="24" customHeight="1">
      <c r="A11" s="119" t="str">
        <v>Authentication - Password sign-in</v>
      </c>
      <c r="B11" s="119"/>
      <c r="C11" s="119"/>
      <c r="D11" s="119"/>
      <c r="E11" s="119"/>
      <c r="F11" s="119"/>
      <c r="G11" s="119"/>
      <c r="H11" s="119"/>
      <c r="I11" s="119"/>
      <c r="J11" s="119"/>
      <c r="K11" s="119"/>
      <c r="L11" s="119"/>
      <c r="M11" s="119"/>
      <c r="N11" s="119"/>
      <c r="O11" s="150"/>
      <c r="P11" s="124"/>
      <c r="Q11" s="113"/>
      <c r="R11" s="113"/>
      <c r="S11" s="113"/>
      <c r="T11" s="113"/>
      <c r="U11" s="113"/>
      <c r="V11" s="113"/>
      <c r="W11" s="113"/>
      <c r="X11" s="113"/>
      <c r="Y11" s="113"/>
    </row>
    <row r="12" ht="103.19999999999999" customHeight="1">
      <c r="A12" s="121" t="str">
        <v>AUTH_IT01</v>
      </c>
      <c r="B12" s="121" t="str">
        <v>Valid credentials open the correct account</v>
      </c>
      <c r="C12" s="121" t="str">
        <v>1. Enter the supplied email and password.
2. Click "Đăng nhập bằng mật khẩu".
3. Open the account menu; reload the meeting list.</v>
      </c>
      <c r="D12" s="121" t="str">
        <v>1. Meeting list opens and menu identifies the supplied user.
2. Reload retains the authenticated account and permitted meetings.</v>
      </c>
      <c r="E12" s="121" t="str">
        <v>Signed out; /login open; active password account provided by QA lead.</v>
      </c>
      <c r="F12" s="121" t="str">
        <v>NotRun</v>
      </c>
      <c r="G12" s="122" t="str"/>
      <c r="H12" s="121" t="str"/>
      <c r="I12" s="121" t="str"/>
      <c r="J12" s="122" t="str"/>
      <c r="K12" s="121" t="str"/>
      <c r="L12" s="121" t="str"/>
      <c r="M12" s="122" t="str"/>
      <c r="N12" s="121" t="str"/>
      <c r="O12" s="123" t="str"/>
      <c r="P12" s="124"/>
      <c r="Q12" s="113"/>
      <c r="R12" s="113"/>
      <c r="S12" s="113"/>
      <c r="T12" s="113"/>
      <c r="U12" s="113"/>
      <c r="V12" s="113"/>
      <c r="W12" s="113"/>
      <c r="X12" s="113"/>
      <c r="Y12" s="113"/>
    </row>
    <row r="13" ht="95" customHeight="1">
      <c r="A13" s="121" t="str">
        <v>AUTH_IT02</v>
      </c>
      <c r="B13" s="121" t="str">
        <v>Empty credentials do not sign in</v>
      </c>
      <c r="C13" s="121" t="str">
        <v>1. Leave "Email" and "Mật khẩu" empty.
2. Click "Đăng nhập bằng mật khẩu".</v>
      </c>
      <c r="D13" s="121" t="str">
        <v>1. Required-credentials message is shown.
2. Login page remains open; protected content is not displayed.</v>
      </c>
      <c r="E13" s="121" t="str">
        <v>Signed out; /login open; active password account provided by QA lead.</v>
      </c>
      <c r="F13" s="121" t="str">
        <v>NotRun</v>
      </c>
      <c r="G13" s="122" t="str"/>
      <c r="H13" s="121" t="str"/>
      <c r="I13" s="121" t="str"/>
      <c r="J13" s="122" t="str"/>
      <c r="K13" s="121" t="str"/>
      <c r="L13" s="121" t="str"/>
      <c r="M13" s="122" t="str"/>
      <c r="N13" s="121" t="str"/>
      <c r="O13" s="123" t="str"/>
      <c r="P13" s="124"/>
      <c r="Q13" s="113"/>
      <c r="R13" s="113"/>
      <c r="S13" s="113"/>
      <c r="T13" s="113"/>
      <c r="U13" s="113"/>
      <c r="V13" s="113"/>
      <c r="W13" s="113"/>
      <c r="X13" s="113"/>
      <c r="Y13" s="113"/>
    </row>
    <row r="14" ht="95" customHeight="1">
      <c r="A14" s="121" t="str">
        <v>AUTH_IT03</v>
      </c>
      <c r="B14" s="121" t="str">
        <v>Missing password does not sign in</v>
      </c>
      <c r="C14" s="121" t="str">
        <v>1. Enter the supplied email; leave password empty.
2. Click "Đăng nhập bằng mật khẩu".</v>
      </c>
      <c r="D14" s="121" t="str">
        <v>1. Required-credentials message is shown.
2. No authenticated account menu or meeting data appears.</v>
      </c>
      <c r="E14" s="121" t="str">
        <v>Signed out; /login open; active password account provided by QA lead.</v>
      </c>
      <c r="F14" s="121" t="str">
        <v>NotRun</v>
      </c>
      <c r="G14" s="122" t="str"/>
      <c r="H14" s="121" t="str"/>
      <c r="I14" s="121" t="str"/>
      <c r="J14" s="122" t="str"/>
      <c r="K14" s="121" t="str"/>
      <c r="L14" s="121" t="str"/>
      <c r="M14" s="122" t="str"/>
      <c r="N14" s="121" t="str"/>
      <c r="O14" s="123" t="str"/>
      <c r="P14" s="124"/>
      <c r="Q14" s="113"/>
      <c r="R14" s="113"/>
      <c r="S14" s="113"/>
      <c r="T14" s="113"/>
      <c r="U14" s="113"/>
      <c r="V14" s="113"/>
      <c r="W14" s="113"/>
      <c r="X14" s="113"/>
      <c r="Y14" s="113"/>
    </row>
    <row r="15" ht="103.19999999999999" customHeight="1">
      <c r="A15" s="121" t="str">
        <v>AUTH_IT04</v>
      </c>
      <c r="B15" s="121" t="str">
        <v>Wrong password is rejected</v>
      </c>
      <c r="C15" s="121" t="str">
        <v>1. Enter the active email and a known incorrect password.
2. Click "Đăng nhập bằng mật khẩu"; then correct the password and click "Đăng nhập bằng mật khẩu" again.</v>
      </c>
      <c r="D15" s="121" t="str">
        <v>1. First attempt shows an error and stays on login.
2. Corrected attempt opens the supplied account.</v>
      </c>
      <c r="E15" s="121" t="str">
        <v>Signed out; /login open; active password account provided by QA lead.</v>
      </c>
      <c r="F15" s="121" t="str">
        <v>NotRun</v>
      </c>
      <c r="G15" s="122" t="str"/>
      <c r="H15" s="121" t="str"/>
      <c r="I15" s="121" t="str"/>
      <c r="J15" s="122" t="str"/>
      <c r="K15" s="121" t="str"/>
      <c r="L15" s="121" t="str"/>
      <c r="M15" s="122" t="str"/>
      <c r="N15" s="121" t="str"/>
      <c r="O15" s="123" t="str"/>
      <c r="P15" s="124"/>
      <c r="Q15" s="113"/>
      <c r="R15" s="113"/>
      <c r="S15" s="113"/>
      <c r="T15" s="113"/>
      <c r="U15" s="113"/>
      <c r="V15" s="113"/>
      <c r="W15" s="113"/>
      <c r="X15" s="113"/>
      <c r="Y15" s="113"/>
    </row>
    <row r="16" ht="103.19999999999999" customHeight="1">
      <c r="A16" s="121" t="str">
        <v>AUTH_IT05</v>
      </c>
      <c r="B16" s="121" t="str">
        <v>Deactivated account cannot sign in</v>
      </c>
      <c r="C16" s="121" t="str">
        <v>1. Enter that account and password.
2. Click "Đăng nhập bằng mật khẩu".
3. Try opening /mgmt/meetings directly.</v>
      </c>
      <c r="D16" s="121" t="str">
        <v>1. Sign-in is rejected.
2. Protected URL requires authentication; no meeting data is exposed.</v>
      </c>
      <c r="E16" s="121" t="str">
        <v>QA lead provides a deactivated account with known password; /login open.</v>
      </c>
      <c r="F16" s="121" t="str">
        <v>NotRun</v>
      </c>
      <c r="G16" s="122" t="str"/>
      <c r="H16" s="121" t="str"/>
      <c r="I16" s="121" t="str"/>
      <c r="J16" s="122" t="str"/>
      <c r="K16" s="121" t="str"/>
      <c r="L16" s="121" t="str"/>
      <c r="M16" s="122" t="str"/>
      <c r="N16" s="121" t="str"/>
      <c r="O16" s="123" t="str"/>
      <c r="P16" s="124"/>
      <c r="Q16" s="113"/>
      <c r="R16" s="113"/>
      <c r="S16" s="113"/>
      <c r="T16" s="113"/>
      <c r="U16" s="113"/>
      <c r="V16" s="113"/>
      <c r="W16" s="113"/>
      <c r="X16" s="113"/>
      <c r="Y16" s="113"/>
    </row>
    <row r="17" ht="95" customHeight="1">
      <c r="A17" s="121" t="str">
        <v>AUTH_IT06</v>
      </c>
      <c r="B17" s="121" t="str">
        <v>"Email" whitespace is trimmed</v>
      </c>
      <c r="C17" s="121" t="str">
        <v>1. Enter the supplied email with leading and trailing spaces.
2. Enter the correct password and click "Đăng nhập bằng mật khẩu".</v>
      </c>
      <c r="D17" s="121" t="str">
        <v>1. The account signs in successfully.
2. Account identity matches the email without surrounding spaces.</v>
      </c>
      <c r="E17" s="121" t="str">
        <v>Signed out; /login open; active password account provided by QA lead.</v>
      </c>
      <c r="F17" s="121" t="str">
        <v>NotRun</v>
      </c>
      <c r="G17" s="122" t="str"/>
      <c r="H17" s="121" t="str"/>
      <c r="I17" s="121" t="str"/>
      <c r="J17" s="122" t="str"/>
      <c r="K17" s="121" t="str"/>
      <c r="L17" s="121" t="str"/>
      <c r="M17" s="122" t="str"/>
      <c r="N17" s="121" t="str"/>
      <c r="O17" s="123" t="str"/>
      <c r="P17" s="124"/>
      <c r="Q17" s="113"/>
      <c r="R17" s="113"/>
      <c r="S17" s="113"/>
      <c r="T17" s="113"/>
      <c r="U17" s="113"/>
      <c r="V17" s="113"/>
      <c r="W17" s="113"/>
      <c r="X17" s="113"/>
      <c r="Y17" s="113"/>
    </row>
    <row r="18" ht="24" customHeight="1">
      <c r="A18" s="119" t="str">
        <v>Authentication - Google sign-in</v>
      </c>
      <c r="B18" s="119"/>
      <c r="C18" s="119"/>
      <c r="D18" s="119"/>
      <c r="E18" s="119"/>
      <c r="F18" s="119"/>
      <c r="G18" s="119"/>
      <c r="H18" s="119"/>
      <c r="I18" s="119"/>
      <c r="J18" s="119"/>
      <c r="K18" s="119"/>
      <c r="L18" s="119"/>
      <c r="M18" s="119"/>
      <c r="N18" s="119"/>
      <c r="O18" s="150"/>
      <c r="P18" s="124"/>
      <c r="Q18" s="113"/>
      <c r="R18" s="113"/>
      <c r="S18" s="113"/>
      <c r="T18" s="113"/>
      <c r="U18" s="113"/>
      <c r="V18" s="113"/>
      <c r="W18" s="113"/>
      <c r="X18" s="113"/>
      <c r="Y18" s="113"/>
    </row>
    <row r="19" ht="103.19999999999999" customHeight="1">
      <c r="A19" s="121" t="str">
        <v>AUTH_IT07</v>
      </c>
      <c r="B19" s="121" t="str">
        <v>Provisioned Google account signs in</v>
      </c>
      <c r="C19" s="121" t="str">
        <v>1. Click "Tiếp tục với Google".
2. Select the supplied Google identity.
3. Complete Google authentication and inspect the account menu.</v>
      </c>
      <c r="D19" s="121" t="str">
        <v>1. Matching internal account opens.
2. Existing role and capabilities are retained; no second account is created.</v>
      </c>
      <c r="E19" s="121" t="str">
        <v>Google sign-in is configured for this test origin; matching active internal account and controlled Google identity exist.</v>
      </c>
      <c r="F19" s="121" t="str">
        <v>NotRun</v>
      </c>
      <c r="G19" s="122" t="str"/>
      <c r="H19" s="121" t="str"/>
      <c r="I19" s="121" t="str"/>
      <c r="J19" s="122" t="str"/>
      <c r="K19" s="121" t="str"/>
      <c r="L19" s="121" t="str"/>
      <c r="M19" s="122" t="str"/>
      <c r="N19" s="121" t="str"/>
      <c r="O19" s="123" t="str"/>
      <c r="P19" s="124"/>
      <c r="Q19" s="113"/>
      <c r="R19" s="113"/>
      <c r="S19" s="113"/>
      <c r="T19" s="113"/>
      <c r="U19" s="113"/>
      <c r="V19" s="113"/>
      <c r="W19" s="113"/>
      <c r="X19" s="113"/>
      <c r="Y19" s="113"/>
    </row>
    <row r="20" ht="95" customHeight="1">
      <c r="A20" s="121" t="str">
        <v>AUTH_IT08</v>
      </c>
      <c r="B20" s="121" t="str">
        <v>Unprovisioned Google account is refused</v>
      </c>
      <c r="C20" s="121" t="str">
        <v>1. Sign in through Google with the unprovisioned identity.
2. Read the displayed error.
3. As admin, search its email in "Người dùng &amp; Quyền".</v>
      </c>
      <c r="D20" s="121" t="str">
        <v>1. Login is refused with an account-related message.
2. No account is automatically added to the user list.</v>
      </c>
      <c r="E20" s="121" t="str">
        <v>Google sign-in configured; controlled Google identity has no internal user; administrator can inspect users in another browser.</v>
      </c>
      <c r="F20" s="121" t="str">
        <v>NotRun</v>
      </c>
      <c r="G20" s="122" t="str"/>
      <c r="H20" s="121" t="str"/>
      <c r="I20" s="121" t="str"/>
      <c r="J20" s="122" t="str"/>
      <c r="K20" s="121" t="str"/>
      <c r="L20" s="121" t="str"/>
      <c r="M20" s="122" t="str"/>
      <c r="N20" s="121" t="str"/>
      <c r="O20" s="123" t="str"/>
      <c r="P20" s="124"/>
      <c r="Q20" s="113"/>
      <c r="R20" s="113"/>
      <c r="S20" s="113"/>
      <c r="T20" s="113"/>
      <c r="U20" s="113"/>
      <c r="V20" s="113"/>
      <c r="W20" s="113"/>
      <c r="X20" s="113"/>
      <c r="Y20" s="113"/>
    </row>
    <row r="21" ht="24" customHeight="1">
      <c r="A21" s="119" t="str">
        <v>Authentication - Session integration</v>
      </c>
      <c r="B21" s="119"/>
      <c r="C21" s="119"/>
      <c r="D21" s="119"/>
      <c r="E21" s="119"/>
      <c r="F21" s="119"/>
      <c r="G21" s="119"/>
      <c r="H21" s="119"/>
      <c r="I21" s="119"/>
      <c r="J21" s="119"/>
      <c r="K21" s="119"/>
      <c r="L21" s="119"/>
      <c r="M21" s="119"/>
      <c r="N21" s="119"/>
      <c r="O21" s="150"/>
      <c r="P21" s="124"/>
      <c r="Q21" s="113"/>
      <c r="R21" s="113"/>
      <c r="S21" s="113"/>
      <c r="T21" s="113"/>
      <c r="U21" s="113"/>
      <c r="V21" s="113"/>
      <c r="W21" s="113"/>
      <c r="X21" s="113"/>
      <c r="Y21" s="113"/>
    </row>
    <row r="22" ht="103.19999999999999" customHeight="1">
      <c r="A22" s="121" t="str">
        <v>AUTH_IT09</v>
      </c>
      <c r="B22" s="121" t="str">
        <v>Sign-out revokes access in the browser</v>
      </c>
      <c r="C22" s="121" t="str">
        <v>1. Open account menu and click "Đăng xuất".
2. Click "Đăng xuất" in the confirmation dialog.
3. Reopen the recorded meeting URL and reload.</v>
      </c>
      <c r="D22" s="121" t="str">
        <v>1. Login page is shown after sign-out.
2. Protected meeting cannot be read without signing in again.</v>
      </c>
      <c r="E22" s="121" t="str">
        <v>Signed in; account menu available; a readable meeting URL is recorded.</v>
      </c>
      <c r="F22" s="121" t="str">
        <v>NotRun</v>
      </c>
      <c r="G22" s="122" t="str"/>
      <c r="H22" s="121" t="str"/>
      <c r="I22" s="121" t="str"/>
      <c r="J22" s="122" t="str"/>
      <c r="K22" s="121" t="str"/>
      <c r="L22" s="121" t="str"/>
      <c r="M22" s="122" t="str"/>
      <c r="N22" s="121" t="str"/>
      <c r="O22" s="123" t="str"/>
      <c r="P22" s="124"/>
      <c r="Q22" s="113"/>
      <c r="R22" s="113"/>
      <c r="S22" s="113"/>
      <c r="T22" s="113"/>
      <c r="U22" s="113"/>
      <c r="V22" s="113"/>
      <c r="W22" s="113"/>
      <c r="X22" s="113"/>
      <c r="Y22" s="113"/>
    </row>
    <row r="23" ht="95" customHeight="1">
      <c r="A23" s="121" t="str">
        <v>AUTH_IT10</v>
      </c>
      <c r="B23" s="121" t="str">
        <v>Cancel sign-out keeps the session</v>
      </c>
      <c r="C23" s="121" t="str">
        <v>1. Open the account menu and click "Đăng xuất".
2. Click "Huỷ".
3. Open "Cuộc họp" and reload.</v>
      </c>
      <c r="D23" s="121" t="str">
        <v>1. Confirmation closes without signing out.
2. Same user remains signed in and can load permitted meetings.</v>
      </c>
      <c r="E23" s="121" t="str">
        <v>Signed in; account menu available.</v>
      </c>
      <c r="F23" s="121" t="str">
        <v>NotRun</v>
      </c>
      <c r="G23" s="122" t="str"/>
      <c r="H23" s="121" t="str"/>
      <c r="I23" s="121" t="str"/>
      <c r="J23" s="122" t="str"/>
      <c r="K23" s="121" t="str"/>
      <c r="L23" s="121" t="str"/>
      <c r="M23" s="122" t="str"/>
      <c r="N23" s="121" t="str"/>
      <c r="O23" s="123" t="str"/>
      <c r="P23" s="124"/>
      <c r="Q23" s="113"/>
      <c r="R23" s="113"/>
      <c r="S23" s="113"/>
      <c r="T23" s="113"/>
      <c r="U23" s="113"/>
      <c r="V23" s="113"/>
      <c r="W23" s="113"/>
      <c r="X23" s="113"/>
      <c r="Y23" s="113"/>
    </row>
    <row r="24" ht="95" customHeight="1">
      <c r="A24" s="121" t="str">
        <v>AUTH_IT11</v>
      </c>
      <c r="B24" s="121" t="str">
        <v>Login returns to an accessible deep link</v>
      </c>
      <c r="C24" s="121" t="str">
        <v>1. Open the meeting URL.
2. Enter the supplied credentials and click "Đăng nhập bằng mật khẩu".
3. Inspect the meeting title.</v>
      </c>
      <c r="D24" s="121" t="str">
        <v>1. Login prompt appears before any protected details.
2. After sign-in, the intended readable meeting opens.</v>
      </c>
      <c r="E24" s="121" t="str">
        <v>Signed out; QA lead provides a meeting URL readable by the supplied account.</v>
      </c>
      <c r="F24" s="121" t="str">
        <v>NotRun</v>
      </c>
      <c r="G24" s="122" t="str"/>
      <c r="H24" s="121" t="str"/>
      <c r="I24" s="121" t="str"/>
      <c r="J24" s="122" t="str"/>
      <c r="K24" s="121" t="str"/>
      <c r="L24" s="121" t="str"/>
      <c r="M24" s="122" t="str"/>
      <c r="N24" s="121" t="str"/>
      <c r="O24" s="123" t="str"/>
      <c r="P24" s="124"/>
      <c r="Q24" s="113"/>
      <c r="R24" s="113"/>
      <c r="S24" s="113"/>
      <c r="T24" s="113"/>
      <c r="U24" s="113"/>
      <c r="V24" s="113"/>
      <c r="W24" s="113"/>
      <c r="X24" s="113"/>
      <c r="Y24" s="113"/>
    </row>
  </sheetData>
  <mergeCells count="6">
    <mergeCell ref="B2:E2"/>
    <mergeCell ref="B3:E3"/>
    <mergeCell ref="B4:E4"/>
    <mergeCell ref="A11:O11"/>
    <mergeCell ref="A18:O18"/>
    <mergeCell ref="A21:O21"/>
  </mergeCells>
  <dataValidations count="3">
    <dataValidation type="list" allowBlank="1" showErrorMessage="1" errorTitle="Select a test status" error="Use the status dropdown." sqref="F12 F13 F14 F15 F16 F17 F19 F20 F22 F23 F24">
      <formula1>"NotRun,Passed,Failed,Blocked,Skipped"</formula1>
    </dataValidation>
    <dataValidation type="list" allowBlank="1" showErrorMessage="1" errorTitle="Select a test status" error="Use the status dropdown." sqref="I12 I13 I14 I15 I16 I17 I19 I20 I22 I23 I24">
      <formula1>"NotRun,Passed,Failed,Blocked,Skipped"</formula1>
    </dataValidation>
    <dataValidation type="list" allowBlank="1" showErrorMessage="1" errorTitle="Select a test status" error="Use the status dropdown." sqref="L12 L13 L14 L15 L16 L17 L19 L20 L22 L23 L24">
      <formula1>"NotRun,Passed,Failed,Blocked,Skipped"</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topLeftCell="A1" zoomScale="70" showGridLines="0">
      <pane xSplit="2" ySplit="10" topLeftCell="C11" activePane="bottomRight" state="frozen"/>
      <selection pane="bottomRight" activeCell="A1" sqref="A1"/>
    </sheetView>
  </sheetViews>
  <sheetFormatPr customHeight="1" defaultColWidth="12.63" defaultRowHeight="15.0" outlineLevelCol="1" outlineLevelRow="1"/>
  <cols>
    <col customWidth="1" min="1" max="1" width="17.0"/>
    <col customWidth="1" min="2" max="2" width="34.5"/>
    <col customWidth="1" min="3" max="3" width="34.13"/>
    <col customWidth="1" min="4" max="4" width="43.75"/>
    <col customWidth="1" min="5" max="5" width="28.38"/>
    <col customWidth="1" min="6" max="6" width="9.38"/>
    <col customWidth="1" min="7" max="7" width="10.38" outlineLevel="1"/>
    <col customWidth="1" min="8" max="9" width="9.38"/>
    <col customWidth="1" min="10" max="10" width="10.38" outlineLevel="1"/>
    <col customWidth="1" min="11" max="12" width="9.38"/>
    <col customWidth="1" min="13" max="13" width="10.38" outlineLevel="1"/>
    <col customWidth="1" min="14" max="14" width="9.38"/>
    <col customWidth="1" min="15" max="15" width="24"/>
    <col customWidth="1" hidden="1" min="16" max="16" width="7.63"/>
    <col customWidth="1" min="17" max="25" width="9.0"/>
  </cols>
  <sheetData>
    <row r="1" ht="12.75" customHeight="1">
      <c r="A1" s="108"/>
      <c r="B1" s="108"/>
      <c r="C1" s="108"/>
      <c r="D1" s="108"/>
      <c r="E1" s="108"/>
      <c r="F1" s="108"/>
      <c r="G1" s="108"/>
      <c r="H1" s="108"/>
      <c r="I1" s="108"/>
      <c r="J1" s="108"/>
      <c r="K1" s="108"/>
      <c r="L1" s="108"/>
      <c r="M1" s="108"/>
      <c r="N1" s="108"/>
      <c r="O1" s="108"/>
      <c r="P1" s="45"/>
      <c r="Q1" s="45"/>
      <c r="R1" s="45"/>
      <c r="S1" s="45"/>
      <c r="T1" s="45"/>
      <c r="U1" s="45"/>
      <c r="V1" s="45"/>
      <c r="W1" s="45"/>
      <c r="X1" s="45"/>
      <c r="Y1" s="109"/>
    </row>
    <row r="2" ht="15.0" customHeight="1">
      <c r="A2" s="110" t="str">
        <v>Feature</v>
      </c>
      <c r="B2" s="111" t="str">
        <v>Password Reset</v>
      </c>
      <c r="C2" s="5"/>
      <c r="D2" s="5"/>
      <c r="E2" s="112"/>
      <c r="F2" s="108"/>
      <c r="G2" s="108"/>
      <c r="H2" s="108"/>
      <c r="I2" s="108"/>
      <c r="J2" s="108"/>
      <c r="K2" s="108"/>
      <c r="L2" s="108"/>
      <c r="M2" s="108"/>
      <c r="N2" s="108"/>
      <c r="O2" s="108"/>
      <c r="P2" s="113" t="str">
        <v>Passed</v>
      </c>
      <c r="Q2" s="113"/>
      <c r="R2" s="113"/>
      <c r="S2" s="113"/>
      <c r="T2" s="113"/>
      <c r="U2" s="113"/>
      <c r="V2" s="113"/>
      <c r="W2" s="113"/>
      <c r="X2" s="113"/>
      <c r="Y2" s="114"/>
    </row>
    <row r="3" ht="52" customHeight="1">
      <c r="A3" s="110" t="str">
        <v>Test requirement</v>
      </c>
      <c r="B3" s="111" t="str">
        <v>Manual integration: perform the browser steps and compare saved data or recipient screens. Check prerequisites before execution.</v>
      </c>
      <c r="C3" s="5"/>
      <c r="D3" s="5"/>
      <c r="E3" s="112"/>
      <c r="F3" s="108"/>
      <c r="G3" s="108"/>
      <c r="H3" s="108"/>
      <c r="I3" s="108"/>
      <c r="J3" s="108"/>
      <c r="K3" s="108"/>
      <c r="L3" s="108"/>
      <c r="M3" s="108"/>
      <c r="N3" s="108"/>
      <c r="O3" s="108"/>
      <c r="P3" s="113" t="str">
        <v>Failed</v>
      </c>
      <c r="Q3" s="113"/>
      <c r="R3" s="113"/>
      <c r="S3" s="113"/>
      <c r="T3" s="113"/>
      <c r="U3" s="113"/>
      <c r="V3" s="113"/>
      <c r="W3" s="113"/>
      <c r="X3" s="113"/>
      <c r="Y3" s="114"/>
    </row>
    <row r="4" ht="18.0" customHeight="1">
      <c r="A4" s="110" t="str">
        <v>Number of TCs</v>
      </c>
      <c r="B4" s="111" t="n">
        <v>9</v>
      </c>
      <c r="C4" s="5"/>
      <c r="D4" s="5"/>
      <c r="E4" s="112"/>
      <c r="F4" s="108"/>
      <c r="G4" s="108"/>
      <c r="H4" s="108"/>
      <c r="I4" s="108"/>
      <c r="J4" s="108"/>
      <c r="K4" s="108"/>
      <c r="L4" s="108"/>
      <c r="M4" s="108"/>
      <c r="N4" s="108"/>
      <c r="O4" s="108"/>
      <c r="P4" s="113" t="str">
        <v>NotRun</v>
      </c>
      <c r="Q4" s="113"/>
      <c r="R4" s="113"/>
      <c r="S4" s="113"/>
      <c r="T4" s="113"/>
      <c r="U4" s="113"/>
      <c r="V4" s="113"/>
      <c r="W4" s="113"/>
      <c r="X4" s="113"/>
      <c r="Y4" s="114"/>
    </row>
    <row r="5" ht="19.5" customHeight="1">
      <c r="A5" s="115" t="str">
        <v>Testing Round</v>
      </c>
      <c r="B5" s="115" t="str">
        <v>Passed</v>
      </c>
      <c r="C5" s="115" t="str">
        <v>Failed</v>
      </c>
      <c r="D5" s="115" t="str">
        <v>Pending</v>
      </c>
      <c r="E5" s="115" t="str">
        <v>N/A</v>
      </c>
      <c r="F5" s="108"/>
      <c r="G5" s="108"/>
      <c r="H5" s="108"/>
      <c r="I5" s="108"/>
      <c r="J5" s="108"/>
      <c r="K5" s="108"/>
      <c r="L5" s="108"/>
      <c r="M5" s="108"/>
      <c r="N5" s="108"/>
      <c r="O5" s="108"/>
      <c r="P5" s="113" t="str">
        <v>Skipped</v>
      </c>
      <c r="Q5" s="113"/>
      <c r="R5" s="113"/>
      <c r="S5" s="113"/>
      <c r="T5" s="113"/>
      <c r="U5" s="113"/>
      <c r="V5" s="113"/>
      <c r="W5" s="113"/>
      <c r="X5" s="113"/>
      <c r="Y5" s="114"/>
    </row>
    <row r="6" ht="15.0" customHeight="1">
      <c r="A6" s="116" t="str">
        <v>Round 1</v>
      </c>
      <c r="B6" s="115" t="n">
        <f>COUNTIF(F12:F23,"Passed")</f>
        <v>0</v>
      </c>
      <c r="C6" s="115" t="n">
        <f>COUNTIF(F12:F23,"Failed")</f>
        <v>0</v>
      </c>
      <c r="D6" s="115" t="n">
        <f>B4-B6-C6-E6</f>
        <v>9</v>
      </c>
      <c r="E6" s="115" t="n">
        <f>COUNTIF(F12:F23,"Skipped")</f>
        <v>0</v>
      </c>
      <c r="F6" s="108"/>
      <c r="G6" s="108"/>
      <c r="H6" s="108"/>
      <c r="I6" s="108"/>
      <c r="J6" s="108"/>
      <c r="K6" s="108"/>
      <c r="L6" s="108"/>
      <c r="M6" s="108"/>
      <c r="N6" s="108"/>
      <c r="O6" s="108"/>
      <c r="P6" s="113"/>
      <c r="Q6" s="113"/>
      <c r="R6" s="113"/>
      <c r="S6" s="113"/>
      <c r="T6" s="113"/>
      <c r="U6" s="113"/>
      <c r="V6" s="113"/>
      <c r="W6" s="113"/>
      <c r="X6" s="113"/>
      <c r="Y6" s="114"/>
    </row>
    <row r="7" ht="15.0" customHeight="1">
      <c r="A7" s="116" t="str">
        <v>Round 2</v>
      </c>
      <c r="B7" s="115" t="n">
        <f>COUNTIF(I12:I23,"Passed")</f>
        <v>0</v>
      </c>
      <c r="C7" s="115" t="n">
        <f>COUNTIF(I12:I23,"Failed")</f>
        <v>0</v>
      </c>
      <c r="D7" s="115" t="n">
        <f>B4-B7-C7-E7</f>
        <v>9</v>
      </c>
      <c r="E7" s="115" t="n">
        <f>COUNTIF(I12:I23,"Skipped")</f>
        <v>0</v>
      </c>
      <c r="F7" s="108"/>
      <c r="G7" s="108"/>
      <c r="H7" s="108"/>
      <c r="I7" s="108"/>
      <c r="J7" s="108"/>
      <c r="K7" s="108"/>
      <c r="L7" s="108"/>
      <c r="M7" s="108"/>
      <c r="N7" s="108"/>
      <c r="O7" s="108"/>
      <c r="P7" s="113"/>
      <c r="Q7" s="113"/>
      <c r="R7" s="113"/>
      <c r="S7" s="113"/>
      <c r="T7" s="113"/>
      <c r="U7" s="113"/>
      <c r="V7" s="113"/>
      <c r="W7" s="113"/>
      <c r="X7" s="113"/>
      <c r="Y7" s="114"/>
    </row>
    <row r="8" ht="15.0" customHeight="1">
      <c r="A8" s="116" t="str">
        <v>Round 3</v>
      </c>
      <c r="B8" s="115" t="n">
        <f>COUNTIF(L12:L23,"Passed")</f>
        <v>0</v>
      </c>
      <c r="C8" s="115" t="n">
        <f>COUNTIF(L12:L23,"Failed")</f>
        <v>0</v>
      </c>
      <c r="D8" s="115" t="n">
        <f>B4-B8-C8-E8</f>
        <v>9</v>
      </c>
      <c r="E8" s="115" t="n">
        <f>COUNTIF(L12:L23,"Skipped")</f>
        <v>0</v>
      </c>
      <c r="F8" s="108"/>
      <c r="G8" s="108"/>
      <c r="H8" s="108"/>
      <c r="I8" s="108"/>
      <c r="J8" s="108"/>
      <c r="K8" s="108"/>
      <c r="L8" s="108"/>
      <c r="M8" s="108"/>
      <c r="N8" s="108"/>
      <c r="O8" s="108"/>
      <c r="P8" s="113"/>
      <c r="Q8" s="113"/>
      <c r="R8" s="113"/>
      <c r="S8" s="113"/>
      <c r="T8" s="113"/>
      <c r="U8" s="113"/>
      <c r="V8" s="113"/>
      <c r="W8" s="113"/>
      <c r="X8" s="113"/>
      <c r="Y8" s="114"/>
    </row>
    <row r="9" ht="15.0" customHeight="1">
      <c r="A9" s="108"/>
      <c r="B9" s="108"/>
      <c r="C9" s="108"/>
      <c r="D9" s="108"/>
      <c r="E9" s="108"/>
      <c r="F9" s="108"/>
      <c r="G9" s="108"/>
      <c r="H9" s="108"/>
      <c r="I9" s="108"/>
      <c r="J9" s="108"/>
      <c r="K9" s="108"/>
      <c r="L9" s="108"/>
      <c r="M9" s="108"/>
      <c r="N9" s="108"/>
      <c r="O9" s="108"/>
      <c r="P9" s="113"/>
      <c r="Q9" s="113"/>
      <c r="R9" s="113"/>
      <c r="S9" s="113"/>
      <c r="T9" s="113"/>
      <c r="U9" s="113"/>
      <c r="V9" s="113"/>
      <c r="W9" s="113"/>
      <c r="X9" s="113"/>
      <c r="Y9" s="114"/>
    </row>
    <row r="10" ht="42" customHeight="1">
      <c r="A10" s="117" t="str">
        <v>Test Case ID</v>
      </c>
      <c r="B10" s="117" t="str">
        <v>Test Case Description</v>
      </c>
      <c r="C10" s="117" t="str">
        <v>Test Case Procedure</v>
      </c>
      <c r="D10" s="117" t="str">
        <v>Expected Results</v>
      </c>
      <c r="E10" s="117" t="str">
        <v>Pre-conditions</v>
      </c>
      <c r="F10" s="117" t="str">
        <v>Round 1</v>
      </c>
      <c r="G10" s="117" t="str">
        <v>Test date</v>
      </c>
      <c r="H10" s="117" t="str">
        <v>Tester</v>
      </c>
      <c r="I10" s="117" t="str">
        <v>Round 2</v>
      </c>
      <c r="J10" s="117" t="str">
        <v>Test date</v>
      </c>
      <c r="K10" s="117" t="str">
        <v>Tester</v>
      </c>
      <c r="L10" s="117" t="str">
        <v>Round 3</v>
      </c>
      <c r="M10" s="117" t="str">
        <v>Test date</v>
      </c>
      <c r="N10" s="117" t="str">
        <v>Tester</v>
      </c>
      <c r="O10" s="117" t="str">
        <v>Actual result / Evidence / Defect</v>
      </c>
      <c r="P10" s="118"/>
      <c r="Q10" s="113"/>
      <c r="R10" s="113"/>
      <c r="S10" s="113"/>
      <c r="T10" s="113"/>
      <c r="U10" s="113"/>
      <c r="V10" s="113"/>
      <c r="W10" s="113"/>
      <c r="X10" s="113"/>
      <c r="Y10" s="113"/>
    </row>
    <row r="11" ht="24" customHeight="1">
      <c r="A11" s="119" t="str">
        <v>Password Reset - Reset email</v>
      </c>
      <c r="B11" s="119"/>
      <c r="C11" s="119"/>
      <c r="D11" s="119"/>
      <c r="E11" s="119"/>
      <c r="F11" s="119"/>
      <c r="G11" s="119"/>
      <c r="H11" s="119"/>
      <c r="I11" s="119"/>
      <c r="J11" s="119"/>
      <c r="K11" s="119"/>
      <c r="L11" s="119"/>
      <c r="M11" s="119"/>
      <c r="N11" s="119"/>
      <c r="O11" s="150"/>
      <c r="P11" s="124"/>
      <c r="Q11" s="113"/>
      <c r="R11" s="113"/>
      <c r="S11" s="113"/>
      <c r="T11" s="113"/>
      <c r="U11" s="113"/>
      <c r="V11" s="113"/>
      <c r="W11" s="113"/>
      <c r="X11" s="113"/>
      <c r="Y11" s="113"/>
    </row>
    <row r="12" ht="103.19999999999999" customHeight="1">
      <c r="A12" s="121" t="str">
        <v>RESET_IT01</v>
      </c>
      <c r="B12" s="121" t="str">
        <v>Administrator requests a reset email</v>
      </c>
      <c r="C12" s="121" t="str">
        <v>1. Find Reset User.
2. Click its "Gửi liên kết đặt lại mật khẩu" key action.
3. Click "Gửi liên kết".
4. Open the controlled inbox and locate the new reset message.</v>
      </c>
      <c r="D12" s="121" t="str">
        <v>1. Success feedback identifies a submitted request.
2. Reset message contains a usable link for Reset User; no password is disclosed.</v>
      </c>
      <c r="E12" s="121" t="str">
        <v>AdminUsers user in "Người dùng &amp; Quyền"; active password account Reset User; controlled inbox and email delivery enabled.</v>
      </c>
      <c r="F12" s="121" t="str">
        <v>NotRun</v>
      </c>
      <c r="G12" s="122" t="str"/>
      <c r="H12" s="121" t="str"/>
      <c r="I12" s="121" t="str"/>
      <c r="J12" s="122" t="str"/>
      <c r="K12" s="121" t="str"/>
      <c r="L12" s="121" t="str"/>
      <c r="M12" s="122" t="str"/>
      <c r="N12" s="121" t="str"/>
      <c r="O12" s="123" t="str"/>
      <c r="P12" s="124"/>
      <c r="Q12" s="113"/>
      <c r="R12" s="113"/>
      <c r="S12" s="113"/>
      <c r="T12" s="113"/>
      <c r="U12" s="113"/>
      <c r="V12" s="113"/>
      <c r="W12" s="113"/>
      <c r="X12" s="113"/>
      <c r="Y12" s="113"/>
    </row>
    <row r="13" ht="103.19999999999999" customHeight="1">
      <c r="A13" s="121" t="str">
        <v>RESET_IT02</v>
      </c>
      <c r="B13" s="121" t="str">
        <v>Cancel request sends no new reset</v>
      </c>
      <c r="C13" s="121" t="str">
        <v>1. Record current inbox messages.
2. Click "Gửi liên kết đặt lại mật khẩu" for Reset User.
3. Click "Huỷ"; inspect the inbox.</v>
      </c>
      <c r="D13" s="121" t="str">
        <v>1. Dialog closes with no success notice.
2. This cancelled operation creates no new reset email.</v>
      </c>
      <c r="E13" s="121" t="str">
        <v>AdminUsers user in "Người dùng &amp; Quyền"; active password account Reset User; controlled inbox and email delivery enabled.</v>
      </c>
      <c r="F13" s="121" t="str">
        <v>NotRun</v>
      </c>
      <c r="G13" s="122" t="str"/>
      <c r="H13" s="121" t="str"/>
      <c r="I13" s="121" t="str"/>
      <c r="J13" s="122" t="str"/>
      <c r="K13" s="121" t="str"/>
      <c r="L13" s="121" t="str"/>
      <c r="M13" s="122" t="str"/>
      <c r="N13" s="121" t="str"/>
      <c r="O13" s="123" t="str"/>
      <c r="P13" s="124"/>
      <c r="Q13" s="113"/>
      <c r="R13" s="113"/>
      <c r="S13" s="113"/>
      <c r="T13" s="113"/>
      <c r="U13" s="113"/>
      <c r="V13" s="113"/>
      <c r="W13" s="113"/>
      <c r="X13" s="113"/>
      <c r="Y13" s="113"/>
    </row>
    <row r="14" ht="24" customHeight="1">
      <c r="A14" s="119" t="str">
        <v>Password Reset - Reset form</v>
      </c>
      <c r="B14" s="119"/>
      <c r="C14" s="119"/>
      <c r="D14" s="119"/>
      <c r="E14" s="119"/>
      <c r="F14" s="119"/>
      <c r="G14" s="119"/>
      <c r="H14" s="119"/>
      <c r="I14" s="119"/>
      <c r="J14" s="119"/>
      <c r="K14" s="119"/>
      <c r="L14" s="119"/>
      <c r="M14" s="119"/>
      <c r="N14" s="119"/>
      <c r="O14" s="150"/>
      <c r="P14" s="124"/>
      <c r="Q14" s="113"/>
      <c r="R14" s="113"/>
      <c r="S14" s="113"/>
      <c r="T14" s="113"/>
      <c r="U14" s="113"/>
      <c r="V14" s="113"/>
      <c r="W14" s="113"/>
      <c r="X14" s="113"/>
      <c r="Y14" s="113"/>
    </row>
    <row r="15" ht="118.39999999999999" customHeight="1">
      <c r="A15" s="121" t="str">
        <v>RESET_IT03</v>
      </c>
      <c r="B15" s="121" t="str">
        <v>Valid password reset changes login credentials</v>
      </c>
      <c r="C15" s="121" t="str">
        <v>1. Open the email link.
2. Enter TcManual#2026! in both password fields.
3. Click "Đặt mật khẩu mới".
4. Sign in using the new password; sign out and try the old password.</v>
      </c>
      <c r="D15" s="121" t="str">
        <v>1. Reset succeeds and directs the user to login.
2. New password works; old password is rejected.</v>
      </c>
      <c r="E15" s="121" t="str">
        <v>Fresh unused reset email for Reset User; old password recorded; signed out.</v>
      </c>
      <c r="F15" s="121" t="str">
        <v>NotRun</v>
      </c>
      <c r="G15" s="122" t="str"/>
      <c r="H15" s="121" t="str"/>
      <c r="I15" s="121" t="str"/>
      <c r="J15" s="122" t="str"/>
      <c r="K15" s="121" t="str"/>
      <c r="L15" s="121" t="str"/>
      <c r="M15" s="122" t="str"/>
      <c r="N15" s="121" t="str"/>
      <c r="O15" s="123" t="str"/>
      <c r="P15" s="124"/>
      <c r="Q15" s="113"/>
      <c r="R15" s="113"/>
      <c r="S15" s="113"/>
      <c r="T15" s="113"/>
      <c r="U15" s="113"/>
      <c r="V15" s="113"/>
      <c r="W15" s="113"/>
      <c r="X15" s="113"/>
      <c r="Y15" s="113"/>
    </row>
    <row r="16" ht="103.19999999999999" customHeight="1">
      <c r="A16" s="121" t="str">
        <v>RESET_IT04</v>
      </c>
      <c r="B16" s="121" t="str">
        <v>Password shorter than 12 characters is rejected</v>
      </c>
      <c r="C16" s="121" t="str">
        <v>1. Enter Short123 in both password fields.
2. Click "Đặt mật khẩu mới".
3. Replace with a password of at least 12 characters and matching confirmation.</v>
      </c>
      <c r="D16" s="121" t="str">
        <v>1. Short password produces a validation message.
2. Form remains available for correction; no reset succeeds with the short value.</v>
      </c>
      <c r="E16" s="121" t="str">
        <v>Fresh unused reset link open.</v>
      </c>
      <c r="F16" s="121" t="str">
        <v>NotRun</v>
      </c>
      <c r="G16" s="122" t="str"/>
      <c r="H16" s="121" t="str"/>
      <c r="I16" s="121" t="str"/>
      <c r="J16" s="122" t="str"/>
      <c r="K16" s="121" t="str"/>
      <c r="L16" s="121" t="str"/>
      <c r="M16" s="122" t="str"/>
      <c r="N16" s="121" t="str"/>
      <c r="O16" s="123" t="str"/>
      <c r="P16" s="124"/>
      <c r="Q16" s="113"/>
      <c r="R16" s="113"/>
      <c r="S16" s="113"/>
      <c r="T16" s="113"/>
      <c r="U16" s="113"/>
      <c r="V16" s="113"/>
      <c r="W16" s="113"/>
      <c r="X16" s="113"/>
      <c r="Y16" s="113"/>
    </row>
    <row r="17" ht="103.19999999999999" customHeight="1">
      <c r="A17" s="121" t="str">
        <v>RESET_IT05</v>
      </c>
      <c r="B17" s="121" t="str">
        <v>Mismatched confirmation does not reset</v>
      </c>
      <c r="C17" s="121" t="str">
        <v>1. Enter TcManual#2026! as new password and Different#2026! as confirmation.
2. Click "Đặt mật khẩu mới".
3. Correct only confirmation and click "Đặt mật khẩu mới" again.</v>
      </c>
      <c r="D17" s="121" t="str">
        <v>1. Mismatch is reported without consuming the valid link.
2. Matching valid values complete the reset.</v>
      </c>
      <c r="E17" s="121" t="str">
        <v>Fresh unused reset link open.</v>
      </c>
      <c r="F17" s="121" t="str">
        <v>NotRun</v>
      </c>
      <c r="G17" s="122" t="str"/>
      <c r="H17" s="121" t="str"/>
      <c r="I17" s="121" t="str"/>
      <c r="J17" s="122" t="str"/>
      <c r="K17" s="121" t="str"/>
      <c r="L17" s="121" t="str"/>
      <c r="M17" s="122" t="str"/>
      <c r="N17" s="121" t="str"/>
      <c r="O17" s="123" t="str"/>
      <c r="P17" s="124"/>
      <c r="Q17" s="113"/>
      <c r="R17" s="113"/>
      <c r="S17" s="113"/>
      <c r="T17" s="113"/>
      <c r="U17" s="113"/>
      <c r="V17" s="113"/>
      <c r="W17" s="113"/>
      <c r="X17" s="113"/>
      <c r="Y17" s="113"/>
    </row>
    <row r="18" ht="24" customHeight="1">
      <c r="A18" s="119" t="str">
        <v>Password Reset - Reset link handling</v>
      </c>
      <c r="B18" s="119"/>
      <c r="C18" s="119"/>
      <c r="D18" s="119"/>
      <c r="E18" s="119"/>
      <c r="F18" s="119"/>
      <c r="G18" s="119"/>
      <c r="H18" s="119"/>
      <c r="I18" s="119"/>
      <c r="J18" s="119"/>
      <c r="K18" s="119"/>
      <c r="L18" s="119"/>
      <c r="M18" s="119"/>
      <c r="N18" s="119"/>
      <c r="O18" s="150"/>
      <c r="P18" s="124"/>
      <c r="Q18" s="113"/>
      <c r="R18" s="113"/>
      <c r="S18" s="113"/>
      <c r="T18" s="113"/>
      <c r="U18" s="113"/>
      <c r="V18" s="113"/>
      <c r="W18" s="113"/>
      <c r="X18" s="113"/>
      <c r="Y18" s="113"/>
    </row>
    <row r="19" ht="103.19999999999999" customHeight="1">
      <c r="A19" s="121" t="str">
        <v>RESET_IT06</v>
      </c>
      <c r="B19" s="121" t="str">
        <v>Consumed reset link cannot be used again</v>
      </c>
      <c r="C19" s="121" t="str">
        <v>1. Reopen the original email link.
2. Attempt another reset with valid matching passwords.
3. Try signing in with the password set by the first reset.</v>
      </c>
      <c r="D19" s="121" t="str">
        <v>1. Consumed link is rejected or displayed as unusable.
2. First successfully saved password still works.</v>
      </c>
      <c r="E19" s="121" t="str">
        <v>A reset has completed successfully; original reset email retained.</v>
      </c>
      <c r="F19" s="121" t="str">
        <v>NotRun</v>
      </c>
      <c r="G19" s="122" t="str"/>
      <c r="H19" s="121" t="str"/>
      <c r="I19" s="121" t="str"/>
      <c r="J19" s="122" t="str"/>
      <c r="K19" s="121" t="str"/>
      <c r="L19" s="121" t="str"/>
      <c r="M19" s="122" t="str"/>
      <c r="N19" s="121" t="str"/>
      <c r="O19" s="123" t="str"/>
      <c r="P19" s="124"/>
      <c r="Q19" s="113"/>
      <c r="R19" s="113"/>
      <c r="S19" s="113"/>
      <c r="T19" s="113"/>
      <c r="U19" s="113"/>
      <c r="V19" s="113"/>
      <c r="W19" s="113"/>
      <c r="X19" s="113"/>
      <c r="Y19" s="113"/>
    </row>
    <row r="20" ht="95" customHeight="1">
      <c r="A20" s="121" t="str">
        <v>RESET_IT07</v>
      </c>
      <c r="B20" s="121" t="str">
        <v>Missing token gives recovery instructions</v>
      </c>
      <c r="C20" s="121" t="str">
        <v>1. Open /reset-password without an email link.
2. Read the page and click "Về trang đăng nhập".</v>
      </c>
      <c r="D20" s="121" t="str">
        <v>1. Page explains that the email link is required.
2. No usable reset submission is available; login navigation works.</v>
      </c>
      <c r="E20" s="121" t="str">
        <v>Signed out; browser can open /reset-password.</v>
      </c>
      <c r="F20" s="121" t="str">
        <v>NotRun</v>
      </c>
      <c r="G20" s="122" t="str"/>
      <c r="H20" s="121" t="str"/>
      <c r="I20" s="121" t="str"/>
      <c r="J20" s="122" t="str"/>
      <c r="K20" s="121" t="str"/>
      <c r="L20" s="121" t="str"/>
      <c r="M20" s="122" t="str"/>
      <c r="N20" s="121" t="str"/>
      <c r="O20" s="123" t="str"/>
      <c r="P20" s="124"/>
      <c r="Q20" s="113"/>
      <c r="R20" s="113"/>
      <c r="S20" s="113"/>
      <c r="T20" s="113"/>
      <c r="U20" s="113"/>
      <c r="V20" s="113"/>
      <c r="W20" s="113"/>
      <c r="X20" s="113"/>
      <c r="Y20" s="113"/>
    </row>
    <row r="21" ht="95" customHeight="1">
      <c r="A21" s="121" t="str">
        <v>RESET_IT08</v>
      </c>
      <c r="B21" s="121" t="str">
        <v>Reloaded reset page asks to reopen the email</v>
      </c>
      <c r="C21" s="121" t="str">
        <v>1. Reload the reset page.
2. Read the message.
3. Reopen the original unused email link.</v>
      </c>
      <c r="D21" s="121" t="str">
        <v>1. Reloaded page requests reopening the email link.
2. Original unused link restores the reset form.</v>
      </c>
      <c r="E21" s="121" t="str">
        <v>Fresh reset link open; token removed from the visible address after page initialization.</v>
      </c>
      <c r="F21" s="121" t="str">
        <v>NotRun</v>
      </c>
      <c r="G21" s="122" t="str"/>
      <c r="H21" s="121" t="str"/>
      <c r="I21" s="121" t="str"/>
      <c r="J21" s="122" t="str"/>
      <c r="K21" s="121" t="str"/>
      <c r="L21" s="121" t="str"/>
      <c r="M21" s="122" t="str"/>
      <c r="N21" s="121" t="str"/>
      <c r="O21" s="123" t="str"/>
      <c r="P21" s="124"/>
      <c r="Q21" s="113"/>
      <c r="R21" s="113"/>
      <c r="S21" s="113"/>
      <c r="T21" s="113"/>
      <c r="U21" s="113"/>
      <c r="V21" s="113"/>
      <c r="W21" s="113"/>
      <c r="X21" s="113"/>
      <c r="Y21" s="113"/>
    </row>
    <row r="22" ht="24" customHeight="1">
      <c r="A22" s="119" t="str">
        <v>Password Reset - Reset eligibility</v>
      </c>
      <c r="B22" s="119"/>
      <c r="C22" s="119"/>
      <c r="D22" s="119"/>
      <c r="E22" s="119"/>
      <c r="F22" s="119"/>
      <c r="G22" s="119"/>
      <c r="H22" s="119"/>
      <c r="I22" s="119"/>
      <c r="J22" s="119"/>
      <c r="K22" s="119"/>
      <c r="L22" s="119"/>
      <c r="M22" s="119"/>
      <c r="N22" s="119"/>
      <c r="O22" s="150"/>
      <c r="P22" s="124"/>
      <c r="Q22" s="113"/>
      <c r="R22" s="113"/>
      <c r="S22" s="113"/>
      <c r="T22" s="113"/>
      <c r="U22" s="113"/>
      <c r="V22" s="113"/>
      <c r="W22" s="113"/>
      <c r="X22" s="113"/>
      <c r="Y22" s="113"/>
    </row>
    <row r="23" ht="95" customHeight="1">
      <c r="A23" s="121" t="str">
        <v>RESET_IT09</v>
      </c>
      <c r="B23" s="121" t="str">
        <v>Inactive account cannot request a reset</v>
      </c>
      <c r="C23" s="121" t="str">
        <v>1. Open "Gửi liên kết đặt lại mật khẩu" if available.
2. Inspect the dialog and "Gửi liên kết" control.
3. Check its status in the list.</v>
      </c>
      <c r="D23" s="121" t="str">
        <v>1. Inactive-account restriction is displayed or action is unavailable.
2. No reset request succeeds; account remains inactive.</v>
      </c>
      <c r="E23" s="121" t="str">
        <v>AdminUsers user; deactivated password account in "Người dùng &amp; Quyền".</v>
      </c>
      <c r="F23" s="121" t="str">
        <v>NotRun</v>
      </c>
      <c r="G23" s="122" t="str"/>
      <c r="H23" s="121" t="str"/>
      <c r="I23" s="121" t="str"/>
      <c r="J23" s="122" t="str"/>
      <c r="K23" s="121" t="str"/>
      <c r="L23" s="121" t="str"/>
      <c r="M23" s="122" t="str"/>
      <c r="N23" s="121" t="str"/>
      <c r="O23" s="123" t="str"/>
      <c r="P23" s="124"/>
      <c r="Q23" s="113"/>
      <c r="R23" s="113"/>
      <c r="S23" s="113"/>
      <c r="T23" s="113"/>
      <c r="U23" s="113"/>
      <c r="V23" s="113"/>
      <c r="W23" s="113"/>
      <c r="X23" s="113"/>
      <c r="Y23" s="113"/>
    </row>
  </sheetData>
  <mergeCells count="7">
    <mergeCell ref="B2:E2"/>
    <mergeCell ref="B3:E3"/>
    <mergeCell ref="B4:E4"/>
    <mergeCell ref="A11:O11"/>
    <mergeCell ref="A14:O14"/>
    <mergeCell ref="A18:O18"/>
    <mergeCell ref="A22:O22"/>
  </mergeCells>
  <dataValidations count="3">
    <dataValidation type="list" allowBlank="1" showErrorMessage="1" errorTitle="Select a test status" error="Use the status dropdown." sqref="F12 F13 F15 F16 F17 F19 F20 F21 F23">
      <formula1>"NotRun,Passed,Failed,Blocked,Skipped"</formula1>
    </dataValidation>
    <dataValidation type="list" allowBlank="1" showErrorMessage="1" errorTitle="Select a test status" error="Use the status dropdown." sqref="I12 I13 I15 I16 I17 I19 I20 I21 I23">
      <formula1>"NotRun,Passed,Failed,Blocked,Skipped"</formula1>
    </dataValidation>
    <dataValidation type="list" allowBlank="1" showErrorMessage="1" errorTitle="Select a test status" error="Use the status dropdown." sqref="L12 L13 L15 L16 L17 L19 L20 L21 L23">
      <formula1>"NotRun,Passed,Failed,Blocked,Skipped"</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topLeftCell="A1" zoomScale="70" showGridLines="0">
      <pane xSplit="2" ySplit="10" topLeftCell="C11" activePane="bottomRight" state="frozen"/>
      <selection pane="bottomRight" activeCell="A1" sqref="A1"/>
    </sheetView>
  </sheetViews>
  <sheetFormatPr customHeight="1" defaultColWidth="12.63" defaultRowHeight="15.0" outlineLevelCol="1" outlineLevelRow="1"/>
  <cols>
    <col customWidth="1" min="1" max="1" width="17.0"/>
    <col customWidth="1" min="2" max="2" width="34.5"/>
    <col customWidth="1" min="3" max="3" width="34.13"/>
    <col customWidth="1" min="4" max="4" width="43.75"/>
    <col customWidth="1" min="5" max="5" width="28.38"/>
    <col customWidth="1" min="6" max="6" width="9.38"/>
    <col customWidth="1" min="7" max="7" width="10.38" outlineLevel="1"/>
    <col customWidth="1" min="8" max="9" width="9.38"/>
    <col customWidth="1" min="10" max="10" width="10.38" outlineLevel="1"/>
    <col customWidth="1" min="11" max="12" width="9.38"/>
    <col customWidth="1" min="13" max="13" width="10.38" outlineLevel="1"/>
    <col customWidth="1" min="14" max="14" width="9.38"/>
    <col customWidth="1" min="15" max="15" width="24"/>
    <col customWidth="1" hidden="1" min="16" max="16" width="7.63"/>
    <col customWidth="1" min="17" max="25" width="9.0"/>
  </cols>
  <sheetData>
    <row r="1" ht="12.75" customHeight="1">
      <c r="A1" s="108"/>
      <c r="B1" s="108"/>
      <c r="C1" s="108"/>
      <c r="D1" s="108"/>
      <c r="E1" s="108"/>
      <c r="F1" s="108"/>
      <c r="G1" s="108"/>
      <c r="H1" s="108"/>
      <c r="I1" s="108"/>
      <c r="J1" s="108"/>
      <c r="K1" s="108"/>
      <c r="L1" s="108"/>
      <c r="M1" s="108"/>
      <c r="N1" s="108"/>
      <c r="O1" s="108"/>
      <c r="P1" s="45"/>
      <c r="Q1" s="45"/>
      <c r="R1" s="45"/>
      <c r="S1" s="45"/>
      <c r="T1" s="45"/>
      <c r="U1" s="45"/>
      <c r="V1" s="45"/>
      <c r="W1" s="45"/>
      <c r="X1" s="45"/>
      <c r="Y1" s="109"/>
    </row>
    <row r="2" ht="15.0" customHeight="1">
      <c r="A2" s="110" t="str">
        <v>Feature</v>
      </c>
      <c r="B2" s="111" t="str">
        <v>Users</v>
      </c>
      <c r="C2" s="5"/>
      <c r="D2" s="5"/>
      <c r="E2" s="112"/>
      <c r="F2" s="108"/>
      <c r="G2" s="108"/>
      <c r="H2" s="108"/>
      <c r="I2" s="108"/>
      <c r="J2" s="108"/>
      <c r="K2" s="108"/>
      <c r="L2" s="108"/>
      <c r="M2" s="108"/>
      <c r="N2" s="108"/>
      <c r="O2" s="108"/>
      <c r="P2" s="113" t="str">
        <v>Passed</v>
      </c>
      <c r="Q2" s="113"/>
      <c r="R2" s="113"/>
      <c r="S2" s="113"/>
      <c r="T2" s="113"/>
      <c r="U2" s="113"/>
      <c r="V2" s="113"/>
      <c r="W2" s="113"/>
      <c r="X2" s="113"/>
      <c r="Y2" s="114"/>
    </row>
    <row r="3" ht="52" customHeight="1">
      <c r="A3" s="110" t="str">
        <v>Test requirement</v>
      </c>
      <c r="B3" s="111" t="str">
        <v>Manual integration: perform the browser steps and compare saved data or recipient screens. Check prerequisites before execution.</v>
      </c>
      <c r="C3" s="5"/>
      <c r="D3" s="5"/>
      <c r="E3" s="112"/>
      <c r="F3" s="108"/>
      <c r="G3" s="108"/>
      <c r="H3" s="108"/>
      <c r="I3" s="108"/>
      <c r="J3" s="108"/>
      <c r="K3" s="108"/>
      <c r="L3" s="108"/>
      <c r="M3" s="108"/>
      <c r="N3" s="108"/>
      <c r="O3" s="108"/>
      <c r="P3" s="113" t="str">
        <v>Failed</v>
      </c>
      <c r="Q3" s="113"/>
      <c r="R3" s="113"/>
      <c r="S3" s="113"/>
      <c r="T3" s="113"/>
      <c r="U3" s="113"/>
      <c r="V3" s="113"/>
      <c r="W3" s="113"/>
      <c r="X3" s="113"/>
      <c r="Y3" s="114"/>
    </row>
    <row r="4" ht="18.0" customHeight="1">
      <c r="A4" s="110" t="str">
        <v>Number of TCs</v>
      </c>
      <c r="B4" s="111" t="n">
        <v>13</v>
      </c>
      <c r="C4" s="5"/>
      <c r="D4" s="5"/>
      <c r="E4" s="112"/>
      <c r="F4" s="108"/>
      <c r="G4" s="108"/>
      <c r="H4" s="108"/>
      <c r="I4" s="108"/>
      <c r="J4" s="108"/>
      <c r="K4" s="108"/>
      <c r="L4" s="108"/>
      <c r="M4" s="108"/>
      <c r="N4" s="108"/>
      <c r="O4" s="108"/>
      <c r="P4" s="113" t="str">
        <v>NotRun</v>
      </c>
      <c r="Q4" s="113"/>
      <c r="R4" s="113"/>
      <c r="S4" s="113"/>
      <c r="T4" s="113"/>
      <c r="U4" s="113"/>
      <c r="V4" s="113"/>
      <c r="W4" s="113"/>
      <c r="X4" s="113"/>
      <c r="Y4" s="114"/>
    </row>
    <row r="5" ht="19.5" customHeight="1">
      <c r="A5" s="115" t="str">
        <v>Testing Round</v>
      </c>
      <c r="B5" s="115" t="str">
        <v>Passed</v>
      </c>
      <c r="C5" s="115" t="str">
        <v>Failed</v>
      </c>
      <c r="D5" s="115" t="str">
        <v>Pending</v>
      </c>
      <c r="E5" s="115" t="str">
        <v>N/A</v>
      </c>
      <c r="F5" s="108"/>
      <c r="G5" s="108"/>
      <c r="H5" s="108"/>
      <c r="I5" s="108"/>
      <c r="J5" s="108"/>
      <c r="K5" s="108"/>
      <c r="L5" s="108"/>
      <c r="M5" s="108"/>
      <c r="N5" s="108"/>
      <c r="O5" s="108"/>
      <c r="P5" s="113" t="str">
        <v>Skipped</v>
      </c>
      <c r="Q5" s="113"/>
      <c r="R5" s="113"/>
      <c r="S5" s="113"/>
      <c r="T5" s="113"/>
      <c r="U5" s="113"/>
      <c r="V5" s="113"/>
      <c r="W5" s="113"/>
      <c r="X5" s="113"/>
      <c r="Y5" s="114"/>
    </row>
    <row r="6" ht="15.0" customHeight="1">
      <c r="A6" s="116" t="str">
        <v>Round 1</v>
      </c>
      <c r="B6" s="115" t="n">
        <f>COUNTIF(F12:F27,"Passed")</f>
        <v>0</v>
      </c>
      <c r="C6" s="115" t="n">
        <f>COUNTIF(F12:F27,"Failed")</f>
        <v>0</v>
      </c>
      <c r="D6" s="115" t="n">
        <f>B4-B6-C6-E6</f>
        <v>13</v>
      </c>
      <c r="E6" s="115" t="n">
        <f>COUNTIF(F12:F27,"Skipped")</f>
        <v>0</v>
      </c>
      <c r="F6" s="108"/>
      <c r="G6" s="108"/>
      <c r="H6" s="108"/>
      <c r="I6" s="108"/>
      <c r="J6" s="108"/>
      <c r="K6" s="108"/>
      <c r="L6" s="108"/>
      <c r="M6" s="108"/>
      <c r="N6" s="108"/>
      <c r="O6" s="108"/>
      <c r="P6" s="113"/>
      <c r="Q6" s="113"/>
      <c r="R6" s="113"/>
      <c r="S6" s="113"/>
      <c r="T6" s="113"/>
      <c r="U6" s="113"/>
      <c r="V6" s="113"/>
      <c r="W6" s="113"/>
      <c r="X6" s="113"/>
      <c r="Y6" s="114"/>
    </row>
    <row r="7" ht="15.0" customHeight="1">
      <c r="A7" s="116" t="str">
        <v>Round 2</v>
      </c>
      <c r="B7" s="115" t="n">
        <f>COUNTIF(I12:I27,"Passed")</f>
        <v>0</v>
      </c>
      <c r="C7" s="115" t="n">
        <f>COUNTIF(I12:I27,"Failed")</f>
        <v>0</v>
      </c>
      <c r="D7" s="115" t="n">
        <f>B4-B7-C7-E7</f>
        <v>13</v>
      </c>
      <c r="E7" s="115" t="n">
        <f>COUNTIF(I12:I27,"Skipped")</f>
        <v>0</v>
      </c>
      <c r="F7" s="108"/>
      <c r="G7" s="108"/>
      <c r="H7" s="108"/>
      <c r="I7" s="108"/>
      <c r="J7" s="108"/>
      <c r="K7" s="108"/>
      <c r="L7" s="108"/>
      <c r="M7" s="108"/>
      <c r="N7" s="108"/>
      <c r="O7" s="108"/>
      <c r="P7" s="113"/>
      <c r="Q7" s="113"/>
      <c r="R7" s="113"/>
      <c r="S7" s="113"/>
      <c r="T7" s="113"/>
      <c r="U7" s="113"/>
      <c r="V7" s="113"/>
      <c r="W7" s="113"/>
      <c r="X7" s="113"/>
      <c r="Y7" s="114"/>
    </row>
    <row r="8" ht="15.0" customHeight="1">
      <c r="A8" s="116" t="str">
        <v>Round 3</v>
      </c>
      <c r="B8" s="115" t="n">
        <f>COUNTIF(L12:L27,"Passed")</f>
        <v>0</v>
      </c>
      <c r="C8" s="115" t="n">
        <f>COUNTIF(L12:L27,"Failed")</f>
        <v>0</v>
      </c>
      <c r="D8" s="115" t="n">
        <f>B4-B8-C8-E8</f>
        <v>13</v>
      </c>
      <c r="E8" s="115" t="n">
        <f>COUNTIF(L12:L27,"Skipped")</f>
        <v>0</v>
      </c>
      <c r="F8" s="108"/>
      <c r="G8" s="108"/>
      <c r="H8" s="108"/>
      <c r="I8" s="108"/>
      <c r="J8" s="108"/>
      <c r="K8" s="108"/>
      <c r="L8" s="108"/>
      <c r="M8" s="108"/>
      <c r="N8" s="108"/>
      <c r="O8" s="108"/>
      <c r="P8" s="113"/>
      <c r="Q8" s="113"/>
      <c r="R8" s="113"/>
      <c r="S8" s="113"/>
      <c r="T8" s="113"/>
      <c r="U8" s="113"/>
      <c r="V8" s="113"/>
      <c r="W8" s="113"/>
      <c r="X8" s="113"/>
      <c r="Y8" s="114"/>
    </row>
    <row r="9" ht="15.0" customHeight="1">
      <c r="A9" s="108"/>
      <c r="B9" s="108"/>
      <c r="C9" s="108"/>
      <c r="D9" s="108"/>
      <c r="E9" s="108"/>
      <c r="F9" s="108"/>
      <c r="G9" s="108"/>
      <c r="H9" s="108"/>
      <c r="I9" s="108"/>
      <c r="J9" s="108"/>
      <c r="K9" s="108"/>
      <c r="L9" s="108"/>
      <c r="M9" s="108"/>
      <c r="N9" s="108"/>
      <c r="O9" s="108"/>
      <c r="P9" s="113"/>
      <c r="Q9" s="113"/>
      <c r="R9" s="113"/>
      <c r="S9" s="113"/>
      <c r="T9" s="113"/>
      <c r="U9" s="113"/>
      <c r="V9" s="113"/>
      <c r="W9" s="113"/>
      <c r="X9" s="113"/>
      <c r="Y9" s="114"/>
    </row>
    <row r="10" ht="42" customHeight="1">
      <c r="A10" s="117" t="str">
        <v>Test Case ID</v>
      </c>
      <c r="B10" s="117" t="str">
        <v>Test Case Description</v>
      </c>
      <c r="C10" s="117" t="str">
        <v>Test Case Procedure</v>
      </c>
      <c r="D10" s="117" t="str">
        <v>Expected Results</v>
      </c>
      <c r="E10" s="117" t="str">
        <v>Pre-conditions</v>
      </c>
      <c r="F10" s="117" t="str">
        <v>Round 1</v>
      </c>
      <c r="G10" s="117" t="str">
        <v>Test date</v>
      </c>
      <c r="H10" s="117" t="str">
        <v>Tester</v>
      </c>
      <c r="I10" s="117" t="str">
        <v>Round 2</v>
      </c>
      <c r="J10" s="117" t="str">
        <v>Test date</v>
      </c>
      <c r="K10" s="117" t="str">
        <v>Tester</v>
      </c>
      <c r="L10" s="117" t="str">
        <v>Round 3</v>
      </c>
      <c r="M10" s="117" t="str">
        <v>Test date</v>
      </c>
      <c r="N10" s="117" t="str">
        <v>Tester</v>
      </c>
      <c r="O10" s="117" t="str">
        <v>Actual result / Evidence / Defect</v>
      </c>
      <c r="P10" s="118"/>
      <c r="Q10" s="113"/>
      <c r="R10" s="113"/>
      <c r="S10" s="113"/>
      <c r="T10" s="113"/>
      <c r="U10" s="113"/>
      <c r="V10" s="113"/>
      <c r="W10" s="113"/>
      <c r="X10" s="113"/>
      <c r="Y10" s="113"/>
    </row>
    <row r="11" ht="24" customHeight="1">
      <c r="A11" s="119" t="str">
        <v>Users - Create account</v>
      </c>
      <c r="B11" s="119"/>
      <c r="C11" s="119"/>
      <c r="D11" s="119"/>
      <c r="E11" s="119"/>
      <c r="F11" s="119"/>
      <c r="G11" s="119"/>
      <c r="H11" s="119"/>
      <c r="I11" s="119"/>
      <c r="J11" s="119"/>
      <c r="K11" s="119"/>
      <c r="L11" s="119"/>
      <c r="M11" s="119"/>
      <c r="N11" s="119"/>
      <c r="O11" s="150"/>
      <c r="P11" s="124"/>
      <c r="Q11" s="113"/>
      <c r="R11" s="113"/>
      <c r="S11" s="113"/>
      <c r="T11" s="113"/>
      <c r="U11" s="113"/>
      <c r="V11" s="113"/>
      <c r="W11" s="113"/>
      <c r="X11" s="113"/>
      <c r="Y11" s="113"/>
    </row>
    <row r="12" ht="148.79999999999998" customHeight="1">
      <c r="A12" s="121" t="str">
        <v>USER_IT01</v>
      </c>
      <c r="B12" s="121" t="str">
        <v>Create a password account and sign in</v>
      </c>
      <c r="C12" s="121" t="str">
        <v>1. Click "Tạo tài khoản".
2. Enter name Manual Tester, a unique controlled email, TcManual#2026! and the chosen role.
3. Click "Tạo tài khoản"; search the email and reload.
4. In another browser, sign in with the new account.</v>
      </c>
      <c r="D12" s="121" t="str">
        <v>1. Exactly one active user is listed with the saved name, email and role.
2. New credentials sign in to that account.</v>
      </c>
      <c r="E12" s="121" t="str">
        <v>AdminUsers user at /mgmt/admin/users; disposable data; a suitable existing role; second active admin retained.</v>
      </c>
      <c r="F12" s="121" t="str">
        <v>NotRun</v>
      </c>
      <c r="G12" s="122" t="str"/>
      <c r="H12" s="121" t="str"/>
      <c r="I12" s="121" t="str"/>
      <c r="J12" s="122" t="str"/>
      <c r="K12" s="121" t="str"/>
      <c r="L12" s="121" t="str"/>
      <c r="M12" s="122" t="str"/>
      <c r="N12" s="121" t="str"/>
      <c r="O12" s="123" t="str"/>
      <c r="P12" s="124"/>
      <c r="Q12" s="113"/>
      <c r="R12" s="113"/>
      <c r="S12" s="113"/>
      <c r="T12" s="113"/>
      <c r="U12" s="113"/>
      <c r="V12" s="113"/>
      <c r="W12" s="113"/>
      <c r="X12" s="113"/>
      <c r="Y12" s="113"/>
    </row>
    <row r="13" ht="95" customHeight="1">
      <c r="A13" s="121" t="str">
        <v>USER_IT02</v>
      </c>
      <c r="B13" s="121" t="str">
        <v>Blank full name blocks creation</v>
      </c>
      <c r="C13" s="121" t="str">
        <v>1. Open "Tạo tài khoản".
2. Leave "Họ tên" blank; fill other fields validly.
3. Click "Tạo tài khoản"; inspect the dialog and list.</v>
      </c>
      <c r="D13" s="121" t="str">
        <v>1. Name validation is displayed.
2. Dialog remains editable; no new account is listed.</v>
      </c>
      <c r="E13" s="121" t="str">
        <v>AdminUsers user at /mgmt/admin/users; disposable data; a suitable existing role; second active admin retained.</v>
      </c>
      <c r="F13" s="121" t="str">
        <v>NotRun</v>
      </c>
      <c r="G13" s="122" t="str"/>
      <c r="H13" s="121" t="str"/>
      <c r="I13" s="121" t="str"/>
      <c r="J13" s="122" t="str"/>
      <c r="K13" s="121" t="str"/>
      <c r="L13" s="121" t="str"/>
      <c r="M13" s="122" t="str"/>
      <c r="N13" s="121" t="str"/>
      <c r="O13" s="123" t="str"/>
      <c r="P13" s="124"/>
      <c r="Q13" s="113"/>
      <c r="R13" s="113"/>
      <c r="S13" s="113"/>
      <c r="T13" s="113"/>
      <c r="U13" s="113"/>
      <c r="V13" s="113"/>
      <c r="W13" s="113"/>
      <c r="X13" s="113"/>
      <c r="Y13" s="113"/>
    </row>
    <row r="14" ht="95" customHeight="1">
      <c r="A14" s="121" t="str">
        <v>USER_IT03</v>
      </c>
      <c r="B14" s="121" t="str">
        <v>Whitespace-only full name is rejected</v>
      </c>
      <c r="C14" s="121" t="str">
        <v>1. Click "Tạo tài khoản".
2. Enter only spaces in "Họ tên"; use unique email and valid password.
3. Click "Tạo tài khoản".</v>
      </c>
      <c r="D14" s="121" t="str">
        <v>1. Name is treated as empty.
2. No account is created.</v>
      </c>
      <c r="E14" s="121" t="str">
        <v>AdminUsers user at /mgmt/admin/users; disposable data; a suitable existing role; second active admin retained.</v>
      </c>
      <c r="F14" s="121" t="str">
        <v>NotRun</v>
      </c>
      <c r="G14" s="122" t="str"/>
      <c r="H14" s="121" t="str"/>
      <c r="I14" s="121" t="str"/>
      <c r="J14" s="122" t="str"/>
      <c r="K14" s="121" t="str"/>
      <c r="L14" s="121" t="str"/>
      <c r="M14" s="122" t="str"/>
      <c r="N14" s="121" t="str"/>
      <c r="O14" s="123" t="str"/>
      <c r="P14" s="124"/>
      <c r="Q14" s="113"/>
      <c r="R14" s="113"/>
      <c r="S14" s="113"/>
      <c r="T14" s="113"/>
      <c r="U14" s="113"/>
      <c r="V14" s="113"/>
      <c r="W14" s="113"/>
      <c r="X14" s="113"/>
      <c r="Y14" s="113"/>
    </row>
    <row r="15" ht="95" customHeight="1">
      <c r="A15" s="121" t="str">
        <v>USER_IT04</v>
      </c>
      <c r="B15" s="121" t="str">
        <v>Invalid email blocks creation</v>
      </c>
      <c r="C15" s="121" t="str">
        <v>1. Click "Tạo tài khoản".
2. Enter valid name and password; set "Email" to manual-at-example.
3. Click "Tạo tài khoản".</v>
      </c>
      <c r="D15" s="121" t="str">
        <v>1. "Email" validation is displayed.
2. No account is created with the malformed email.</v>
      </c>
      <c r="E15" s="121" t="str">
        <v>AdminUsers user at /mgmt/admin/users; disposable data; a suitable existing role; second active admin retained.</v>
      </c>
      <c r="F15" s="121" t="str">
        <v>NotRun</v>
      </c>
      <c r="G15" s="122" t="str"/>
      <c r="H15" s="121" t="str"/>
      <c r="I15" s="121" t="str"/>
      <c r="J15" s="122" t="str"/>
      <c r="K15" s="121" t="str"/>
      <c r="L15" s="121" t="str"/>
      <c r="M15" s="122" t="str"/>
      <c r="N15" s="121" t="str"/>
      <c r="O15" s="123" t="str"/>
      <c r="P15" s="124"/>
      <c r="Q15" s="113"/>
      <c r="R15" s="113"/>
      <c r="S15" s="113"/>
      <c r="T15" s="113"/>
      <c r="U15" s="113"/>
      <c r="V15" s="113"/>
      <c r="W15" s="113"/>
      <c r="X15" s="113"/>
      <c r="Y15" s="113"/>
    </row>
    <row r="16" ht="118.39999999999999" customHeight="1">
      <c r="A16" s="121" t="str">
        <v>USER_IT05</v>
      </c>
      <c r="B16" s="121" t="str">
        <v>Short initial password is rejected</v>
      </c>
      <c r="C16" s="121" t="str">
        <v>1. Click "Tạo tài khoản".
2. Fill name, unique email and role; enter Short123 as password.
3. Click "Tạo tài khoản"; then replace it with a valid password.</v>
      </c>
      <c r="D16" s="121" t="str">
        <v>1. Password minimum-length message is shown.
2. Form can be corrected without re-entering unrelated fields.</v>
      </c>
      <c r="E16" s="121" t="str">
        <v>AdminUsers user at /mgmt/admin/users; disposable data; a suitable existing role; second active admin retained.</v>
      </c>
      <c r="F16" s="121" t="str">
        <v>NotRun</v>
      </c>
      <c r="G16" s="122" t="str"/>
      <c r="H16" s="121" t="str"/>
      <c r="I16" s="121" t="str"/>
      <c r="J16" s="122" t="str"/>
      <c r="K16" s="121" t="str"/>
      <c r="L16" s="121" t="str"/>
      <c r="M16" s="122" t="str"/>
      <c r="N16" s="121" t="str"/>
      <c r="O16" s="123" t="str"/>
      <c r="P16" s="124"/>
      <c r="Q16" s="113"/>
      <c r="R16" s="113"/>
      <c r="S16" s="113"/>
      <c r="T16" s="113"/>
      <c r="U16" s="113"/>
      <c r="V16" s="113"/>
      <c r="W16" s="113"/>
      <c r="X16" s="113"/>
      <c r="Y16" s="113"/>
    </row>
    <row r="17" ht="118.39999999999999" customHeight="1">
      <c r="A17" s="121" t="str">
        <v>USER_IT06</v>
      </c>
      <c r="B17" s="121" t="str">
        <v>Duplicate email is rejected</v>
      </c>
      <c r="C17" s="121" t="str">
        <v>1. Click "Tạo tài khoản" with a different name and the existing email.
2. Click "Tạo tài khoản".
3. Inspect email error and search the existing email.</v>
      </c>
      <c r="D17" s="121" t="str">
        <v>1. Duplicate is reported beside "Email".
2. Original account is unchanged; no duplicate user is added.</v>
      </c>
      <c r="E17" s="121" t="str">
        <v>AdminUsers user at /mgmt/admin/users; disposable data; a suitable existing role; second active admin retained. Existing controlled user email is known.</v>
      </c>
      <c r="F17" s="121" t="str">
        <v>NotRun</v>
      </c>
      <c r="G17" s="122" t="str"/>
      <c r="H17" s="121" t="str"/>
      <c r="I17" s="121" t="str"/>
      <c r="J17" s="122" t="str"/>
      <c r="K17" s="121" t="str"/>
      <c r="L17" s="121" t="str"/>
      <c r="M17" s="122" t="str"/>
      <c r="N17" s="121" t="str"/>
      <c r="O17" s="123" t="str"/>
      <c r="P17" s="124"/>
      <c r="Q17" s="113"/>
      <c r="R17" s="113"/>
      <c r="S17" s="113"/>
      <c r="T17" s="113"/>
      <c r="U17" s="113"/>
      <c r="V17" s="113"/>
      <c r="W17" s="113"/>
      <c r="X17" s="113"/>
      <c r="Y17" s="113"/>
    </row>
    <row r="18" ht="133.6" customHeight="1">
      <c r="A18" s="121" t="str">
        <v>USER_IT07</v>
      </c>
      <c r="B18" s="121" t="str">
        <v>Generated password works for the new user</v>
      </c>
      <c r="C18" s="121" t="str">
        <v>1. Click "Tạo tài khoản"; enter valid name and unique email.
2. Click "Tạo mật khẩu"; click "Sao chép mật khẩu" and retain the shown value securely.
3. Click "Tạo tài khoản".
4. In another browser, sign in with that generated value.</v>
      </c>
      <c r="D18" s="121" t="str">
        <v>1. Generated password is visible and meets minimum length.
2. New account can sign in using the copied value.</v>
      </c>
      <c r="E18" s="121" t="str">
        <v>AdminUsers user at /mgmt/admin/users; disposable data; a suitable existing role; second active admin retained.</v>
      </c>
      <c r="F18" s="121" t="str">
        <v>NotRun</v>
      </c>
      <c r="G18" s="122" t="str"/>
      <c r="H18" s="121" t="str"/>
      <c r="I18" s="121" t="str"/>
      <c r="J18" s="122" t="str"/>
      <c r="K18" s="121" t="str"/>
      <c r="L18" s="121" t="str"/>
      <c r="M18" s="122" t="str"/>
      <c r="N18" s="121" t="str"/>
      <c r="O18" s="123" t="str"/>
      <c r="P18" s="124"/>
      <c r="Q18" s="113"/>
      <c r="R18" s="113"/>
      <c r="S18" s="113"/>
      <c r="T18" s="113"/>
      <c r="U18" s="113"/>
      <c r="V18" s="113"/>
      <c r="W18" s="113"/>
      <c r="X18" s="113"/>
      <c r="Y18" s="113"/>
    </row>
    <row r="19" ht="24" customHeight="1">
      <c r="A19" s="119" t="str">
        <v>Users - Edit account</v>
      </c>
      <c r="B19" s="119"/>
      <c r="C19" s="119"/>
      <c r="D19" s="119"/>
      <c r="E19" s="119"/>
      <c r="F19" s="119"/>
      <c r="G19" s="119"/>
      <c r="H19" s="119"/>
      <c r="I19" s="119"/>
      <c r="J19" s="119"/>
      <c r="K19" s="119"/>
      <c r="L19" s="119"/>
      <c r="M19" s="119"/>
      <c r="N19" s="119"/>
      <c r="O19" s="150"/>
      <c r="P19" s="124"/>
      <c r="Q19" s="113"/>
      <c r="R19" s="113"/>
      <c r="S19" s="113"/>
      <c r="T19" s="113"/>
      <c r="U19" s="113"/>
      <c r="V19" s="113"/>
      <c r="W19" s="113"/>
      <c r="X19" s="113"/>
      <c r="Y19" s="113"/>
    </row>
    <row r="20" ht="118.39999999999999" customHeight="1">
      <c r="A20" s="121" t="str">
        <v>USER_IT08</v>
      </c>
      <c r="B20" s="121" t="str">
        <v>Edit full name persists after reload</v>
      </c>
      <c r="C20" s="121" t="str">
        <v>1. Find target and click its "Sửa hồ sơ" action.
2. Change "Họ tên" to Manual Tester Updated.
3. Click "Lưu thay đổi" and reload; search the new name.</v>
      </c>
      <c r="D20" s="121" t="str">
        <v>1. Updated name appears in the list and edit dialog.
2. "Email" and assigned role stay unchanged.</v>
      </c>
      <c r="E20" s="121" t="str">
        <v>AdminUsers user at /mgmt/admin/users; disposable data; a suitable existing role; second active admin retained. Disposable existing target user.</v>
      </c>
      <c r="F20" s="121" t="str">
        <v>NotRun</v>
      </c>
      <c r="G20" s="122" t="str"/>
      <c r="H20" s="121" t="str"/>
      <c r="I20" s="121" t="str"/>
      <c r="J20" s="122" t="str"/>
      <c r="K20" s="121" t="str"/>
      <c r="L20" s="121" t="str"/>
      <c r="M20" s="122" t="str"/>
      <c r="N20" s="121" t="str"/>
      <c r="O20" s="123" t="str"/>
      <c r="P20" s="124"/>
      <c r="Q20" s="113"/>
      <c r="R20" s="113"/>
      <c r="S20" s="113"/>
      <c r="T20" s="113"/>
      <c r="U20" s="113"/>
      <c r="V20" s="113"/>
      <c r="W20" s="113"/>
      <c r="X20" s="113"/>
      <c r="Y20" s="113"/>
    </row>
    <row r="21" ht="148.79999999999998" customHeight="1">
      <c r="A21" s="121" t="str">
        <v>USER_IT09</v>
      </c>
      <c r="B21" s="121" t="str">
        <v>Changing role affects the next sign-in</v>
      </c>
      <c r="C21" s="121" t="str">
        <v>1. Click "Sửa hồ sơ" for the target and select the destination "Vai trò".
2. Click "Lưu thay đổi".
3. In a separate browser, sign in again as target.
4. Inspect permitted navigation/actions.</v>
      </c>
      <c r="D21" s="121" t="str">
        <v>1. User list shows the new role after reload.
2. New session follows destination-role permissions.</v>
      </c>
      <c r="E21" s="121" t="str">
        <v>AdminUsers user at /mgmt/admin/users; disposable data; a suitable existing role; second active admin retained. Target is not the current admin; target credentials known; destination role has different capabilities.</v>
      </c>
      <c r="F21" s="121" t="str">
        <v>NotRun</v>
      </c>
      <c r="G21" s="122" t="str"/>
      <c r="H21" s="121" t="str"/>
      <c r="I21" s="121" t="str"/>
      <c r="J21" s="122" t="str"/>
      <c r="K21" s="121" t="str"/>
      <c r="L21" s="121" t="str"/>
      <c r="M21" s="122" t="str"/>
      <c r="N21" s="121" t="str"/>
      <c r="O21" s="123" t="str"/>
      <c r="P21" s="124"/>
      <c r="Q21" s="113"/>
      <c r="R21" s="113"/>
      <c r="S21" s="113"/>
      <c r="T21" s="113"/>
      <c r="U21" s="113"/>
      <c r="V21" s="113"/>
      <c r="W21" s="113"/>
      <c r="X21" s="113"/>
      <c r="Y21" s="113"/>
    </row>
    <row r="22" ht="24" customHeight="1">
      <c r="A22" s="119" t="str">
        <v>Users - Account status</v>
      </c>
      <c r="B22" s="119"/>
      <c r="C22" s="119"/>
      <c r="D22" s="119"/>
      <c r="E22" s="119"/>
      <c r="F22" s="119"/>
      <c r="G22" s="119"/>
      <c r="H22" s="119"/>
      <c r="I22" s="119"/>
      <c r="J22" s="119"/>
      <c r="K22" s="119"/>
      <c r="L22" s="119"/>
      <c r="M22" s="119"/>
      <c r="N22" s="119"/>
      <c r="O22" s="150"/>
      <c r="P22" s="124"/>
      <c r="Q22" s="113"/>
      <c r="R22" s="113"/>
      <c r="S22" s="113"/>
      <c r="T22" s="113"/>
      <c r="U22" s="113"/>
      <c r="V22" s="113"/>
      <c r="W22" s="113"/>
      <c r="X22" s="113"/>
      <c r="Y22" s="113"/>
    </row>
    <row r="23" ht="133.6" customHeight="1">
      <c r="A23" s="121" t="str">
        <v>USER_IT10</v>
      </c>
      <c r="B23" s="121" t="str">
        <v>Deactivate a user and refuse its next login</v>
      </c>
      <c r="C23" s="121" t="str">
        <v>1. Click "Vô hiệu hoá" for the target.
2. Click "Vô hiệu hoá" in confirmation and reload the list.
3. Sign out target in another browser and try signing in again.</v>
      </c>
      <c r="D23" s="121" t="str">
        <v>1. Target remains listed as inactive.
2. Correct credentials cannot sign in while inactive.</v>
      </c>
      <c r="E23" s="121" t="str">
        <v>AdminUsers user at /mgmt/admin/users; disposable data; a suitable existing role; second active admin retained. Disposable target with valid credentials; target is not the current admin.</v>
      </c>
      <c r="F23" s="121" t="str">
        <v>NotRun</v>
      </c>
      <c r="G23" s="122" t="str"/>
      <c r="H23" s="121" t="str"/>
      <c r="I23" s="121" t="str"/>
      <c r="J23" s="122" t="str"/>
      <c r="K23" s="121" t="str"/>
      <c r="L23" s="121" t="str"/>
      <c r="M23" s="122" t="str"/>
      <c r="N23" s="121" t="str"/>
      <c r="O23" s="123" t="str"/>
      <c r="P23" s="124"/>
      <c r="Q23" s="113"/>
      <c r="R23" s="113"/>
      <c r="S23" s="113"/>
      <c r="T23" s="113"/>
      <c r="U23" s="113"/>
      <c r="V23" s="113"/>
      <c r="W23" s="113"/>
      <c r="X23" s="113"/>
      <c r="Y23" s="113"/>
    </row>
    <row r="24" ht="118.39999999999999" customHeight="1">
      <c r="A24" s="121" t="str">
        <v>USER_IT11</v>
      </c>
      <c r="B24" s="121" t="str">
        <v>Reactivate a user and restore sign-in</v>
      </c>
      <c r="C24" s="121" t="str">
        <v>1. Click "Kích hoạt lại" for the target, then "Kích hoạt lại" in confirmation.
2. Reload list.
3. Sign in as target in another browser.</v>
      </c>
      <c r="D24" s="121" t="str">
        <v>1. Active status persists.
2. Target signs in with its existing valid credentials.</v>
      </c>
      <c r="E24" s="121" t="str">
        <v>AdminUsers user at /mgmt/admin/users; disposable data; a suitable existing role; second active admin retained. Inactive disposable user with known credentials.</v>
      </c>
      <c r="F24" s="121" t="str">
        <v>NotRun</v>
      </c>
      <c r="G24" s="122" t="str"/>
      <c r="H24" s="121" t="str"/>
      <c r="I24" s="121" t="str"/>
      <c r="J24" s="122" t="str"/>
      <c r="K24" s="121" t="str"/>
      <c r="L24" s="121" t="str"/>
      <c r="M24" s="122" t="str"/>
      <c r="N24" s="121" t="str"/>
      <c r="O24" s="123" t="str"/>
      <c r="P24" s="124"/>
      <c r="Q24" s="113"/>
      <c r="R24" s="113"/>
      <c r="S24" s="113"/>
      <c r="T24" s="113"/>
      <c r="U24" s="113"/>
      <c r="V24" s="113"/>
      <c r="W24" s="113"/>
      <c r="X24" s="113"/>
      <c r="Y24" s="113"/>
    </row>
    <row r="25" ht="103.19999999999999" customHeight="1">
      <c r="A25" s="121" t="str">
        <v>USER_IT12</v>
      </c>
      <c r="B25" s="121" t="str">
        <v>Self-deactivation control is unavailable</v>
      </c>
      <c r="C25" s="121" t="str">
        <v>1. Find the currently signed-in administrator row.
2. Inspect the deactivate action.
3. Open and close the account edit form.</v>
      </c>
      <c r="D25" s="121" t="str">
        <v>1. Self-deactivation action is disabled or unavailable.
2. Current account remains active.</v>
      </c>
      <c r="E25" s="121" t="str">
        <v>AdminUsers user at /mgmt/admin/users; disposable data; a suitable existing role; second active admin retained.</v>
      </c>
      <c r="F25" s="121" t="str">
        <v>NotRun</v>
      </c>
      <c r="G25" s="122" t="str"/>
      <c r="H25" s="121" t="str"/>
      <c r="I25" s="121" t="str"/>
      <c r="J25" s="122" t="str"/>
      <c r="K25" s="121" t="str"/>
      <c r="L25" s="121" t="str"/>
      <c r="M25" s="122" t="str"/>
      <c r="N25" s="121" t="str"/>
      <c r="O25" s="123" t="str"/>
      <c r="P25" s="124"/>
      <c r="Q25" s="113"/>
      <c r="R25" s="113"/>
      <c r="S25" s="113"/>
      <c r="T25" s="113"/>
      <c r="U25" s="113"/>
      <c r="V25" s="113"/>
      <c r="W25" s="113"/>
      <c r="X25" s="113"/>
      <c r="Y25" s="113"/>
    </row>
    <row r="26" ht="24" customHeight="1">
      <c r="A26" s="119" t="str">
        <v>Users - Search and filters</v>
      </c>
      <c r="B26" s="119"/>
      <c r="C26" s="119"/>
      <c r="D26" s="119"/>
      <c r="E26" s="119"/>
      <c r="F26" s="119"/>
      <c r="G26" s="119"/>
      <c r="H26" s="119"/>
      <c r="I26" s="119"/>
      <c r="J26" s="119"/>
      <c r="K26" s="119"/>
      <c r="L26" s="119"/>
      <c r="M26" s="119"/>
      <c r="N26" s="119"/>
      <c r="O26" s="150"/>
      <c r="P26" s="124"/>
      <c r="Q26" s="113"/>
      <c r="R26" s="113"/>
      <c r="S26" s="113"/>
      <c r="T26" s="113"/>
      <c r="U26" s="113"/>
      <c r="V26" s="113"/>
      <c r="W26" s="113"/>
      <c r="X26" s="113"/>
      <c r="Y26" s="113"/>
    </row>
    <row r="27" ht="133.6" customHeight="1">
      <c r="A27" s="121" t="str">
        <v>USER_IT13</v>
      </c>
      <c r="B27" s="121" t="str">
        <v>Combine account search with role and status filters</v>
      </c>
      <c r="C27" s="121" t="str">
        <v>1. Search a known name or email.
2. Select its role and active status.
3. Change to an incompatible role/status; then clear filters.</v>
      </c>
      <c r="D27" s="121" t="str">
        <v>1. Results satisfy all selected conditions.
2. Incompatible conditions show no matching rows; clearing restores the appropriate list.</v>
      </c>
      <c r="E27" s="121" t="str">
        <v>AdminUsers user at /mgmt/admin/users; disposable data; a suitable existing role; second active admin retained. Users with different names, roles and active states exist.</v>
      </c>
      <c r="F27" s="121" t="str">
        <v>NotRun</v>
      </c>
      <c r="G27" s="122" t="str"/>
      <c r="H27" s="121" t="str"/>
      <c r="I27" s="121" t="str"/>
      <c r="J27" s="122" t="str"/>
      <c r="K27" s="121" t="str"/>
      <c r="L27" s="121" t="str"/>
      <c r="M27" s="122" t="str"/>
      <c r="N27" s="121" t="str"/>
      <c r="O27" s="123" t="str"/>
      <c r="P27" s="124"/>
      <c r="Q27" s="113"/>
      <c r="R27" s="113"/>
      <c r="S27" s="113"/>
      <c r="T27" s="113"/>
      <c r="U27" s="113"/>
      <c r="V27" s="113"/>
      <c r="W27" s="113"/>
      <c r="X27" s="113"/>
      <c r="Y27" s="113"/>
    </row>
  </sheetData>
  <mergeCells count="7">
    <mergeCell ref="B2:E2"/>
    <mergeCell ref="B3:E3"/>
    <mergeCell ref="B4:E4"/>
    <mergeCell ref="A11:O11"/>
    <mergeCell ref="A19:O19"/>
    <mergeCell ref="A22:O22"/>
    <mergeCell ref="A26:O26"/>
  </mergeCells>
  <dataValidations count="3">
    <dataValidation type="list" allowBlank="1" showErrorMessage="1" errorTitle="Select a test status" error="Use the status dropdown." sqref="F12 F13 F14 F15 F16 F17 F18 F20 F21 F23 F24 F25 F27">
      <formula1>"NotRun,Passed,Failed,Blocked,Skipped"</formula1>
    </dataValidation>
    <dataValidation type="list" allowBlank="1" showErrorMessage="1" errorTitle="Select a test status" error="Use the status dropdown." sqref="I12 I13 I14 I15 I16 I17 I18 I20 I21 I23 I24 I25 I27">
      <formula1>"NotRun,Passed,Failed,Blocked,Skipped"</formula1>
    </dataValidation>
    <dataValidation type="list" allowBlank="1" showErrorMessage="1" errorTitle="Select a test status" error="Use the status dropdown." sqref="L12 L13 L14 L15 L16 L17 L18 L20 L21 L23 L24 L25 L27">
      <formula1>"NotRun,Passed,Failed,Blocked,Skipped"</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topLeftCell="A1" zoomScale="70" showGridLines="0">
      <pane xSplit="2" ySplit="10" topLeftCell="C11" activePane="bottomRight" state="frozen"/>
      <selection pane="bottomRight" activeCell="A1" sqref="A1"/>
    </sheetView>
  </sheetViews>
  <sheetFormatPr customHeight="1" defaultColWidth="12.63" defaultRowHeight="15.0" outlineLevelCol="1" outlineLevelRow="1"/>
  <cols>
    <col customWidth="1" min="1" max="1" width="17.0"/>
    <col customWidth="1" min="2" max="2" width="34.5"/>
    <col customWidth="1" min="3" max="3" width="34.13"/>
    <col customWidth="1" min="4" max="4" width="43.75"/>
    <col customWidth="1" min="5" max="5" width="28.38"/>
    <col customWidth="1" min="6" max="6" width="9.38"/>
    <col customWidth="1" min="7" max="7" width="10.38" outlineLevel="1"/>
    <col customWidth="1" min="8" max="9" width="9.38"/>
    <col customWidth="1" min="10" max="10" width="10.38" outlineLevel="1"/>
    <col customWidth="1" min="11" max="12" width="9.38"/>
    <col customWidth="1" min="13" max="13" width="10.38" outlineLevel="1"/>
    <col customWidth="1" min="14" max="14" width="9.38"/>
    <col customWidth="1" min="15" max="15" width="24"/>
    <col customWidth="1" hidden="1" min="16" max="16" width="7.63"/>
    <col customWidth="1" min="17" max="25" width="9.0"/>
  </cols>
  <sheetData>
    <row r="1" ht="12.75" customHeight="1">
      <c r="A1" s="108"/>
      <c r="B1" s="108"/>
      <c r="C1" s="108"/>
      <c r="D1" s="108"/>
      <c r="E1" s="108"/>
      <c r="F1" s="108"/>
      <c r="G1" s="108"/>
      <c r="H1" s="108"/>
      <c r="I1" s="108"/>
      <c r="J1" s="108"/>
      <c r="K1" s="108"/>
      <c r="L1" s="108"/>
      <c r="M1" s="108"/>
      <c r="N1" s="108"/>
      <c r="O1" s="108"/>
      <c r="P1" s="45"/>
      <c r="Q1" s="45"/>
      <c r="R1" s="45"/>
      <c r="S1" s="45"/>
      <c r="T1" s="45"/>
      <c r="U1" s="45"/>
      <c r="V1" s="45"/>
      <c r="W1" s="45"/>
      <c r="X1" s="45"/>
      <c r="Y1" s="109"/>
    </row>
    <row r="2" ht="15.0" customHeight="1">
      <c r="A2" s="110" t="str">
        <v>Feature</v>
      </c>
      <c r="B2" s="111" t="str">
        <v>Roles</v>
      </c>
      <c r="C2" s="5"/>
      <c r="D2" s="5"/>
      <c r="E2" s="112"/>
      <c r="F2" s="108"/>
      <c r="G2" s="108"/>
      <c r="H2" s="108"/>
      <c r="I2" s="108"/>
      <c r="J2" s="108"/>
      <c r="K2" s="108"/>
      <c r="L2" s="108"/>
      <c r="M2" s="108"/>
      <c r="N2" s="108"/>
      <c r="O2" s="108"/>
      <c r="P2" s="113" t="str">
        <v>Passed</v>
      </c>
      <c r="Q2" s="113"/>
      <c r="R2" s="113"/>
      <c r="S2" s="113"/>
      <c r="T2" s="113"/>
      <c r="U2" s="113"/>
      <c r="V2" s="113"/>
      <c r="W2" s="113"/>
      <c r="X2" s="113"/>
      <c r="Y2" s="114"/>
    </row>
    <row r="3" ht="52" customHeight="1">
      <c r="A3" s="110" t="str">
        <v>Test requirement</v>
      </c>
      <c r="B3" s="111" t="str">
        <v>Manual integration: perform the browser steps and compare saved data or recipient screens. Check prerequisites before execution.</v>
      </c>
      <c r="C3" s="5"/>
      <c r="D3" s="5"/>
      <c r="E3" s="112"/>
      <c r="F3" s="108"/>
      <c r="G3" s="108"/>
      <c r="H3" s="108"/>
      <c r="I3" s="108"/>
      <c r="J3" s="108"/>
      <c r="K3" s="108"/>
      <c r="L3" s="108"/>
      <c r="M3" s="108"/>
      <c r="N3" s="108"/>
      <c r="O3" s="108"/>
      <c r="P3" s="113" t="str">
        <v>Failed</v>
      </c>
      <c r="Q3" s="113"/>
      <c r="R3" s="113"/>
      <c r="S3" s="113"/>
      <c r="T3" s="113"/>
      <c r="U3" s="113"/>
      <c r="V3" s="113"/>
      <c r="W3" s="113"/>
      <c r="X3" s="113"/>
      <c r="Y3" s="114"/>
    </row>
    <row r="4" ht="18.0" customHeight="1">
      <c r="A4" s="110" t="str">
        <v>Number of TCs</v>
      </c>
      <c r="B4" s="111" t="n">
        <v>10</v>
      </c>
      <c r="C4" s="5"/>
      <c r="D4" s="5"/>
      <c r="E4" s="112"/>
      <c r="F4" s="108"/>
      <c r="G4" s="108"/>
      <c r="H4" s="108"/>
      <c r="I4" s="108"/>
      <c r="J4" s="108"/>
      <c r="K4" s="108"/>
      <c r="L4" s="108"/>
      <c r="M4" s="108"/>
      <c r="N4" s="108"/>
      <c r="O4" s="108"/>
      <c r="P4" s="113" t="str">
        <v>NotRun</v>
      </c>
      <c r="Q4" s="113"/>
      <c r="R4" s="113"/>
      <c r="S4" s="113"/>
      <c r="T4" s="113"/>
      <c r="U4" s="113"/>
      <c r="V4" s="113"/>
      <c r="W4" s="113"/>
      <c r="X4" s="113"/>
      <c r="Y4" s="114"/>
    </row>
    <row r="5" ht="19.5" customHeight="1">
      <c r="A5" s="115" t="str">
        <v>Testing Round</v>
      </c>
      <c r="B5" s="115" t="str">
        <v>Passed</v>
      </c>
      <c r="C5" s="115" t="str">
        <v>Failed</v>
      </c>
      <c r="D5" s="115" t="str">
        <v>Pending</v>
      </c>
      <c r="E5" s="115" t="str">
        <v>N/A</v>
      </c>
      <c r="F5" s="108"/>
      <c r="G5" s="108"/>
      <c r="H5" s="108"/>
      <c r="I5" s="108"/>
      <c r="J5" s="108"/>
      <c r="K5" s="108"/>
      <c r="L5" s="108"/>
      <c r="M5" s="108"/>
      <c r="N5" s="108"/>
      <c r="O5" s="108"/>
      <c r="P5" s="113" t="str">
        <v>Skipped</v>
      </c>
      <c r="Q5" s="113"/>
      <c r="R5" s="113"/>
      <c r="S5" s="113"/>
      <c r="T5" s="113"/>
      <c r="U5" s="113"/>
      <c r="V5" s="113"/>
      <c r="W5" s="113"/>
      <c r="X5" s="113"/>
      <c r="Y5" s="114"/>
    </row>
    <row r="6" ht="15.0" customHeight="1">
      <c r="A6" s="116" t="str">
        <v>Round 1</v>
      </c>
      <c r="B6" s="115" t="n">
        <f>COUNTIF(F12:F23,"Passed")</f>
        <v>0</v>
      </c>
      <c r="C6" s="115" t="n">
        <f>COUNTIF(F12:F23,"Failed")</f>
        <v>0</v>
      </c>
      <c r="D6" s="115" t="n">
        <f>B4-B6-C6-E6</f>
        <v>10</v>
      </c>
      <c r="E6" s="115" t="n">
        <f>COUNTIF(F12:F23,"Skipped")</f>
        <v>0</v>
      </c>
      <c r="F6" s="108"/>
      <c r="G6" s="108"/>
      <c r="H6" s="108"/>
      <c r="I6" s="108"/>
      <c r="J6" s="108"/>
      <c r="K6" s="108"/>
      <c r="L6" s="108"/>
      <c r="M6" s="108"/>
      <c r="N6" s="108"/>
      <c r="O6" s="108"/>
      <c r="P6" s="113"/>
      <c r="Q6" s="113"/>
      <c r="R6" s="113"/>
      <c r="S6" s="113"/>
      <c r="T6" s="113"/>
      <c r="U6" s="113"/>
      <c r="V6" s="113"/>
      <c r="W6" s="113"/>
      <c r="X6" s="113"/>
      <c r="Y6" s="114"/>
    </row>
    <row r="7" ht="15.0" customHeight="1">
      <c r="A7" s="116" t="str">
        <v>Round 2</v>
      </c>
      <c r="B7" s="115" t="n">
        <f>COUNTIF(I12:I23,"Passed")</f>
        <v>0</v>
      </c>
      <c r="C7" s="115" t="n">
        <f>COUNTIF(I12:I23,"Failed")</f>
        <v>0</v>
      </c>
      <c r="D7" s="115" t="n">
        <f>B4-B7-C7-E7</f>
        <v>10</v>
      </c>
      <c r="E7" s="115" t="n">
        <f>COUNTIF(I12:I23,"Skipped")</f>
        <v>0</v>
      </c>
      <c r="F7" s="108"/>
      <c r="G7" s="108"/>
      <c r="H7" s="108"/>
      <c r="I7" s="108"/>
      <c r="J7" s="108"/>
      <c r="K7" s="108"/>
      <c r="L7" s="108"/>
      <c r="M7" s="108"/>
      <c r="N7" s="108"/>
      <c r="O7" s="108"/>
      <c r="P7" s="113"/>
      <c r="Q7" s="113"/>
      <c r="R7" s="113"/>
      <c r="S7" s="113"/>
      <c r="T7" s="113"/>
      <c r="U7" s="113"/>
      <c r="V7" s="113"/>
      <c r="W7" s="113"/>
      <c r="X7" s="113"/>
      <c r="Y7" s="114"/>
    </row>
    <row r="8" ht="15.0" customHeight="1">
      <c r="A8" s="116" t="str">
        <v>Round 3</v>
      </c>
      <c r="B8" s="115" t="n">
        <f>COUNTIF(L12:L23,"Passed")</f>
        <v>0</v>
      </c>
      <c r="C8" s="115" t="n">
        <f>COUNTIF(L12:L23,"Failed")</f>
        <v>0</v>
      </c>
      <c r="D8" s="115" t="n">
        <f>B4-B8-C8-E8</f>
        <v>10</v>
      </c>
      <c r="E8" s="115" t="n">
        <f>COUNTIF(L12:L23,"Skipped")</f>
        <v>0</v>
      </c>
      <c r="F8" s="108"/>
      <c r="G8" s="108"/>
      <c r="H8" s="108"/>
      <c r="I8" s="108"/>
      <c r="J8" s="108"/>
      <c r="K8" s="108"/>
      <c r="L8" s="108"/>
      <c r="M8" s="108"/>
      <c r="N8" s="108"/>
      <c r="O8" s="108"/>
      <c r="P8" s="113"/>
      <c r="Q8" s="113"/>
      <c r="R8" s="113"/>
      <c r="S8" s="113"/>
      <c r="T8" s="113"/>
      <c r="U8" s="113"/>
      <c r="V8" s="113"/>
      <c r="W8" s="113"/>
      <c r="X8" s="113"/>
      <c r="Y8" s="114"/>
    </row>
    <row r="9" ht="15.0" customHeight="1">
      <c r="A9" s="108"/>
      <c r="B9" s="108"/>
      <c r="C9" s="108"/>
      <c r="D9" s="108"/>
      <c r="E9" s="108"/>
      <c r="F9" s="108"/>
      <c r="G9" s="108"/>
      <c r="H9" s="108"/>
      <c r="I9" s="108"/>
      <c r="J9" s="108"/>
      <c r="K9" s="108"/>
      <c r="L9" s="108"/>
      <c r="M9" s="108"/>
      <c r="N9" s="108"/>
      <c r="O9" s="108"/>
      <c r="P9" s="113"/>
      <c r="Q9" s="113"/>
      <c r="R9" s="113"/>
      <c r="S9" s="113"/>
      <c r="T9" s="113"/>
      <c r="U9" s="113"/>
      <c r="V9" s="113"/>
      <c r="W9" s="113"/>
      <c r="X9" s="113"/>
      <c r="Y9" s="114"/>
    </row>
    <row r="10" ht="42" customHeight="1">
      <c r="A10" s="117" t="str">
        <v>Test Case ID</v>
      </c>
      <c r="B10" s="117" t="str">
        <v>Test Case Description</v>
      </c>
      <c r="C10" s="117" t="str">
        <v>Test Case Procedure</v>
      </c>
      <c r="D10" s="117" t="str">
        <v>Expected Results</v>
      </c>
      <c r="E10" s="117" t="str">
        <v>Pre-conditions</v>
      </c>
      <c r="F10" s="117" t="str">
        <v>Round 1</v>
      </c>
      <c r="G10" s="117" t="str">
        <v>Test date</v>
      </c>
      <c r="H10" s="117" t="str">
        <v>Tester</v>
      </c>
      <c r="I10" s="117" t="str">
        <v>Round 2</v>
      </c>
      <c r="J10" s="117" t="str">
        <v>Test date</v>
      </c>
      <c r="K10" s="117" t="str">
        <v>Tester</v>
      </c>
      <c r="L10" s="117" t="str">
        <v>Round 3</v>
      </c>
      <c r="M10" s="117" t="str">
        <v>Test date</v>
      </c>
      <c r="N10" s="117" t="str">
        <v>Tester</v>
      </c>
      <c r="O10" s="117" t="str">
        <v>Actual result / Evidence / Defect</v>
      </c>
      <c r="P10" s="118"/>
      <c r="Q10" s="113"/>
      <c r="R10" s="113"/>
      <c r="S10" s="113"/>
      <c r="T10" s="113"/>
      <c r="U10" s="113"/>
      <c r="V10" s="113"/>
      <c r="W10" s="113"/>
      <c r="X10" s="113"/>
      <c r="Y10" s="113"/>
    </row>
    <row r="11" ht="24" customHeight="1">
      <c r="A11" s="119" t="str">
        <v>Roles - Create role</v>
      </c>
      <c r="B11" s="119"/>
      <c r="C11" s="119"/>
      <c r="D11" s="119"/>
      <c r="E11" s="119"/>
      <c r="F11" s="119"/>
      <c r="G11" s="119"/>
      <c r="H11" s="119"/>
      <c r="I11" s="119"/>
      <c r="J11" s="119"/>
      <c r="K11" s="119"/>
      <c r="L11" s="119"/>
      <c r="M11" s="119"/>
      <c r="N11" s="119"/>
      <c r="O11" s="150"/>
      <c r="P11" s="124"/>
      <c r="Q11" s="113"/>
      <c r="R11" s="113"/>
      <c r="S11" s="113"/>
      <c r="T11" s="113"/>
      <c r="U11" s="113"/>
      <c r="V11" s="113"/>
      <c r="W11" s="113"/>
      <c r="X11" s="113"/>
      <c r="Y11" s="113"/>
    </row>
    <row r="12" ht="118.39999999999999" customHeight="1">
      <c r="A12" s="121" t="str">
        <v>ROLE_IT01</v>
      </c>
      <c r="B12" s="121" t="str">
        <v>Create a custom role with initial capabilities</v>
      </c>
      <c r="C12" s="121" t="str">
        <v>1. Click "Tạo vai trò".
2. Name it Manual Meeting Role; enter a short description.
3. Select MeetingCreator and click "Tạo vai trò".
4. Reload and inspect the role and its permission matrix row.</v>
      </c>
      <c r="D12" s="121" t="str">
        <v>1. Custom role and description persist.
2. Only the selected initial capabilities are assigned.</v>
      </c>
      <c r="E12" s="121" t="str">
        <v>AdminUsers user at /mgmt/admin/roles, "Danh sách vai trò"; disposable custom roles; retain a working administrator.</v>
      </c>
      <c r="F12" s="121" t="str">
        <v>NotRun</v>
      </c>
      <c r="G12" s="122" t="str"/>
      <c r="H12" s="121" t="str"/>
      <c r="I12" s="121" t="str"/>
      <c r="J12" s="122" t="str"/>
      <c r="K12" s="121" t="str"/>
      <c r="L12" s="121" t="str"/>
      <c r="M12" s="122" t="str"/>
      <c r="N12" s="121" t="str"/>
      <c r="O12" s="123" t="str"/>
      <c r="P12" s="124"/>
      <c r="Q12" s="113"/>
      <c r="R12" s="113"/>
      <c r="S12" s="113"/>
      <c r="T12" s="113"/>
      <c r="U12" s="113"/>
      <c r="V12" s="113"/>
      <c r="W12" s="113"/>
      <c r="X12" s="113"/>
      <c r="Y12" s="113"/>
    </row>
    <row r="13" ht="95" customHeight="1">
      <c r="A13" s="121" t="str">
        <v>ROLE_IT02</v>
      </c>
      <c r="B13" s="121" t="str">
        <v>Empty role name is rejected</v>
      </c>
      <c r="C13" s="121" t="str">
        <v>1. Open "Tạo vai trò".
2. Leave name blank, enter optional description and click "Tạo vai trò".</v>
      </c>
      <c r="D13" s="121" t="str">
        <v>1. Name-required error appears.
2. No blank-named role is added.</v>
      </c>
      <c r="E13" s="121" t="str">
        <v>AdminUsers user at /mgmt/admin/roles, "Danh sách vai trò"; disposable custom roles; retain a working administrator.</v>
      </c>
      <c r="F13" s="121" t="str">
        <v>NotRun</v>
      </c>
      <c r="G13" s="122" t="str"/>
      <c r="H13" s="121" t="str"/>
      <c r="I13" s="121" t="str"/>
      <c r="J13" s="122" t="str"/>
      <c r="K13" s="121" t="str"/>
      <c r="L13" s="121" t="str"/>
      <c r="M13" s="122" t="str"/>
      <c r="N13" s="121" t="str"/>
      <c r="O13" s="123" t="str"/>
      <c r="P13" s="124"/>
      <c r="Q13" s="113"/>
      <c r="R13" s="113"/>
      <c r="S13" s="113"/>
      <c r="T13" s="113"/>
      <c r="U13" s="113"/>
      <c r="V13" s="113"/>
      <c r="W13" s="113"/>
      <c r="X13" s="113"/>
      <c r="Y13" s="113"/>
    </row>
    <row r="14" ht="95" customHeight="1">
      <c r="A14" s="121" t="str">
        <v>ROLE_IT03</v>
      </c>
      <c r="B14" s="121" t="str">
        <v>Whitespace-only role name is rejected</v>
      </c>
      <c r="C14" s="121" t="str">
        <v>1. Click "Tạo vai trò".
2. Enter spaces in "Tên vai trò" and click "Tạo vai trò".</v>
      </c>
      <c r="D14" s="121" t="str">
        <v>1. Whitespace is treated as empty.
2. No role is created.</v>
      </c>
      <c r="E14" s="121" t="str">
        <v>AdminUsers user at /mgmt/admin/roles, "Danh sách vai trò"; disposable custom roles; retain a working administrator.</v>
      </c>
      <c r="F14" s="121" t="str">
        <v>NotRun</v>
      </c>
      <c r="G14" s="122" t="str"/>
      <c r="H14" s="121" t="str"/>
      <c r="I14" s="121" t="str"/>
      <c r="J14" s="122" t="str"/>
      <c r="K14" s="121" t="str"/>
      <c r="L14" s="121" t="str"/>
      <c r="M14" s="122" t="str"/>
      <c r="N14" s="121" t="str"/>
      <c r="O14" s="123" t="str"/>
      <c r="P14" s="124"/>
      <c r="Q14" s="113"/>
      <c r="R14" s="113"/>
      <c r="S14" s="113"/>
      <c r="T14" s="113"/>
      <c r="U14" s="113"/>
      <c r="V14" s="113"/>
      <c r="W14" s="113"/>
      <c r="X14" s="113"/>
      <c r="Y14" s="113"/>
    </row>
    <row r="15" ht="118.39999999999999" customHeight="1">
      <c r="A15" s="121" t="str">
        <v>ROLE_IT04</v>
      </c>
      <c r="B15" s="121" t="str">
        <v>Duplicate role name does not create another role</v>
      </c>
      <c r="C15" s="121" t="str">
        <v>1. Click "Tạo vai trò".
2. Enter the existing role name and click "Tạo vai trò".
3. Inspect the list after closing the dialog.</v>
      </c>
      <c r="D15" s="121" t="str">
        <v>1. Duplicate-name feedback is shown.
2. Existing role remains unchanged and is not duplicated.</v>
      </c>
      <c r="E15" s="121" t="str">
        <v>AdminUsers user at /mgmt/admin/roles, "Danh sách vai trò"; disposable custom roles; retain a working administrator. Manual Meeting Role already exists.</v>
      </c>
      <c r="F15" s="121" t="str">
        <v>NotRun</v>
      </c>
      <c r="G15" s="122" t="str"/>
      <c r="H15" s="121" t="str"/>
      <c r="I15" s="121" t="str"/>
      <c r="J15" s="122" t="str"/>
      <c r="K15" s="121" t="str"/>
      <c r="L15" s="121" t="str"/>
      <c r="M15" s="122" t="str"/>
      <c r="N15" s="121" t="str"/>
      <c r="O15" s="123" t="str"/>
      <c r="P15" s="124"/>
      <c r="Q15" s="113"/>
      <c r="R15" s="113"/>
      <c r="S15" s="113"/>
      <c r="T15" s="113"/>
      <c r="U15" s="113"/>
      <c r="V15" s="113"/>
      <c r="W15" s="113"/>
      <c r="X15" s="113"/>
      <c r="Y15" s="113"/>
    </row>
    <row r="16" ht="95" customHeight="1">
      <c r="A16" s="121" t="str">
        <v>ROLE_IT05</v>
      </c>
      <c r="B16" s="121" t="str">
        <v>Role name over 64 characters is rejected</v>
      </c>
      <c r="C16" s="121" t="str">
        <v>1. Click "Tạo vai trò".
2. Paste a prepared 65-character name.
3. Click "Tạo vai trò".</v>
      </c>
      <c r="D16" s="121" t="str">
        <v>1. Maximum-length validation is shown.
2. No role is saved using the overlong name.</v>
      </c>
      <c r="E16" s="121" t="str">
        <v>AdminUsers user at /mgmt/admin/roles, "Danh sách vai trò"; disposable custom roles; retain a working administrator.</v>
      </c>
      <c r="F16" s="121" t="str">
        <v>NotRun</v>
      </c>
      <c r="G16" s="122" t="str"/>
      <c r="H16" s="121" t="str"/>
      <c r="I16" s="121" t="str"/>
      <c r="J16" s="122" t="str"/>
      <c r="K16" s="121" t="str"/>
      <c r="L16" s="121" t="str"/>
      <c r="M16" s="122" t="str"/>
      <c r="N16" s="121" t="str"/>
      <c r="O16" s="123" t="str"/>
      <c r="P16" s="124"/>
      <c r="Q16" s="113"/>
      <c r="R16" s="113"/>
      <c r="S16" s="113"/>
      <c r="T16" s="113"/>
      <c r="U16" s="113"/>
      <c r="V16" s="113"/>
      <c r="W16" s="113"/>
      <c r="X16" s="113"/>
      <c r="Y16" s="113"/>
    </row>
    <row r="17" ht="95" customHeight="1">
      <c r="A17" s="121" t="str">
        <v>ROLE_IT06</v>
      </c>
      <c r="B17" s="121" t="str">
        <v>Description over 256 characters is rejected</v>
      </c>
      <c r="C17" s="121" t="str">
        <v>1. Click "Tạo vai trò" with a unique short name.
2. Paste a prepared 257-character description.
3. Click "Tạo vai trò".</v>
      </c>
      <c r="D17" s="121" t="str">
        <v>1. Description-length validation is shown.
2. Role is not created until corrected.</v>
      </c>
      <c r="E17" s="121" t="str">
        <v>AdminUsers user at /mgmt/admin/roles, "Danh sách vai trò"; disposable custom roles; retain a working administrator.</v>
      </c>
      <c r="F17" s="121" t="str">
        <v>NotRun</v>
      </c>
      <c r="G17" s="122" t="str"/>
      <c r="H17" s="121" t="str"/>
      <c r="I17" s="121" t="str"/>
      <c r="J17" s="122" t="str"/>
      <c r="K17" s="121" t="str"/>
      <c r="L17" s="121" t="str"/>
      <c r="M17" s="122" t="str"/>
      <c r="N17" s="121" t="str"/>
      <c r="O17" s="123" t="str"/>
      <c r="P17" s="124"/>
      <c r="Q17" s="113"/>
      <c r="R17" s="113"/>
      <c r="S17" s="113"/>
      <c r="T17" s="113"/>
      <c r="U17" s="113"/>
      <c r="V17" s="113"/>
      <c r="W17" s="113"/>
      <c r="X17" s="113"/>
      <c r="Y17" s="113"/>
    </row>
    <row r="18" ht="24" customHeight="1">
      <c r="A18" s="119" t="str">
        <v>Roles - Edit and delete role</v>
      </c>
      <c r="B18" s="119"/>
      <c r="C18" s="119"/>
      <c r="D18" s="119"/>
      <c r="E18" s="119"/>
      <c r="F18" s="119"/>
      <c r="G18" s="119"/>
      <c r="H18" s="119"/>
      <c r="I18" s="119"/>
      <c r="J18" s="119"/>
      <c r="K18" s="119"/>
      <c r="L18" s="119"/>
      <c r="M18" s="119"/>
      <c r="N18" s="119"/>
      <c r="O18" s="150"/>
      <c r="P18" s="124"/>
      <c r="Q18" s="113"/>
      <c r="R18" s="113"/>
      <c r="S18" s="113"/>
      <c r="T18" s="113"/>
      <c r="U18" s="113"/>
      <c r="V18" s="113"/>
      <c r="W18" s="113"/>
      <c r="X18" s="113"/>
      <c r="Y18" s="113"/>
    </row>
    <row r="19" ht="118.39999999999999" customHeight="1">
      <c r="A19" s="121" t="str">
        <v>ROLE_IT07</v>
      </c>
      <c r="B19" s="121" t="str">
        <v>Rename a disposable custom role</v>
      </c>
      <c r="C19" s="121" t="str">
        <v>1. Click its "Sửa vai trò" action.
2. Change name to Manual Meeting Role Revised and click "Lưu thay đổi".
3. Reload and reopen "Sửa vai trò".</v>
      </c>
      <c r="D19" s="121" t="str">
        <v>1. New name and description persist.
2. The same role is updated; no duplicate role appears.</v>
      </c>
      <c r="E19" s="121" t="str">
        <v>AdminUsers user at /mgmt/admin/roles, "Danh sách vai trò"; disposable custom roles; retain a working administrator. Unassigned custom role Manual Meeting Role exists.</v>
      </c>
      <c r="F19" s="121" t="str">
        <v>NotRun</v>
      </c>
      <c r="G19" s="122" t="str"/>
      <c r="H19" s="121" t="str"/>
      <c r="I19" s="121" t="str"/>
      <c r="J19" s="122" t="str"/>
      <c r="K19" s="121" t="str"/>
      <c r="L19" s="121" t="str"/>
      <c r="M19" s="122" t="str"/>
      <c r="N19" s="121" t="str"/>
      <c r="O19" s="123" t="str"/>
      <c r="P19" s="124"/>
      <c r="Q19" s="113"/>
      <c r="R19" s="113"/>
      <c r="S19" s="113"/>
      <c r="T19" s="113"/>
      <c r="U19" s="113"/>
      <c r="V19" s="113"/>
      <c r="W19" s="113"/>
      <c r="X19" s="113"/>
      <c r="Y19" s="113"/>
    </row>
    <row r="20" ht="118.39999999999999" customHeight="1">
      <c r="A20" s="121" t="str">
        <v>ROLE_IT08</v>
      </c>
      <c r="B20" s="121" t="str">
        <v>Delete an unassigned custom role</v>
      </c>
      <c r="C20" s="121" t="str">
        <v>1. Click "Xoá vai trò" for the role.
2. Click "Xoá vai trò" in confirmation.
3. Reload the list and inspect the matrix.</v>
      </c>
      <c r="D20" s="121" t="str">
        <v>1. Deleted role disappears from list and matrix.
2. Other roles and their permissions remain present.</v>
      </c>
      <c r="E20" s="121" t="str">
        <v>AdminUsers user at /mgmt/admin/roles, "Danh sách vai trò"; disposable custom roles; retain a working administrator. Disposable custom role has zero assigned users.</v>
      </c>
      <c r="F20" s="121" t="str">
        <v>NotRun</v>
      </c>
      <c r="G20" s="122" t="str"/>
      <c r="H20" s="121" t="str"/>
      <c r="I20" s="121" t="str"/>
      <c r="J20" s="122" t="str"/>
      <c r="K20" s="121" t="str"/>
      <c r="L20" s="121" t="str"/>
      <c r="M20" s="122" t="str"/>
      <c r="N20" s="121" t="str"/>
      <c r="O20" s="123" t="str"/>
      <c r="P20" s="124"/>
      <c r="Q20" s="113"/>
      <c r="R20" s="113"/>
      <c r="S20" s="113"/>
      <c r="T20" s="113"/>
      <c r="U20" s="113"/>
      <c r="V20" s="113"/>
      <c r="W20" s="113"/>
      <c r="X20" s="113"/>
      <c r="Y20" s="113"/>
    </row>
    <row r="21" ht="118.39999999999999" customHeight="1">
      <c r="A21" s="121" t="str">
        <v>ROLE_IT09</v>
      </c>
      <c r="B21" s="121" t="str">
        <v>Assigned role cannot be deleted</v>
      </c>
      <c r="C21" s="121" t="str">
        <v>1. Click its "Xoá vai trò" action.
2. Inspect the warning and availability of the "Xoá vai trò" confirmation button.
3. Reload the role list.</v>
      </c>
      <c r="D21" s="121" t="str">
        <v>1. Deletion is blocked or action is unavailable because users are assigned.
2. Role and user assignments remain unchanged.</v>
      </c>
      <c r="E21" s="121" t="str">
        <v>AdminUsers user at /mgmt/admin/roles, "Danh sách vai trò"; disposable custom roles; retain a working administrator. Disposable custom role has at least one assigned user.</v>
      </c>
      <c r="F21" s="121" t="str">
        <v>NotRun</v>
      </c>
      <c r="G21" s="122" t="str"/>
      <c r="H21" s="121" t="str"/>
      <c r="I21" s="121" t="str"/>
      <c r="J21" s="122" t="str"/>
      <c r="K21" s="121" t="str"/>
      <c r="L21" s="121" t="str"/>
      <c r="M21" s="122" t="str"/>
      <c r="N21" s="121" t="str"/>
      <c r="O21" s="123" t="str"/>
      <c r="P21" s="124"/>
      <c r="Q21" s="113"/>
      <c r="R21" s="113"/>
      <c r="S21" s="113"/>
      <c r="T21" s="113"/>
      <c r="U21" s="113"/>
      <c r="V21" s="113"/>
      <c r="W21" s="113"/>
      <c r="X21" s="113"/>
      <c r="Y21" s="113"/>
    </row>
    <row r="22" ht="24" customHeight="1">
      <c r="A22" s="119" t="str">
        <v>Roles - Built-in role protection</v>
      </c>
      <c r="B22" s="119"/>
      <c r="C22" s="119"/>
      <c r="D22" s="119"/>
      <c r="E22" s="119"/>
      <c r="F22" s="119"/>
      <c r="G22" s="119"/>
      <c r="H22" s="119"/>
      <c r="I22" s="119"/>
      <c r="J22" s="119"/>
      <c r="K22" s="119"/>
      <c r="L22" s="119"/>
      <c r="M22" s="119"/>
      <c r="N22" s="119"/>
      <c r="O22" s="150"/>
      <c r="P22" s="124"/>
      <c r="Q22" s="113"/>
      <c r="R22" s="113"/>
      <c r="S22" s="113"/>
      <c r="T22" s="113"/>
      <c r="U22" s="113"/>
      <c r="V22" s="113"/>
      <c r="W22" s="113"/>
      <c r="X22" s="113"/>
      <c r="Y22" s="113"/>
    </row>
    <row r="23" ht="95" customHeight="1">
      <c r="A23" s="121" t="str">
        <v>ROLE_IT10</v>
      </c>
      <c r="B23" s="121" t="str">
        <v>Built-in roles do not expose rename/delete</v>
      </c>
      <c r="C23" s="121" t="str">
        <v>1. Locate a role marked Mặc định.
2. Inspect its action column.
3. Compare with an unassigned custom role.</v>
      </c>
      <c r="D23" s="121" t="str">
        <v>1. Built-in role has no rename/delete actions.
2. Custom-role actions remain available where permitted.</v>
      </c>
      <c r="E23" s="121" t="str">
        <v>AdminUsers user at /mgmt/admin/roles, "Danh sách vai trò"; disposable custom roles; retain a working administrator.</v>
      </c>
      <c r="F23" s="121" t="str">
        <v>NotRun</v>
      </c>
      <c r="G23" s="122" t="str"/>
      <c r="H23" s="121" t="str"/>
      <c r="I23" s="121" t="str"/>
      <c r="J23" s="122" t="str"/>
      <c r="K23" s="121" t="str"/>
      <c r="L23" s="121" t="str"/>
      <c r="M23" s="122" t="str"/>
      <c r="N23" s="121" t="str"/>
      <c r="O23" s="123" t="str"/>
      <c r="P23" s="124"/>
      <c r="Q23" s="113"/>
      <c r="R23" s="113"/>
      <c r="S23" s="113"/>
      <c r="T23" s="113"/>
      <c r="U23" s="113"/>
      <c r="V23" s="113"/>
      <c r="W23" s="113"/>
      <c r="X23" s="113"/>
      <c r="Y23" s="113"/>
    </row>
  </sheetData>
  <mergeCells count="6">
    <mergeCell ref="B2:E2"/>
    <mergeCell ref="B3:E3"/>
    <mergeCell ref="B4:E4"/>
    <mergeCell ref="A11:O11"/>
    <mergeCell ref="A18:O18"/>
    <mergeCell ref="A22:O22"/>
  </mergeCells>
  <dataValidations count="3">
    <dataValidation type="list" allowBlank="1" showErrorMessage="1" errorTitle="Select a test status" error="Use the status dropdown." sqref="F12 F13 F14 F15 F16 F17 F19 F20 F21 F23">
      <formula1>"NotRun,Passed,Failed,Blocked,Skipped"</formula1>
    </dataValidation>
    <dataValidation type="list" allowBlank="1" showErrorMessage="1" errorTitle="Select a test status" error="Use the status dropdown." sqref="I12 I13 I14 I15 I16 I17 I19 I20 I21 I23">
      <formula1>"NotRun,Passed,Failed,Blocked,Skipped"</formula1>
    </dataValidation>
    <dataValidation type="list" allowBlank="1" showErrorMessage="1" errorTitle="Select a test status" error="Use the status dropdown." sqref="L12 L13 L14 L15 L16 L17 L19 L20 L21 L23">
      <formula1>"NotRun,Passed,Failed,Blocked,Skipped"</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topLeftCell="A1" zoomScale="70" showGridLines="0">
      <pane xSplit="2" ySplit="10" topLeftCell="C11" activePane="bottomRight" state="frozen"/>
      <selection pane="bottomRight" activeCell="A1" sqref="A1"/>
    </sheetView>
  </sheetViews>
  <sheetFormatPr customHeight="1" defaultColWidth="12.63" defaultRowHeight="15.0" outlineLevelCol="1" outlineLevelRow="1"/>
  <cols>
    <col customWidth="1" min="1" max="1" width="17.0"/>
    <col customWidth="1" min="2" max="2" width="34.5"/>
    <col customWidth="1" min="3" max="3" width="34.13"/>
    <col customWidth="1" min="4" max="4" width="43.75"/>
    <col customWidth="1" min="5" max="5" width="28.38"/>
    <col customWidth="1" min="6" max="6" width="9.38"/>
    <col customWidth="1" min="7" max="7" width="10.38" outlineLevel="1"/>
    <col customWidth="1" min="8" max="9" width="9.38"/>
    <col customWidth="1" min="10" max="10" width="10.38" outlineLevel="1"/>
    <col customWidth="1" min="11" max="12" width="9.38"/>
    <col customWidth="1" min="13" max="13" width="10.38" outlineLevel="1"/>
    <col customWidth="1" min="14" max="14" width="9.38"/>
    <col customWidth="1" min="15" max="15" width="24"/>
    <col customWidth="1" hidden="1" min="16" max="16" width="7.63"/>
    <col customWidth="1" min="17" max="25" width="9.0"/>
  </cols>
  <sheetData>
    <row r="1" ht="12.75" customHeight="1">
      <c r="A1" s="108"/>
      <c r="B1" s="108"/>
      <c r="C1" s="108"/>
      <c r="D1" s="108"/>
      <c r="E1" s="108"/>
      <c r="F1" s="108"/>
      <c r="G1" s="108"/>
      <c r="H1" s="108"/>
      <c r="I1" s="108"/>
      <c r="J1" s="108"/>
      <c r="K1" s="108"/>
      <c r="L1" s="108"/>
      <c r="M1" s="108"/>
      <c r="N1" s="108"/>
      <c r="O1" s="108"/>
      <c r="P1" s="45"/>
      <c r="Q1" s="45"/>
      <c r="R1" s="45"/>
      <c r="S1" s="45"/>
      <c r="T1" s="45"/>
      <c r="U1" s="45"/>
      <c r="V1" s="45"/>
      <c r="W1" s="45"/>
      <c r="X1" s="45"/>
      <c r="Y1" s="109"/>
    </row>
    <row r="2" ht="15.0" customHeight="1">
      <c r="A2" s="110" t="str">
        <v>Feature</v>
      </c>
      <c r="B2" s="111" t="str">
        <v>Permissions</v>
      </c>
      <c r="C2" s="5"/>
      <c r="D2" s="5"/>
      <c r="E2" s="112"/>
      <c r="F2" s="108"/>
      <c r="G2" s="108"/>
      <c r="H2" s="108"/>
      <c r="I2" s="108"/>
      <c r="J2" s="108"/>
      <c r="K2" s="108"/>
      <c r="L2" s="108"/>
      <c r="M2" s="108"/>
      <c r="N2" s="108"/>
      <c r="O2" s="108"/>
      <c r="P2" s="113" t="str">
        <v>Passed</v>
      </c>
      <c r="Q2" s="113"/>
      <c r="R2" s="113"/>
      <c r="S2" s="113"/>
      <c r="T2" s="113"/>
      <c r="U2" s="113"/>
      <c r="V2" s="113"/>
      <c r="W2" s="113"/>
      <c r="X2" s="113"/>
      <c r="Y2" s="114"/>
    </row>
    <row r="3" ht="52" customHeight="1">
      <c r="A3" s="110" t="str">
        <v>Test requirement</v>
      </c>
      <c r="B3" s="111" t="str">
        <v>Manual integration: perform the browser steps and compare saved data or recipient screens. Check prerequisites before execution.</v>
      </c>
      <c r="C3" s="5"/>
      <c r="D3" s="5"/>
      <c r="E3" s="112"/>
      <c r="F3" s="108"/>
      <c r="G3" s="108"/>
      <c r="H3" s="108"/>
      <c r="I3" s="108"/>
      <c r="J3" s="108"/>
      <c r="K3" s="108"/>
      <c r="L3" s="108"/>
      <c r="M3" s="108"/>
      <c r="N3" s="108"/>
      <c r="O3" s="108"/>
      <c r="P3" s="113" t="str">
        <v>Failed</v>
      </c>
      <c r="Q3" s="113"/>
      <c r="R3" s="113"/>
      <c r="S3" s="113"/>
      <c r="T3" s="113"/>
      <c r="U3" s="113"/>
      <c r="V3" s="113"/>
      <c r="W3" s="113"/>
      <c r="X3" s="113"/>
      <c r="Y3" s="114"/>
    </row>
    <row r="4" ht="18.0" customHeight="1">
      <c r="A4" s="110" t="str">
        <v>Number of TCs</v>
      </c>
      <c r="B4" s="111" t="n">
        <v>7</v>
      </c>
      <c r="C4" s="5"/>
      <c r="D4" s="5"/>
      <c r="E4" s="112"/>
      <c r="F4" s="108"/>
      <c r="G4" s="108"/>
      <c r="H4" s="108"/>
      <c r="I4" s="108"/>
      <c r="J4" s="108"/>
      <c r="K4" s="108"/>
      <c r="L4" s="108"/>
      <c r="M4" s="108"/>
      <c r="N4" s="108"/>
      <c r="O4" s="108"/>
      <c r="P4" s="113" t="str">
        <v>NotRun</v>
      </c>
      <c r="Q4" s="113"/>
      <c r="R4" s="113"/>
      <c r="S4" s="113"/>
      <c r="T4" s="113"/>
      <c r="U4" s="113"/>
      <c r="V4" s="113"/>
      <c r="W4" s="113"/>
      <c r="X4" s="113"/>
      <c r="Y4" s="114"/>
    </row>
    <row r="5" ht="19.5" customHeight="1">
      <c r="A5" s="115" t="str">
        <v>Testing Round</v>
      </c>
      <c r="B5" s="115" t="str">
        <v>Passed</v>
      </c>
      <c r="C5" s="115" t="str">
        <v>Failed</v>
      </c>
      <c r="D5" s="115" t="str">
        <v>Pending</v>
      </c>
      <c r="E5" s="115" t="str">
        <v>N/A</v>
      </c>
      <c r="F5" s="108"/>
      <c r="G5" s="108"/>
      <c r="H5" s="108"/>
      <c r="I5" s="108"/>
      <c r="J5" s="108"/>
      <c r="K5" s="108"/>
      <c r="L5" s="108"/>
      <c r="M5" s="108"/>
      <c r="N5" s="108"/>
      <c r="O5" s="108"/>
      <c r="P5" s="113" t="str">
        <v>Skipped</v>
      </c>
      <c r="Q5" s="113"/>
      <c r="R5" s="113"/>
      <c r="S5" s="113"/>
      <c r="T5" s="113"/>
      <c r="U5" s="113"/>
      <c r="V5" s="113"/>
      <c r="W5" s="113"/>
      <c r="X5" s="113"/>
      <c r="Y5" s="114"/>
    </row>
    <row r="6" ht="15.0" customHeight="1">
      <c r="A6" s="116" t="str">
        <v>Round 1</v>
      </c>
      <c r="B6" s="115" t="n">
        <f>COUNTIF(F12:F19,"Passed")</f>
        <v>0</v>
      </c>
      <c r="C6" s="115" t="n">
        <f>COUNTIF(F12:F19,"Failed")</f>
        <v>0</v>
      </c>
      <c r="D6" s="115" t="n">
        <f>B4-B6-C6-E6</f>
        <v>7</v>
      </c>
      <c r="E6" s="115" t="n">
        <f>COUNTIF(F12:F19,"Skipped")</f>
        <v>0</v>
      </c>
      <c r="F6" s="108"/>
      <c r="G6" s="108"/>
      <c r="H6" s="108"/>
      <c r="I6" s="108"/>
      <c r="J6" s="108"/>
      <c r="K6" s="108"/>
      <c r="L6" s="108"/>
      <c r="M6" s="108"/>
      <c r="N6" s="108"/>
      <c r="O6" s="108"/>
      <c r="P6" s="113"/>
      <c r="Q6" s="113"/>
      <c r="R6" s="113"/>
      <c r="S6" s="113"/>
      <c r="T6" s="113"/>
      <c r="U6" s="113"/>
      <c r="V6" s="113"/>
      <c r="W6" s="113"/>
      <c r="X6" s="113"/>
      <c r="Y6" s="114"/>
    </row>
    <row r="7" ht="15.0" customHeight="1">
      <c r="A7" s="116" t="str">
        <v>Round 2</v>
      </c>
      <c r="B7" s="115" t="n">
        <f>COUNTIF(I12:I19,"Passed")</f>
        <v>0</v>
      </c>
      <c r="C7" s="115" t="n">
        <f>COUNTIF(I12:I19,"Failed")</f>
        <v>0</v>
      </c>
      <c r="D7" s="115" t="n">
        <f>B4-B7-C7-E7</f>
        <v>7</v>
      </c>
      <c r="E7" s="115" t="n">
        <f>COUNTIF(I12:I19,"Skipped")</f>
        <v>0</v>
      </c>
      <c r="F7" s="108"/>
      <c r="G7" s="108"/>
      <c r="H7" s="108"/>
      <c r="I7" s="108"/>
      <c r="J7" s="108"/>
      <c r="K7" s="108"/>
      <c r="L7" s="108"/>
      <c r="M7" s="108"/>
      <c r="N7" s="108"/>
      <c r="O7" s="108"/>
      <c r="P7" s="113"/>
      <c r="Q7" s="113"/>
      <c r="R7" s="113"/>
      <c r="S7" s="113"/>
      <c r="T7" s="113"/>
      <c r="U7" s="113"/>
      <c r="V7" s="113"/>
      <c r="W7" s="113"/>
      <c r="X7" s="113"/>
      <c r="Y7" s="114"/>
    </row>
    <row r="8" ht="15.0" customHeight="1">
      <c r="A8" s="116" t="str">
        <v>Round 3</v>
      </c>
      <c r="B8" s="115" t="n">
        <f>COUNTIF(L12:L19,"Passed")</f>
        <v>0</v>
      </c>
      <c r="C8" s="115" t="n">
        <f>COUNTIF(L12:L19,"Failed")</f>
        <v>0</v>
      </c>
      <c r="D8" s="115" t="n">
        <f>B4-B8-C8-E8</f>
        <v>7</v>
      </c>
      <c r="E8" s="115" t="n">
        <f>COUNTIF(L12:L19,"Skipped")</f>
        <v>0</v>
      </c>
      <c r="F8" s="108"/>
      <c r="G8" s="108"/>
      <c r="H8" s="108"/>
      <c r="I8" s="108"/>
      <c r="J8" s="108"/>
      <c r="K8" s="108"/>
      <c r="L8" s="108"/>
      <c r="M8" s="108"/>
      <c r="N8" s="108"/>
      <c r="O8" s="108"/>
      <c r="P8" s="113"/>
      <c r="Q8" s="113"/>
      <c r="R8" s="113"/>
      <c r="S8" s="113"/>
      <c r="T8" s="113"/>
      <c r="U8" s="113"/>
      <c r="V8" s="113"/>
      <c r="W8" s="113"/>
      <c r="X8" s="113"/>
      <c r="Y8" s="114"/>
    </row>
    <row r="9" ht="15.0" customHeight="1">
      <c r="A9" s="108"/>
      <c r="B9" s="108"/>
      <c r="C9" s="108"/>
      <c r="D9" s="108"/>
      <c r="E9" s="108"/>
      <c r="F9" s="108"/>
      <c r="G9" s="108"/>
      <c r="H9" s="108"/>
      <c r="I9" s="108"/>
      <c r="J9" s="108"/>
      <c r="K9" s="108"/>
      <c r="L9" s="108"/>
      <c r="M9" s="108"/>
      <c r="N9" s="108"/>
      <c r="O9" s="108"/>
      <c r="P9" s="113"/>
      <c r="Q9" s="113"/>
      <c r="R9" s="113"/>
      <c r="S9" s="113"/>
      <c r="T9" s="113"/>
      <c r="U9" s="113"/>
      <c r="V9" s="113"/>
      <c r="W9" s="113"/>
      <c r="X9" s="113"/>
      <c r="Y9" s="114"/>
    </row>
    <row r="10" ht="42" customHeight="1">
      <c r="A10" s="117" t="str">
        <v>Test Case ID</v>
      </c>
      <c r="B10" s="117" t="str">
        <v>Test Case Description</v>
      </c>
      <c r="C10" s="117" t="str">
        <v>Test Case Procedure</v>
      </c>
      <c r="D10" s="117" t="str">
        <v>Expected Results</v>
      </c>
      <c r="E10" s="117" t="str">
        <v>Pre-conditions</v>
      </c>
      <c r="F10" s="117" t="str">
        <v>Round 1</v>
      </c>
      <c r="G10" s="117" t="str">
        <v>Test date</v>
      </c>
      <c r="H10" s="117" t="str">
        <v>Tester</v>
      </c>
      <c r="I10" s="117" t="str">
        <v>Round 2</v>
      </c>
      <c r="J10" s="117" t="str">
        <v>Test date</v>
      </c>
      <c r="K10" s="117" t="str">
        <v>Tester</v>
      </c>
      <c r="L10" s="117" t="str">
        <v>Round 3</v>
      </c>
      <c r="M10" s="117" t="str">
        <v>Test date</v>
      </c>
      <c r="N10" s="117" t="str">
        <v>Tester</v>
      </c>
      <c r="O10" s="117" t="str">
        <v>Actual result / Evidence / Defect</v>
      </c>
      <c r="P10" s="118"/>
      <c r="Q10" s="113"/>
      <c r="R10" s="113"/>
      <c r="S10" s="113"/>
      <c r="T10" s="113"/>
      <c r="U10" s="113"/>
      <c r="V10" s="113"/>
      <c r="W10" s="113"/>
      <c r="X10" s="113"/>
      <c r="Y10" s="113"/>
    </row>
    <row r="11" ht="24" customHeight="1">
      <c r="A11" s="119" t="str">
        <v>Permissions - Permission matrix</v>
      </c>
      <c r="B11" s="119"/>
      <c r="C11" s="119"/>
      <c r="D11" s="119"/>
      <c r="E11" s="119"/>
      <c r="F11" s="119"/>
      <c r="G11" s="119"/>
      <c r="H11" s="119"/>
      <c r="I11" s="119"/>
      <c r="J11" s="119"/>
      <c r="K11" s="119"/>
      <c r="L11" s="119"/>
      <c r="M11" s="119"/>
      <c r="N11" s="119"/>
      <c r="O11" s="150"/>
      <c r="P11" s="124"/>
      <c r="Q11" s="113"/>
      <c r="R11" s="113"/>
      <c r="S11" s="113"/>
      <c r="T11" s="113"/>
      <c r="U11" s="113"/>
      <c r="V11" s="113"/>
      <c r="W11" s="113"/>
      <c r="X11" s="113"/>
      <c r="Y11" s="113"/>
    </row>
    <row r="12" ht="103.19999999999999" customHeight="1">
      <c r="A12" s="121" t="str">
        <v>PERM_IT01</v>
      </c>
      <c r="B12" s="121" t="str">
        <v>Save MeetingCreator capability and apply it after sign-in</v>
      </c>
      <c r="C12" s="121" t="str">
        <v>1. Enable MeetingCreator for the disposable role.
2. Click "Lưu" for that row.
3. Reload the matrix.
4. Sign in again as the assigned user and open "Cuộc họp".</v>
      </c>
      <c r="D12" s="121" t="str">
        <v>1. Capability remains selected after reload.
2. Assigned user receives "Tạo cuộc họp" access in the new session.</v>
      </c>
      <c r="E12" s="121" t="str">
        <v>AdminUsers user in "Vai trò" &gt; "Ma trận phân quyền"; disposable role assigned to a controlled user; second admin unaffected.</v>
      </c>
      <c r="F12" s="121" t="str">
        <v>NotRun</v>
      </c>
      <c r="G12" s="122" t="str"/>
      <c r="H12" s="121" t="str"/>
      <c r="I12" s="121" t="str"/>
      <c r="J12" s="122" t="str"/>
      <c r="K12" s="121" t="str"/>
      <c r="L12" s="121" t="str"/>
      <c r="M12" s="122" t="str"/>
      <c r="N12" s="121" t="str"/>
      <c r="O12" s="123" t="str"/>
      <c r="P12" s="124"/>
      <c r="Q12" s="113"/>
      <c r="R12" s="113"/>
      <c r="S12" s="113"/>
      <c r="T12" s="113"/>
      <c r="U12" s="113"/>
      <c r="V12" s="113"/>
      <c r="W12" s="113"/>
      <c r="X12" s="113"/>
      <c r="Y12" s="113"/>
    </row>
    <row r="13" ht="118.39999999999999" customHeight="1">
      <c r="A13" s="121" t="str">
        <v>PERM_IT02</v>
      </c>
      <c r="B13" s="121" t="str">
        <v>Remove MeetingCreator and verify new-session restrictions</v>
      </c>
      <c r="C13" s="121" t="str">
        <v>1. Clear MeetingCreator and click "Lưu" for the row.
2. Reload.
3. Sign out/in as assigned user; inspect meeting creation and open /mgmt/meetings/new.</v>
      </c>
      <c r="D13" s="121" t="str">
        <v>1. Capability stays removed.
2. Creation action is absent; direct creation page shows restricted/not-found handling.</v>
      </c>
      <c r="E13" s="121" t="str">
        <v>AdminUsers user in "Vai trò" &gt; "Ma trận phân quyền"; disposable role assigned to a controlled user; second admin unaffected. MeetingCreator is initially enabled.</v>
      </c>
      <c r="F13" s="121" t="str">
        <v>NotRun</v>
      </c>
      <c r="G13" s="122" t="str"/>
      <c r="H13" s="121" t="str"/>
      <c r="I13" s="121" t="str"/>
      <c r="J13" s="122" t="str"/>
      <c r="K13" s="121" t="str"/>
      <c r="L13" s="121" t="str"/>
      <c r="M13" s="122" t="str"/>
      <c r="N13" s="121" t="str"/>
      <c r="O13" s="123" t="str"/>
      <c r="P13" s="124"/>
      <c r="Q13" s="113"/>
      <c r="R13" s="113"/>
      <c r="S13" s="113"/>
      <c r="T13" s="113"/>
      <c r="U13" s="113"/>
      <c r="V13" s="113"/>
      <c r="W13" s="113"/>
      <c r="X13" s="113"/>
      <c r="Y13" s="113"/>
    </row>
    <row r="14" ht="103.19999999999999" customHeight="1">
      <c r="A14" s="121" t="str">
        <v>PERM_IT03</v>
      </c>
      <c r="B14" s="121" t="str">
        <v>Discard unsaved checkbox changes</v>
      </c>
      <c r="C14" s="121" t="str">
        <v>1. Record the saved capabilities for the target row.
2. Toggle a capability without saving.
3. Click its "Hoàn tác" control; reload.</v>
      </c>
      <c r="D14" s="121" t="str">
        <v>1. Checkboxes revert to the saved set.
2. Unsaved changes do not affect the assigned user.</v>
      </c>
      <c r="E14" s="121" t="str">
        <v>AdminUsers user in "Vai trò" &gt; "Ma trận phân quyền"; disposable role assigned to a controlled user; second admin unaffected.</v>
      </c>
      <c r="F14" s="121" t="str">
        <v>NotRun</v>
      </c>
      <c r="G14" s="122" t="str"/>
      <c r="H14" s="121" t="str"/>
      <c r="I14" s="121" t="str"/>
      <c r="J14" s="122" t="str"/>
      <c r="K14" s="121" t="str"/>
      <c r="L14" s="121" t="str"/>
      <c r="M14" s="122" t="str"/>
      <c r="N14" s="121" t="str"/>
      <c r="O14" s="123" t="str"/>
      <c r="P14" s="124"/>
      <c r="Q14" s="113"/>
      <c r="R14" s="113"/>
      <c r="S14" s="113"/>
      <c r="T14" s="113"/>
      <c r="U14" s="113"/>
      <c r="V14" s="113"/>
      <c r="W14" s="113"/>
      <c r="X14" s="113"/>
      <c r="Y14" s="113"/>
    </row>
    <row r="15" ht="118.39999999999999" customHeight="1">
      <c r="A15" s="121" t="str">
        <v>PERM_IT04</v>
      </c>
      <c r="B15" s="121" t="str">
        <v>Save one row without saving a different draft</v>
      </c>
      <c r="C15" s="121" t="str">
        <v>1. Toggle a capability in A and a different capability in B.
2. Click "Lưu" for role A only.
3. Reload the page and inspect both rows.</v>
      </c>
      <c r="D15" s="121" t="str">
        <v>1. A has its saved change.
2. B retains its original saved permissions.</v>
      </c>
      <c r="E15" s="121" t="str">
        <v>AdminUsers user in "Vai trò" &gt; "Ma trận phân quyền"; disposable role assigned to a controlled user; second admin unaffected. Two disposable roles A and B exist.</v>
      </c>
      <c r="F15" s="121" t="str">
        <v>NotRun</v>
      </c>
      <c r="G15" s="122" t="str"/>
      <c r="H15" s="121" t="str"/>
      <c r="I15" s="121" t="str"/>
      <c r="J15" s="122" t="str"/>
      <c r="K15" s="121" t="str"/>
      <c r="L15" s="121" t="str"/>
      <c r="M15" s="122" t="str"/>
      <c r="N15" s="121" t="str"/>
      <c r="O15" s="123" t="str"/>
      <c r="P15" s="124"/>
      <c r="Q15" s="113"/>
      <c r="R15" s="113"/>
      <c r="S15" s="113"/>
      <c r="T15" s="113"/>
      <c r="U15" s="113"/>
      <c r="V15" s="113"/>
      <c r="W15" s="113"/>
      <c r="X15" s="113"/>
      <c r="Y15" s="113"/>
    </row>
    <row r="16" ht="118.39999999999999" customHeight="1">
      <c r="A16" s="121" t="str">
        <v>PERM_IT05</v>
      </c>
      <c r="B16" s="121" t="str">
        <v>Protect the final administrator capability</v>
      </c>
      <c r="C16" s="121" t="str">
        <v>1. Open "Ma trận phân quyền".
2. Clear AdminUsers on the final administrative role.
3. Inspect the warning and "Lưu" control; click "Lưu" only if enabled.
4. Reload.</v>
      </c>
      <c r="D16" s="121" t="str">
        <v>1. Application blocks administrative lockout.
2. AdminUsers remains assigned; administrative access is retained.</v>
      </c>
      <c r="E16" s="121" t="str">
        <v>Isolated QA environment; current role is the only role carrying AdminUsers; recovery administrator arranged outside this test.</v>
      </c>
      <c r="F16" s="121" t="str">
        <v>NotRun</v>
      </c>
      <c r="G16" s="122" t="str"/>
      <c r="H16" s="121" t="str"/>
      <c r="I16" s="121" t="str"/>
      <c r="J16" s="122" t="str"/>
      <c r="K16" s="121" t="str"/>
      <c r="L16" s="121" t="str"/>
      <c r="M16" s="122" t="str"/>
      <c r="N16" s="121" t="str"/>
      <c r="O16" s="123" t="str"/>
      <c r="P16" s="124"/>
      <c r="Q16" s="113"/>
      <c r="R16" s="113"/>
      <c r="S16" s="113"/>
      <c r="T16" s="113"/>
      <c r="U16" s="113"/>
      <c r="V16" s="113"/>
      <c r="W16" s="113"/>
      <c r="X16" s="113"/>
      <c r="Y16" s="113"/>
    </row>
    <row r="17" ht="148.79999999999998" customHeight="1">
      <c r="A17" s="121" t="str">
        <v>PERM_IT06</v>
      </c>
      <c r="B17" s="121" t="str">
        <v>Self-role change prompts sign-in to apply</v>
      </c>
      <c r="C17" s="121" t="str">
        <v>1. Change a harmless capability on the current role and click "Lưu".
2. Read the warning.
3. Click "Đăng nhập lại" and sign in again.</v>
      </c>
      <c r="D17" s="121" t="str">
        <v>1. Page explains that the current session must be renewed.
2. New session shows the saved capability set.</v>
      </c>
      <c r="E17" s="121" t="str">
        <v>AdminUsers user in "Vai trò" &gt; "Ma trận phân quyền"; disposable role assigned to a controlled user; second admin unaffected. Disposable current-admin role can be changed without removing the last administrator.</v>
      </c>
      <c r="F17" s="121" t="str">
        <v>NotRun</v>
      </c>
      <c r="G17" s="122" t="str"/>
      <c r="H17" s="121" t="str"/>
      <c r="I17" s="121" t="str"/>
      <c r="J17" s="122" t="str"/>
      <c r="K17" s="121" t="str"/>
      <c r="L17" s="121" t="str"/>
      <c r="M17" s="122" t="str"/>
      <c r="N17" s="121" t="str"/>
      <c r="O17" s="123" t="str"/>
      <c r="P17" s="124"/>
      <c r="Q17" s="113"/>
      <c r="R17" s="113"/>
      <c r="S17" s="113"/>
      <c r="T17" s="113"/>
      <c r="U17" s="113"/>
      <c r="V17" s="113"/>
      <c r="W17" s="113"/>
      <c r="X17" s="113"/>
      <c r="Y17" s="113"/>
    </row>
    <row r="18" ht="24" customHeight="1">
      <c r="A18" s="119" t="str">
        <v>Permissions - Permission integration</v>
      </c>
      <c r="B18" s="119"/>
      <c r="C18" s="119"/>
      <c r="D18" s="119"/>
      <c r="E18" s="119"/>
      <c r="F18" s="119"/>
      <c r="G18" s="119"/>
      <c r="H18" s="119"/>
      <c r="I18" s="119"/>
      <c r="J18" s="119"/>
      <c r="K18" s="119"/>
      <c r="L18" s="119"/>
      <c r="M18" s="119"/>
      <c r="N18" s="119"/>
      <c r="O18" s="150"/>
      <c r="P18" s="124"/>
      <c r="Q18" s="113"/>
      <c r="R18" s="113"/>
      <c r="S18" s="113"/>
      <c r="T18" s="113"/>
      <c r="U18" s="113"/>
      <c r="V18" s="113"/>
      <c r="W18" s="113"/>
      <c r="X18" s="113"/>
      <c r="Y18" s="113"/>
    </row>
    <row r="19" ht="95" customHeight="1">
      <c r="A19" s="121" t="str">
        <v>PERM_IT07</v>
      </c>
      <c r="B19" s="121" t="str">
        <v>Assigned user cannot access administration without AdminUsers</v>
      </c>
      <c r="C19" s="121" t="str">
        <v>1. Sign in as that user.
2. Inspect sidebar.
3. Open /mgmt/admin/users and /mgmt/admin/roles directly.</v>
      </c>
      <c r="D19" s="121" t="str">
        <v>1. Administration links are absent.
2. Direct restricted routes show not-found handling and no user/role records.</v>
      </c>
      <c r="E19" s="121" t="str">
        <v>Controlled user role lacks AdminUsers; supplied login credentials.</v>
      </c>
      <c r="F19" s="121" t="str">
        <v>NotRun</v>
      </c>
      <c r="G19" s="122" t="str"/>
      <c r="H19" s="121" t="str"/>
      <c r="I19" s="121" t="str"/>
      <c r="J19" s="122" t="str"/>
      <c r="K19" s="121" t="str"/>
      <c r="L19" s="121" t="str"/>
      <c r="M19" s="122" t="str"/>
      <c r="N19" s="121" t="str"/>
      <c r="O19" s="123" t="str"/>
      <c r="P19" s="124"/>
      <c r="Q19" s="113"/>
      <c r="R19" s="113"/>
      <c r="S19" s="113"/>
      <c r="T19" s="113"/>
      <c r="U19" s="113"/>
      <c r="V19" s="113"/>
      <c r="W19" s="113"/>
      <c r="X19" s="113"/>
      <c r="Y19" s="113"/>
    </row>
  </sheetData>
  <mergeCells count="5">
    <mergeCell ref="B2:E2"/>
    <mergeCell ref="B3:E3"/>
    <mergeCell ref="B4:E4"/>
    <mergeCell ref="A11:O11"/>
    <mergeCell ref="A18:O18"/>
  </mergeCells>
  <dataValidations count="3">
    <dataValidation type="list" allowBlank="1" showErrorMessage="1" errorTitle="Select a test status" error="Use the status dropdown." sqref="F12 F13 F14 F15 F16 F17 F19">
      <formula1>"NotRun,Passed,Failed,Blocked,Skipped"</formula1>
    </dataValidation>
    <dataValidation type="list" allowBlank="1" showErrorMessage="1" errorTitle="Select a test status" error="Use the status dropdown." sqref="I12 I13 I14 I15 I16 I17 I19">
      <formula1>"NotRun,Passed,Failed,Blocked,Skipped"</formula1>
    </dataValidation>
    <dataValidation type="list" allowBlank="1" showErrorMessage="1" errorTitle="Select a test status" error="Use the status dropdown." sqref="L12 L13 L14 L15 L16 L17 L19">
      <formula1>"NotRun,Passed,Failed,Blocked,Skipped"</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topLeftCell="A1" zoomScale="70" showGridLines="0">
      <pane xSplit="2" ySplit="10" topLeftCell="C11" activePane="bottomRight" state="frozen"/>
      <selection pane="bottomRight" activeCell="A1" sqref="A1"/>
    </sheetView>
  </sheetViews>
  <sheetFormatPr customHeight="1" defaultColWidth="12.63" defaultRowHeight="15.0" outlineLevelCol="1" outlineLevelRow="1"/>
  <cols>
    <col customWidth="1" min="1" max="1" width="17.0"/>
    <col customWidth="1" min="2" max="2" width="34.5"/>
    <col customWidth="1" min="3" max="3" width="34.13"/>
    <col customWidth="1" min="4" max="4" width="43.75"/>
    <col customWidth="1" min="5" max="5" width="28.38"/>
    <col customWidth="1" min="6" max="6" width="9.38"/>
    <col customWidth="1" min="7" max="7" width="10.38" outlineLevel="1"/>
    <col customWidth="1" min="8" max="9" width="9.38"/>
    <col customWidth="1" min="10" max="10" width="10.38" outlineLevel="1"/>
    <col customWidth="1" min="11" max="12" width="9.38"/>
    <col customWidth="1" min="13" max="13" width="10.38" outlineLevel="1"/>
    <col customWidth="1" min="14" max="14" width="9.38"/>
    <col customWidth="1" min="15" max="15" width="24"/>
    <col customWidth="1" hidden="1" min="16" max="16" width="7.63"/>
    <col customWidth="1" min="17" max="25" width="9.0"/>
  </cols>
  <sheetData>
    <row r="1" ht="12.75" customHeight="1">
      <c r="A1" s="108"/>
      <c r="B1" s="108"/>
      <c r="C1" s="108"/>
      <c r="D1" s="108"/>
      <c r="E1" s="108"/>
      <c r="F1" s="108"/>
      <c r="G1" s="108"/>
      <c r="H1" s="108"/>
      <c r="I1" s="108"/>
      <c r="J1" s="108"/>
      <c r="K1" s="108"/>
      <c r="L1" s="108"/>
      <c r="M1" s="108"/>
      <c r="N1" s="108"/>
      <c r="O1" s="108"/>
      <c r="P1" s="45"/>
      <c r="Q1" s="45"/>
      <c r="R1" s="45"/>
      <c r="S1" s="45"/>
      <c r="T1" s="45"/>
      <c r="U1" s="45"/>
      <c r="V1" s="45"/>
      <c r="W1" s="45"/>
      <c r="X1" s="45"/>
      <c r="Y1" s="109"/>
    </row>
    <row r="2" ht="15.0" customHeight="1">
      <c r="A2" s="110" t="str">
        <v>Feature</v>
      </c>
      <c r="B2" s="111" t="str">
        <v>Create Meeting</v>
      </c>
      <c r="C2" s="5"/>
      <c r="D2" s="5"/>
      <c r="E2" s="112"/>
      <c r="F2" s="108"/>
      <c r="G2" s="108"/>
      <c r="H2" s="108"/>
      <c r="I2" s="108"/>
      <c r="J2" s="108"/>
      <c r="K2" s="108"/>
      <c r="L2" s="108"/>
      <c r="M2" s="108"/>
      <c r="N2" s="108"/>
      <c r="O2" s="108"/>
      <c r="P2" s="113" t="str">
        <v>Passed</v>
      </c>
      <c r="Q2" s="113"/>
      <c r="R2" s="113"/>
      <c r="S2" s="113"/>
      <c r="T2" s="113"/>
      <c r="U2" s="113"/>
      <c r="V2" s="113"/>
      <c r="W2" s="113"/>
      <c r="X2" s="113"/>
      <c r="Y2" s="114"/>
    </row>
    <row r="3" ht="52" customHeight="1">
      <c r="A3" s="110" t="str">
        <v>Test requirement</v>
      </c>
      <c r="B3" s="111" t="str">
        <v>Manual integration: perform the browser steps and compare saved data or recipient screens. Check prerequisites before execution.</v>
      </c>
      <c r="C3" s="5"/>
      <c r="D3" s="5"/>
      <c r="E3" s="112"/>
      <c r="F3" s="108"/>
      <c r="G3" s="108"/>
      <c r="H3" s="108"/>
      <c r="I3" s="108"/>
      <c r="J3" s="108"/>
      <c r="K3" s="108"/>
      <c r="L3" s="108"/>
      <c r="M3" s="108"/>
      <c r="N3" s="108"/>
      <c r="O3" s="108"/>
      <c r="P3" s="113" t="str">
        <v>Failed</v>
      </c>
      <c r="Q3" s="113"/>
      <c r="R3" s="113"/>
      <c r="S3" s="113"/>
      <c r="T3" s="113"/>
      <c r="U3" s="113"/>
      <c r="V3" s="113"/>
      <c r="W3" s="113"/>
      <c r="X3" s="113"/>
      <c r="Y3" s="114"/>
    </row>
    <row r="4" ht="18.0" customHeight="1">
      <c r="A4" s="110" t="str">
        <v>Number of TCs</v>
      </c>
      <c r="B4" s="111" t="n">
        <v>14</v>
      </c>
      <c r="C4" s="5"/>
      <c r="D4" s="5"/>
      <c r="E4" s="112"/>
      <c r="F4" s="108"/>
      <c r="G4" s="108"/>
      <c r="H4" s="108"/>
      <c r="I4" s="108"/>
      <c r="J4" s="108"/>
      <c r="K4" s="108"/>
      <c r="L4" s="108"/>
      <c r="M4" s="108"/>
      <c r="N4" s="108"/>
      <c r="O4" s="108"/>
      <c r="P4" s="113" t="str">
        <v>NotRun</v>
      </c>
      <c r="Q4" s="113"/>
      <c r="R4" s="113"/>
      <c r="S4" s="113"/>
      <c r="T4" s="113"/>
      <c r="U4" s="113"/>
      <c r="V4" s="113"/>
      <c r="W4" s="113"/>
      <c r="X4" s="113"/>
      <c r="Y4" s="114"/>
    </row>
    <row r="5" ht="19.5" customHeight="1">
      <c r="A5" s="115" t="str">
        <v>Testing Round</v>
      </c>
      <c r="B5" s="115" t="str">
        <v>Passed</v>
      </c>
      <c r="C5" s="115" t="str">
        <v>Failed</v>
      </c>
      <c r="D5" s="115" t="str">
        <v>Pending</v>
      </c>
      <c r="E5" s="115" t="str">
        <v>N/A</v>
      </c>
      <c r="F5" s="108"/>
      <c r="G5" s="108"/>
      <c r="H5" s="108"/>
      <c r="I5" s="108"/>
      <c r="J5" s="108"/>
      <c r="K5" s="108"/>
      <c r="L5" s="108"/>
      <c r="M5" s="108"/>
      <c r="N5" s="108"/>
      <c r="O5" s="108"/>
      <c r="P5" s="113" t="str">
        <v>Skipped</v>
      </c>
      <c r="Q5" s="113"/>
      <c r="R5" s="113"/>
      <c r="S5" s="113"/>
      <c r="T5" s="113"/>
      <c r="U5" s="113"/>
      <c r="V5" s="113"/>
      <c r="W5" s="113"/>
      <c r="X5" s="113"/>
      <c r="Y5" s="114"/>
    </row>
    <row r="6" ht="15.0" customHeight="1">
      <c r="A6" s="116" t="str">
        <v>Round 1</v>
      </c>
      <c r="B6" s="115" t="n">
        <f>COUNTIF(F12:F28,"Passed")</f>
        <v>0</v>
      </c>
      <c r="C6" s="115" t="n">
        <f>COUNTIF(F12:F28,"Failed")</f>
        <v>0</v>
      </c>
      <c r="D6" s="115" t="n">
        <f>B4-B6-C6-E6</f>
        <v>14</v>
      </c>
      <c r="E6" s="115" t="n">
        <f>COUNTIF(F12:F28,"Skipped")</f>
        <v>0</v>
      </c>
      <c r="F6" s="108"/>
      <c r="G6" s="108"/>
      <c r="H6" s="108"/>
      <c r="I6" s="108"/>
      <c r="J6" s="108"/>
      <c r="K6" s="108"/>
      <c r="L6" s="108"/>
      <c r="M6" s="108"/>
      <c r="N6" s="108"/>
      <c r="O6" s="108"/>
      <c r="P6" s="113"/>
      <c r="Q6" s="113"/>
      <c r="R6" s="113"/>
      <c r="S6" s="113"/>
      <c r="T6" s="113"/>
      <c r="U6" s="113"/>
      <c r="V6" s="113"/>
      <c r="W6" s="113"/>
      <c r="X6" s="113"/>
      <c r="Y6" s="114"/>
    </row>
    <row r="7" ht="15.0" customHeight="1">
      <c r="A7" s="116" t="str">
        <v>Round 2</v>
      </c>
      <c r="B7" s="115" t="n">
        <f>COUNTIF(I12:I28,"Passed")</f>
        <v>0</v>
      </c>
      <c r="C7" s="115" t="n">
        <f>COUNTIF(I12:I28,"Failed")</f>
        <v>0</v>
      </c>
      <c r="D7" s="115" t="n">
        <f>B4-B7-C7-E7</f>
        <v>14</v>
      </c>
      <c r="E7" s="115" t="n">
        <f>COUNTIF(I12:I28,"Skipped")</f>
        <v>0</v>
      </c>
      <c r="F7" s="108"/>
      <c r="G7" s="108"/>
      <c r="H7" s="108"/>
      <c r="I7" s="108"/>
      <c r="J7" s="108"/>
      <c r="K7" s="108"/>
      <c r="L7" s="108"/>
      <c r="M7" s="108"/>
      <c r="N7" s="108"/>
      <c r="O7" s="108"/>
      <c r="P7" s="113"/>
      <c r="Q7" s="113"/>
      <c r="R7" s="113"/>
      <c r="S7" s="113"/>
      <c r="T7" s="113"/>
      <c r="U7" s="113"/>
      <c r="V7" s="113"/>
      <c r="W7" s="113"/>
      <c r="X7" s="113"/>
      <c r="Y7" s="114"/>
    </row>
    <row r="8" ht="15.0" customHeight="1">
      <c r="A8" s="116" t="str">
        <v>Round 3</v>
      </c>
      <c r="B8" s="115" t="n">
        <f>COUNTIF(L12:L28,"Passed")</f>
        <v>0</v>
      </c>
      <c r="C8" s="115" t="n">
        <f>COUNTIF(L12:L28,"Failed")</f>
        <v>0</v>
      </c>
      <c r="D8" s="115" t="n">
        <f>B4-B8-C8-E8</f>
        <v>14</v>
      </c>
      <c r="E8" s="115" t="n">
        <f>COUNTIF(L12:L28,"Skipped")</f>
        <v>0</v>
      </c>
      <c r="F8" s="108"/>
      <c r="G8" s="108"/>
      <c r="H8" s="108"/>
      <c r="I8" s="108"/>
      <c r="J8" s="108"/>
      <c r="K8" s="108"/>
      <c r="L8" s="108"/>
      <c r="M8" s="108"/>
      <c r="N8" s="108"/>
      <c r="O8" s="108"/>
      <c r="P8" s="113"/>
      <c r="Q8" s="113"/>
      <c r="R8" s="113"/>
      <c r="S8" s="113"/>
      <c r="T8" s="113"/>
      <c r="U8" s="113"/>
      <c r="V8" s="113"/>
      <c r="W8" s="113"/>
      <c r="X8" s="113"/>
      <c r="Y8" s="114"/>
    </row>
    <row r="9" ht="15.0" customHeight="1">
      <c r="A9" s="108"/>
      <c r="B9" s="108"/>
      <c r="C9" s="108"/>
      <c r="D9" s="108"/>
      <c r="E9" s="108"/>
      <c r="F9" s="108"/>
      <c r="G9" s="108"/>
      <c r="H9" s="108"/>
      <c r="I9" s="108"/>
      <c r="J9" s="108"/>
      <c r="K9" s="108"/>
      <c r="L9" s="108"/>
      <c r="M9" s="108"/>
      <c r="N9" s="108"/>
      <c r="O9" s="108"/>
      <c r="P9" s="113"/>
      <c r="Q9" s="113"/>
      <c r="R9" s="113"/>
      <c r="S9" s="113"/>
      <c r="T9" s="113"/>
      <c r="U9" s="113"/>
      <c r="V9" s="113"/>
      <c r="W9" s="113"/>
      <c r="X9" s="113"/>
      <c r="Y9" s="114"/>
    </row>
    <row r="10" ht="42" customHeight="1">
      <c r="A10" s="117" t="str">
        <v>Test Case ID</v>
      </c>
      <c r="B10" s="117" t="str">
        <v>Test Case Description</v>
      </c>
      <c r="C10" s="117" t="str">
        <v>Test Case Procedure</v>
      </c>
      <c r="D10" s="117" t="str">
        <v>Expected Results</v>
      </c>
      <c r="E10" s="117" t="str">
        <v>Pre-conditions</v>
      </c>
      <c r="F10" s="117" t="str">
        <v>Round 1</v>
      </c>
      <c r="G10" s="117" t="str">
        <v>Test date</v>
      </c>
      <c r="H10" s="117" t="str">
        <v>Tester</v>
      </c>
      <c r="I10" s="117" t="str">
        <v>Round 2</v>
      </c>
      <c r="J10" s="117" t="str">
        <v>Test date</v>
      </c>
      <c r="K10" s="117" t="str">
        <v>Tester</v>
      </c>
      <c r="L10" s="117" t="str">
        <v>Round 3</v>
      </c>
      <c r="M10" s="117" t="str">
        <v>Test date</v>
      </c>
      <c r="N10" s="117" t="str">
        <v>Tester</v>
      </c>
      <c r="O10" s="117" t="str">
        <v>Actual result / Evidence / Defect</v>
      </c>
      <c r="P10" s="118"/>
      <c r="Q10" s="113"/>
      <c r="R10" s="113"/>
      <c r="S10" s="113"/>
      <c r="T10" s="113"/>
      <c r="U10" s="113"/>
      <c r="V10" s="113"/>
      <c r="W10" s="113"/>
      <c r="X10" s="113"/>
      <c r="Y10" s="113"/>
    </row>
    <row r="11" ht="24" customHeight="1">
      <c r="A11" s="119" t="str">
        <v>Create Meeting - Create draft</v>
      </c>
      <c r="B11" s="119"/>
      <c r="C11" s="119"/>
      <c r="D11" s="119"/>
      <c r="E11" s="119"/>
      <c r="F11" s="119"/>
      <c r="G11" s="119"/>
      <c r="H11" s="119"/>
      <c r="I11" s="119"/>
      <c r="J11" s="119"/>
      <c r="K11" s="119"/>
      <c r="L11" s="119"/>
      <c r="M11" s="119"/>
      <c r="N11" s="119"/>
      <c r="O11" s="150"/>
      <c r="P11" s="124"/>
      <c r="Q11" s="113"/>
      <c r="R11" s="113"/>
      <c r="S11" s="113"/>
      <c r="T11" s="113"/>
      <c r="U11" s="113"/>
      <c r="V11" s="113"/>
      <c r="W11" s="113"/>
      <c r="X11" s="113"/>
      <c r="Y11" s="113"/>
    </row>
    <row r="12" ht="133.6" customHeight="1">
      <c r="A12" s="121" t="str">
        <v>CREATE_IT01</v>
      </c>
      <c r="B12" s="121" t="str">
        <v>Create an in-person Draft with valid data</v>
      </c>
      <c r="C12" s="121" t="str">
        <v>1. Enter title, future date, start 09:00 and end 10:00.
2. Keep "Trực tiếp"; set location Room QA and description Manual review.
3. Click "Tạo cuộc họp".
4. Reload the details and find the title in the list.</v>
      </c>
      <c r="D12" s="121" t="str">
        <v>1. One Nháp meeting is created with the entered information.
2. Details and list agree after reload.</v>
      </c>
      <c r="E12" s="121" t="str">
        <v>Organizer with MeetingCreator; open "Cuộc họp" &gt; "Tạo cuộc họp"; use a future day at 09:00-10:00 and unique title Manual Integration Meeting.</v>
      </c>
      <c r="F12" s="121" t="str">
        <v>NotRun</v>
      </c>
      <c r="G12" s="122" t="str"/>
      <c r="H12" s="121" t="str"/>
      <c r="I12" s="121" t="str"/>
      <c r="J12" s="122" t="str"/>
      <c r="K12" s="121" t="str"/>
      <c r="L12" s="121" t="str"/>
      <c r="M12" s="122" t="str"/>
      <c r="N12" s="121" t="str"/>
      <c r="O12" s="123" t="str"/>
      <c r="P12" s="124"/>
      <c r="Q12" s="113"/>
      <c r="R12" s="113"/>
      <c r="S12" s="113"/>
      <c r="T12" s="113"/>
      <c r="U12" s="113"/>
      <c r="V12" s="113"/>
      <c r="W12" s="113"/>
      <c r="X12" s="113"/>
      <c r="Y12" s="113"/>
    </row>
    <row r="13" ht="103.19999999999999" customHeight="1">
      <c r="A13" s="121" t="str">
        <v>CREATE_IT02</v>
      </c>
      <c r="B13" s="121" t="str">
        <v>Missing title prevents creation</v>
      </c>
      <c r="C13" s="121" t="str">
        <v>1. Leave "Tên cuộc họp" empty; fill valid date and times.
2. Click "Tạo cuộc họp".</v>
      </c>
      <c r="D13" s="121" t="str">
        <v>1. Title-required error is shown and first invalid field is focused.
2. No meeting is created.</v>
      </c>
      <c r="E13" s="121" t="str">
        <v>Organizer with MeetingCreator; open "Cuộc họp" &gt; "Tạo cuộc họp"; use a future day at 09:00-10:00 and unique title Manual Integration Meeting.</v>
      </c>
      <c r="F13" s="121" t="str">
        <v>NotRun</v>
      </c>
      <c r="G13" s="122" t="str"/>
      <c r="H13" s="121" t="str"/>
      <c r="I13" s="121" t="str"/>
      <c r="J13" s="122" t="str"/>
      <c r="K13" s="121" t="str"/>
      <c r="L13" s="121" t="str"/>
      <c r="M13" s="122" t="str"/>
      <c r="N13" s="121" t="str"/>
      <c r="O13" s="123" t="str"/>
      <c r="P13" s="124"/>
      <c r="Q13" s="113"/>
      <c r="R13" s="113"/>
      <c r="S13" s="113"/>
      <c r="T13" s="113"/>
      <c r="U13" s="113"/>
      <c r="V13" s="113"/>
      <c r="W13" s="113"/>
      <c r="X13" s="113"/>
      <c r="Y13" s="113"/>
    </row>
    <row r="14" ht="103.19999999999999" customHeight="1">
      <c r="A14" s="121" t="str">
        <v>CREATE_IT03</v>
      </c>
      <c r="B14" s="121" t="str">
        <v>Whitespace-only title is rejected</v>
      </c>
      <c r="C14" s="121" t="str">
        <v>1. Set title to spaces; fill other required fields validly.
2. Click "Tạo cuộc họp".</v>
      </c>
      <c r="D14" s="121" t="str">
        <v>1. Whitespace title is treated as empty.
2. Form remains open and no meeting is created.</v>
      </c>
      <c r="E14" s="121" t="str">
        <v>Organizer with MeetingCreator; open "Cuộc họp" &gt; "Tạo cuộc họp"; use a future day at 09:00-10:00 and unique title Manual Integration Meeting.</v>
      </c>
      <c r="F14" s="121" t="str">
        <v>NotRun</v>
      </c>
      <c r="G14" s="122" t="str"/>
      <c r="H14" s="121" t="str"/>
      <c r="I14" s="121" t="str"/>
      <c r="J14" s="122" t="str"/>
      <c r="K14" s="121" t="str"/>
      <c r="L14" s="121" t="str"/>
      <c r="M14" s="122" t="str"/>
      <c r="N14" s="121" t="str"/>
      <c r="O14" s="123" t="str"/>
      <c r="P14" s="124"/>
      <c r="Q14" s="113"/>
      <c r="R14" s="113"/>
      <c r="S14" s="113"/>
      <c r="T14" s="113"/>
      <c r="U14" s="113"/>
      <c r="V14" s="113"/>
      <c r="W14" s="113"/>
      <c r="X14" s="113"/>
      <c r="Y14" s="113"/>
    </row>
    <row r="15" ht="103.19999999999999" customHeight="1">
      <c r="A15" s="121" t="str">
        <v>CREATE_IT04</v>
      </c>
      <c r="B15" s="121" t="str">
        <v>Missing date prevents creation</v>
      </c>
      <c r="C15" s="121" t="str">
        <v>1. Enter title and times; leave meeting date empty.
2. Click "Tạo cuộc họp".</v>
      </c>
      <c r="D15" s="121" t="str">
        <v>1. Date-required message appears.
2. No meeting is created.</v>
      </c>
      <c r="E15" s="121" t="str">
        <v>Organizer with MeetingCreator; open "Cuộc họp" &gt; "Tạo cuộc họp"; use a future day at 09:00-10:00 and unique title Manual Integration Meeting.</v>
      </c>
      <c r="F15" s="121" t="str">
        <v>NotRun</v>
      </c>
      <c r="G15" s="122" t="str"/>
      <c r="H15" s="121" t="str"/>
      <c r="I15" s="121" t="str"/>
      <c r="J15" s="122" t="str"/>
      <c r="K15" s="121" t="str"/>
      <c r="L15" s="121" t="str"/>
      <c r="M15" s="122" t="str"/>
      <c r="N15" s="121" t="str"/>
      <c r="O15" s="123" t="str"/>
      <c r="P15" s="124"/>
      <c r="Q15" s="113"/>
      <c r="R15" s="113"/>
      <c r="S15" s="113"/>
      <c r="T15" s="113"/>
      <c r="U15" s="113"/>
      <c r="V15" s="113"/>
      <c r="W15" s="113"/>
      <c r="X15" s="113"/>
      <c r="Y15" s="113"/>
    </row>
    <row r="16" ht="103.19999999999999" customHeight="1">
      <c r="A16" s="121" t="str">
        <v>CREATE_IT05</v>
      </c>
      <c r="B16" s="121" t="str">
        <v>Missing start time prevents creation</v>
      </c>
      <c r="C16" s="121" t="str">
        <v>1. Enter title, future date and end time; leave start blank.
2. Click "Tạo cuộc họp".</v>
      </c>
      <c r="D16" s="121" t="str">
        <v>1. Start-time validation appears.
2. No meeting is created.</v>
      </c>
      <c r="E16" s="121" t="str">
        <v>Organizer with MeetingCreator; open "Cuộc họp" &gt; "Tạo cuộc họp"; use a future day at 09:00-10:00 and unique title Manual Integration Meeting.</v>
      </c>
      <c r="F16" s="121" t="str">
        <v>NotRun</v>
      </c>
      <c r="G16" s="122" t="str"/>
      <c r="H16" s="121" t="str"/>
      <c r="I16" s="121" t="str"/>
      <c r="J16" s="122" t="str"/>
      <c r="K16" s="121" t="str"/>
      <c r="L16" s="121" t="str"/>
      <c r="M16" s="122" t="str"/>
      <c r="N16" s="121" t="str"/>
      <c r="O16" s="123" t="str"/>
      <c r="P16" s="124"/>
      <c r="Q16" s="113"/>
      <c r="R16" s="113"/>
      <c r="S16" s="113"/>
      <c r="T16" s="113"/>
      <c r="U16" s="113"/>
      <c r="V16" s="113"/>
      <c r="W16" s="113"/>
      <c r="X16" s="113"/>
      <c r="Y16" s="113"/>
    </row>
    <row r="17" ht="103.19999999999999" customHeight="1">
      <c r="A17" s="121" t="str">
        <v>CREATE_IT06</v>
      </c>
      <c r="B17" s="121" t="str">
        <v>Missing end time prevents creation</v>
      </c>
      <c r="C17" s="121" t="str">
        <v>1. Enter title, future date and start time; leave end blank.
2. Click "Tạo cuộc họp".</v>
      </c>
      <c r="D17" s="121" t="str">
        <v>1. End-time validation appears.
2. No meeting is created.</v>
      </c>
      <c r="E17" s="121" t="str">
        <v>Organizer with MeetingCreator; open "Cuộc họp" &gt; "Tạo cuộc họp"; use a future day at 09:00-10:00 and unique title Manual Integration Meeting.</v>
      </c>
      <c r="F17" s="121" t="str">
        <v>NotRun</v>
      </c>
      <c r="G17" s="122" t="str"/>
      <c r="H17" s="121" t="str"/>
      <c r="I17" s="121" t="str"/>
      <c r="J17" s="122" t="str"/>
      <c r="K17" s="121" t="str"/>
      <c r="L17" s="121" t="str"/>
      <c r="M17" s="122" t="str"/>
      <c r="N17" s="121" t="str"/>
      <c r="O17" s="123" t="str"/>
      <c r="P17" s="124"/>
      <c r="Q17" s="113"/>
      <c r="R17" s="113"/>
      <c r="S17" s="113"/>
      <c r="T17" s="113"/>
      <c r="U17" s="113"/>
      <c r="V17" s="113"/>
      <c r="W17" s="113"/>
      <c r="X17" s="113"/>
      <c r="Y17" s="113"/>
    </row>
    <row r="18" ht="24" customHeight="1">
      <c r="A18" s="119" t="str">
        <v>Create Meeting - Schedule validation</v>
      </c>
      <c r="B18" s="119"/>
      <c r="C18" s="119"/>
      <c r="D18" s="119"/>
      <c r="E18" s="119"/>
      <c r="F18" s="119"/>
      <c r="G18" s="119"/>
      <c r="H18" s="119"/>
      <c r="I18" s="119"/>
      <c r="J18" s="119"/>
      <c r="K18" s="119"/>
      <c r="L18" s="119"/>
      <c r="M18" s="119"/>
      <c r="N18" s="119"/>
      <c r="O18" s="150"/>
      <c r="P18" s="124"/>
      <c r="Q18" s="113"/>
      <c r="R18" s="113"/>
      <c r="S18" s="113"/>
      <c r="T18" s="113"/>
      <c r="U18" s="113"/>
      <c r="V18" s="113"/>
      <c r="W18" s="113"/>
      <c r="X18" s="113"/>
      <c r="Y18" s="113"/>
    </row>
    <row r="19" ht="103.19999999999999" customHeight="1">
      <c r="A19" s="121" t="str">
        <v>CREATE_IT07</v>
      </c>
      <c r="B19" s="121" t="str">
        <v>End equal to start is rejected</v>
      </c>
      <c r="C19" s="121" t="str">
        <v>1. Enter valid title and future date.
2. Set both times to 09:00 and click "Tạo cuộc họp".</v>
      </c>
      <c r="D19" s="121" t="str">
        <v>1. End must be after start message appears.
2. No meeting is created.</v>
      </c>
      <c r="E19" s="121" t="str">
        <v>Organizer with MeetingCreator; open "Cuộc họp" &gt; "Tạo cuộc họp"; use a future day at 09:00-10:00 and unique title Manual Integration Meeting.</v>
      </c>
      <c r="F19" s="121" t="str">
        <v>NotRun</v>
      </c>
      <c r="G19" s="122" t="str"/>
      <c r="H19" s="121" t="str"/>
      <c r="I19" s="121" t="str"/>
      <c r="J19" s="122" t="str"/>
      <c r="K19" s="121" t="str"/>
      <c r="L19" s="121" t="str"/>
      <c r="M19" s="122" t="str"/>
      <c r="N19" s="121" t="str"/>
      <c r="O19" s="123" t="str"/>
      <c r="P19" s="124"/>
      <c r="Q19" s="113"/>
      <c r="R19" s="113"/>
      <c r="S19" s="113"/>
      <c r="T19" s="113"/>
      <c r="U19" s="113"/>
      <c r="V19" s="113"/>
      <c r="W19" s="113"/>
      <c r="X19" s="113"/>
      <c r="Y19" s="113"/>
    </row>
    <row r="20" ht="103.19999999999999" customHeight="1">
      <c r="A20" s="121" t="str">
        <v>CREATE_IT08</v>
      </c>
      <c r="B20" s="121" t="str">
        <v>End before start is rejected</v>
      </c>
      <c r="C20" s="121" t="str">
        <v>1. Enter valid title and future date.
2. Set start 10:00 and end 09:00.
3. Click "Tạo cuộc họp".</v>
      </c>
      <c r="D20" s="121" t="str">
        <v>1. Invalid time order is reported.
2. No meeting is created until the schedule is corrected.</v>
      </c>
      <c r="E20" s="121" t="str">
        <v>Organizer with MeetingCreator; open "Cuộc họp" &gt; "Tạo cuộc họp"; use a future day at 09:00-10:00 and unique title Manual Integration Meeting.</v>
      </c>
      <c r="F20" s="121" t="str">
        <v>NotRun</v>
      </c>
      <c r="G20" s="122" t="str"/>
      <c r="H20" s="121" t="str"/>
      <c r="I20" s="121" t="str"/>
      <c r="J20" s="122" t="str"/>
      <c r="K20" s="121" t="str"/>
      <c r="L20" s="121" t="str"/>
      <c r="M20" s="122" t="str"/>
      <c r="N20" s="121" t="str"/>
      <c r="O20" s="123" t="str"/>
      <c r="P20" s="124"/>
      <c r="Q20" s="113"/>
      <c r="R20" s="113"/>
      <c r="S20" s="113"/>
      <c r="T20" s="113"/>
      <c r="U20" s="113"/>
      <c r="V20" s="113"/>
      <c r="W20" s="113"/>
      <c r="X20" s="113"/>
      <c r="Y20" s="113"/>
    </row>
    <row r="21" ht="103.19999999999999" customHeight="1">
      <c r="A21" s="121" t="str">
        <v>CREATE_IT09</v>
      </c>
      <c r="B21" s="121" t="str">
        <v>Past start time is rejected</v>
      </c>
      <c r="C21" s="121" t="str">
        <v>1. Enter title; choose yesterday and valid increasing times.
2. Click "Tạo cuộc họp".</v>
      </c>
      <c r="D21" s="121" t="str">
        <v>1. Start-in-future validation appears.
2. No meeting is created using the past schedule.</v>
      </c>
      <c r="E21" s="121" t="str">
        <v>Organizer with MeetingCreator; open "Cuộc họp" &gt; "Tạo cuộc họp"; use a future day at 09:00-10:00 and unique title Manual Integration Meeting.</v>
      </c>
      <c r="F21" s="121" t="str">
        <v>NotRun</v>
      </c>
      <c r="G21" s="122" t="str"/>
      <c r="H21" s="121" t="str"/>
      <c r="I21" s="121" t="str"/>
      <c r="J21" s="122" t="str"/>
      <c r="K21" s="121" t="str"/>
      <c r="L21" s="121" t="str"/>
      <c r="M21" s="122" t="str"/>
      <c r="N21" s="121" t="str"/>
      <c r="O21" s="123" t="str"/>
      <c r="P21" s="124"/>
      <c r="Q21" s="113"/>
      <c r="R21" s="113"/>
      <c r="S21" s="113"/>
      <c r="T21" s="113"/>
      <c r="U21" s="113"/>
      <c r="V21" s="113"/>
      <c r="W21" s="113"/>
      <c r="X21" s="113"/>
      <c r="Y21" s="113"/>
    </row>
    <row r="22" ht="24" customHeight="1">
      <c r="A22" s="119" t="str">
        <v>Create Meeting - Meeting modes</v>
      </c>
      <c r="B22" s="119"/>
      <c r="C22" s="119"/>
      <c r="D22" s="119"/>
      <c r="E22" s="119"/>
      <c r="F22" s="119"/>
      <c r="G22" s="119"/>
      <c r="H22" s="119"/>
      <c r="I22" s="119"/>
      <c r="J22" s="119"/>
      <c r="K22" s="119"/>
      <c r="L22" s="119"/>
      <c r="M22" s="119"/>
      <c r="N22" s="119"/>
      <c r="O22" s="150"/>
      <c r="P22" s="124"/>
      <c r="Q22" s="113"/>
      <c r="R22" s="113"/>
      <c r="S22" s="113"/>
      <c r="T22" s="113"/>
      <c r="U22" s="113"/>
      <c r="V22" s="113"/>
      <c r="W22" s="113"/>
      <c r="X22" s="113"/>
      <c r="Y22" s="113"/>
    </row>
    <row r="23" ht="118.39999999999999" customHeight="1">
      <c r="A23" s="121" t="str">
        <v>CREATE_IT10</v>
      </c>
      <c r="B23" s="121" t="str">
        <v>Create an online Draft with an external link</v>
      </c>
      <c r="C23" s="121" t="str">
        <v>1. Select "Trực tuyến".
2. Enter valid title/date/times and https://meet.example.org/manual-qa as link.
3. Click "Tạo cuộc họp" and reload details.</v>
      </c>
      <c r="D23" s="121" t="str">
        <v>1. Online mode and entered link persist.
2. Physical-room input is hidden and no stale room value is saved.</v>
      </c>
      <c r="E23" s="121" t="str">
        <v>Organizer with MeetingCreator; open "Cuộc họp" &gt; "Tạo cuộc họp"; use a future day at 09:00-10:00 and unique title Manual Integration Meeting.</v>
      </c>
      <c r="F23" s="121" t="str">
        <v>NotRun</v>
      </c>
      <c r="G23" s="122" t="str"/>
      <c r="H23" s="121" t="str"/>
      <c r="I23" s="121" t="str"/>
      <c r="J23" s="122" t="str"/>
      <c r="K23" s="121" t="str"/>
      <c r="L23" s="121" t="str"/>
      <c r="M23" s="122" t="str"/>
      <c r="N23" s="121" t="str"/>
      <c r="O23" s="123" t="str"/>
      <c r="P23" s="124"/>
      <c r="Q23" s="113"/>
      <c r="R23" s="113"/>
      <c r="S23" s="113"/>
      <c r="T23" s="113"/>
      <c r="U23" s="113"/>
      <c r="V23" s="113"/>
      <c r="W23" s="113"/>
      <c r="X23" s="113"/>
      <c r="Y23" s="113"/>
    </row>
    <row r="24" ht="103.19999999999999" customHeight="1">
      <c r="A24" s="121" t="str">
        <v>CREATE_IT11</v>
      </c>
      <c r="B24" s="121" t="str">
        <v>Online Draft may omit the external link</v>
      </c>
      <c r="C24" s="121" t="str">
        <v>1. Select "Trực tuyến"; leave online link blank.
2. Enter valid title, future date and times.
3. Click "Tạo cuộc họp" and reload.</v>
      </c>
      <c r="D24" s="121" t="str">
        <v>1. Draft is created without requiring an external link.
2. Page uses the TrustCabinet-room indication; no actual call is claimed.</v>
      </c>
      <c r="E24" s="121" t="str">
        <v>Organizer with MeetingCreator; open "Cuộc họp" &gt; "Tạo cuộc họp"; use a future day at 09:00-10:00 and unique title Manual Integration Meeting.</v>
      </c>
      <c r="F24" s="121" t="str">
        <v>NotRun</v>
      </c>
      <c r="G24" s="122" t="str"/>
      <c r="H24" s="121" t="str"/>
      <c r="I24" s="121" t="str"/>
      <c r="J24" s="122" t="str"/>
      <c r="K24" s="121" t="str"/>
      <c r="L24" s="121" t="str"/>
      <c r="M24" s="122" t="str"/>
      <c r="N24" s="121" t="str"/>
      <c r="O24" s="123" t="str"/>
      <c r="P24" s="124"/>
      <c r="Q24" s="113"/>
      <c r="R24" s="113"/>
      <c r="S24" s="113"/>
      <c r="T24" s="113"/>
      <c r="U24" s="113"/>
      <c r="V24" s="113"/>
      <c r="W24" s="113"/>
      <c r="X24" s="113"/>
      <c r="Y24" s="113"/>
    </row>
    <row r="25" ht="103.19999999999999" customHeight="1">
      <c r="A25" s="121" t="str">
        <v>CREATE_IT12</v>
      </c>
      <c r="B25" s="121" t="str">
        <v>Create a hybrid meeting with room and link</v>
      </c>
      <c r="C25" s="121" t="str">
        <v>1. Select "Kết hợp".
2. Enter Room QA and https://meet.example.org/manual-qa plus valid title/schedule.
3. Click "Tạo cuộc họp" and reload details.</v>
      </c>
      <c r="D25" s="121" t="str">
        <v>1. Hybrid mode, room and link persist.
2. Details show the saved meeting place information.</v>
      </c>
      <c r="E25" s="121" t="str">
        <v>Organizer with MeetingCreator; open "Cuộc họp" &gt; "Tạo cuộc họp"; use a future day at 09:00-10:00 and unique title Manual Integration Meeting.</v>
      </c>
      <c r="F25" s="121" t="str">
        <v>NotRun</v>
      </c>
      <c r="G25" s="122" t="str"/>
      <c r="H25" s="121" t="str"/>
      <c r="I25" s="121" t="str"/>
      <c r="J25" s="122" t="str"/>
      <c r="K25" s="121" t="str"/>
      <c r="L25" s="121" t="str"/>
      <c r="M25" s="122" t="str"/>
      <c r="N25" s="121" t="str"/>
      <c r="O25" s="123" t="str"/>
      <c r="P25" s="124"/>
      <c r="Q25" s="113"/>
      <c r="R25" s="113"/>
      <c r="S25" s="113"/>
      <c r="T25" s="113"/>
      <c r="U25" s="113"/>
      <c r="V25" s="113"/>
      <c r="W25" s="113"/>
      <c r="X25" s="113"/>
      <c r="Y25" s="113"/>
    </row>
    <row r="26" ht="24" customHeight="1">
      <c r="A26" s="119" t="str">
        <v>Create Meeting - Sensitivity and input limits</v>
      </c>
      <c r="B26" s="119"/>
      <c r="C26" s="119"/>
      <c r="D26" s="119"/>
      <c r="E26" s="119"/>
      <c r="F26" s="119"/>
      <c r="G26" s="119"/>
      <c r="H26" s="119"/>
      <c r="I26" s="119"/>
      <c r="J26" s="119"/>
      <c r="K26" s="119"/>
      <c r="L26" s="119"/>
      <c r="M26" s="119"/>
      <c r="N26" s="119"/>
      <c r="O26" s="150"/>
      <c r="P26" s="124"/>
      <c r="Q26" s="113"/>
      <c r="R26" s="113"/>
      <c r="S26" s="113"/>
      <c r="T26" s="113"/>
      <c r="U26" s="113"/>
      <c r="V26" s="113"/>
      <c r="W26" s="113"/>
      <c r="X26" s="113"/>
      <c r="Y26" s="113"/>
    </row>
    <row r="27" ht="103.19999999999999" customHeight="1">
      <c r="A27" s="121" t="str">
        <v>CREATE_IT13</v>
      </c>
      <c r="B27" s="121" t="str">
        <v>Selected sensitivity persists</v>
      </c>
      <c r="C27" s="121" t="str">
        <v>1. Choose "Mật" for sensitivity.
2. Enter valid title and future schedule.
3. Click "Tạo cuộc họp" and reload the details.</v>
      </c>
      <c r="D27" s="121" t="str">
        <v>1. "Mật" sensitivity badge is shown.
2. Saved sensitivity remains "Mật" after reload.</v>
      </c>
      <c r="E27" s="121" t="str">
        <v>Organizer with MeetingCreator; open "Cuộc họp" &gt; "Tạo cuộc họp"; use a future day at 09:00-10:00 and unique title Manual Integration Meeting.</v>
      </c>
      <c r="F27" s="121" t="str">
        <v>NotRun</v>
      </c>
      <c r="G27" s="122" t="str"/>
      <c r="H27" s="121" t="str"/>
      <c r="I27" s="121" t="str"/>
      <c r="J27" s="122" t="str"/>
      <c r="K27" s="121" t="str"/>
      <c r="L27" s="121" t="str"/>
      <c r="M27" s="122" t="str"/>
      <c r="N27" s="121" t="str"/>
      <c r="O27" s="123" t="str"/>
      <c r="P27" s="124"/>
      <c r="Q27" s="113"/>
      <c r="R27" s="113"/>
      <c r="S27" s="113"/>
      <c r="T27" s="113"/>
      <c r="U27" s="113"/>
      <c r="V27" s="113"/>
      <c r="W27" s="113"/>
      <c r="X27" s="113"/>
      <c r="Y27" s="113"/>
    </row>
    <row r="28" ht="118.39999999999999" customHeight="1">
      <c r="A28" s="121" t="str">
        <v>CREATE_IT14</v>
      </c>
      <c r="B28" s="121" t="str">
        <v>Title field enforces the 300-character limit</v>
      </c>
      <c r="C28" s="121" t="str">
        <v>1. Paste a prepared 301-character title into "Tên cuộc họp".
2. Inspect field length/counter.
3. Fill valid schedule; click "Tạo cuộc họp" if the retained title is valid.</v>
      </c>
      <c r="D28" s="121" t="str">
        <v>1. Field does not retain more than 300 characters.
2. Any created meeting uses the accepted title without an overlength save.</v>
      </c>
      <c r="E28" s="121" t="str">
        <v>Organizer with MeetingCreator; open "Cuộc họp" &gt; "Tạo cuộc họp"; use a future day at 09:00-10:00 and unique title Manual Integration Meeting.</v>
      </c>
      <c r="F28" s="121" t="str">
        <v>NotRun</v>
      </c>
      <c r="G28" s="122" t="str"/>
      <c r="H28" s="121" t="str"/>
      <c r="I28" s="121" t="str"/>
      <c r="J28" s="122" t="str"/>
      <c r="K28" s="121" t="str"/>
      <c r="L28" s="121" t="str"/>
      <c r="M28" s="122" t="str"/>
      <c r="N28" s="121" t="str"/>
      <c r="O28" s="123" t="str"/>
      <c r="P28" s="124"/>
      <c r="Q28" s="113"/>
      <c r="R28" s="113"/>
      <c r="S28" s="113"/>
      <c r="T28" s="113"/>
      <c r="U28" s="113"/>
      <c r="V28" s="113"/>
      <c r="W28" s="113"/>
      <c r="X28" s="113"/>
      <c r="Y28" s="113"/>
    </row>
  </sheetData>
  <mergeCells count="7">
    <mergeCell ref="B2:E2"/>
    <mergeCell ref="B3:E3"/>
    <mergeCell ref="B4:E4"/>
    <mergeCell ref="A11:O11"/>
    <mergeCell ref="A18:O18"/>
    <mergeCell ref="A22:O22"/>
    <mergeCell ref="A26:O26"/>
  </mergeCells>
  <dataValidations count="3">
    <dataValidation type="list" allowBlank="1" showErrorMessage="1" errorTitle="Select a test status" error="Use the status dropdown." sqref="F12 F13 F14 F15 F16 F17 F19 F20 F21 F23 F24 F25 F27 F28">
      <formula1>"NotRun,Passed,Failed,Blocked,Skipped"</formula1>
    </dataValidation>
    <dataValidation type="list" allowBlank="1" showErrorMessage="1" errorTitle="Select a test status" error="Use the status dropdown." sqref="I12 I13 I14 I15 I16 I17 I19 I20 I21 I23 I24 I25 I27 I28">
      <formula1>"NotRun,Passed,Failed,Blocked,Skipped"</formula1>
    </dataValidation>
    <dataValidation type="list" allowBlank="1" showErrorMessage="1" errorTitle="Select a test status" error="Use the status dropdown." sqref="L12 L13 L14 L15 L16 L17 L19 L20 L21 L23 L24 L25 L27 L28">
      <formula1>"NotRun,Passed,Failed,Blocked,Skipped"</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topLeftCell="A1" zoomScale="70" showGridLines="0">
      <pane xSplit="2" ySplit="10" topLeftCell="C11" activePane="bottomRight" state="frozen"/>
      <selection pane="bottomRight" activeCell="A1" sqref="A1"/>
    </sheetView>
  </sheetViews>
  <sheetFormatPr customHeight="1" defaultColWidth="12.63" defaultRowHeight="15.0" outlineLevelCol="1" outlineLevelRow="1"/>
  <cols>
    <col customWidth="1" min="1" max="1" width="17.0"/>
    <col customWidth="1" min="2" max="2" width="34.5"/>
    <col customWidth="1" min="3" max="3" width="34.13"/>
    <col customWidth="1" min="4" max="4" width="43.75"/>
    <col customWidth="1" min="5" max="5" width="28.38"/>
    <col customWidth="1" min="6" max="6" width="9.38"/>
    <col customWidth="1" min="7" max="7" width="10.38" outlineLevel="1"/>
    <col customWidth="1" min="8" max="9" width="9.38"/>
    <col customWidth="1" min="10" max="10" width="10.38" outlineLevel="1"/>
    <col customWidth="1" min="11" max="12" width="9.38"/>
    <col customWidth="1" min="13" max="13" width="10.38" outlineLevel="1"/>
    <col customWidth="1" min="14" max="14" width="9.38"/>
    <col customWidth="1" min="15" max="15" width="24"/>
    <col customWidth="1" hidden="1" min="16" max="16" width="7.63"/>
    <col customWidth="1" min="17" max="25" width="9.0"/>
  </cols>
  <sheetData>
    <row r="1" ht="12.75" customHeight="1">
      <c r="A1" s="108"/>
      <c r="B1" s="108"/>
      <c r="C1" s="108"/>
      <c r="D1" s="108"/>
      <c r="E1" s="108"/>
      <c r="F1" s="108"/>
      <c r="G1" s="108"/>
      <c r="H1" s="108"/>
      <c r="I1" s="108"/>
      <c r="J1" s="108"/>
      <c r="K1" s="108"/>
      <c r="L1" s="108"/>
      <c r="M1" s="108"/>
      <c r="N1" s="108"/>
      <c r="O1" s="108"/>
      <c r="P1" s="45"/>
      <c r="Q1" s="45"/>
      <c r="R1" s="45"/>
      <c r="S1" s="45"/>
      <c r="T1" s="45"/>
      <c r="U1" s="45"/>
      <c r="V1" s="45"/>
      <c r="W1" s="45"/>
      <c r="X1" s="45"/>
      <c r="Y1" s="109"/>
    </row>
    <row r="2" ht="15.0" customHeight="1">
      <c r="A2" s="110" t="str">
        <v>Feature</v>
      </c>
      <c r="B2" s="111" t="str">
        <v>Edit Meeting</v>
      </c>
      <c r="C2" s="5"/>
      <c r="D2" s="5"/>
      <c r="E2" s="112"/>
      <c r="F2" s="108"/>
      <c r="G2" s="108"/>
      <c r="H2" s="108"/>
      <c r="I2" s="108"/>
      <c r="J2" s="108"/>
      <c r="K2" s="108"/>
      <c r="L2" s="108"/>
      <c r="M2" s="108"/>
      <c r="N2" s="108"/>
      <c r="O2" s="108"/>
      <c r="P2" s="113" t="str">
        <v>Passed</v>
      </c>
      <c r="Q2" s="113"/>
      <c r="R2" s="113"/>
      <c r="S2" s="113"/>
      <c r="T2" s="113"/>
      <c r="U2" s="113"/>
      <c r="V2" s="113"/>
      <c r="W2" s="113"/>
      <c r="X2" s="113"/>
      <c r="Y2" s="114"/>
    </row>
    <row r="3" ht="52" customHeight="1">
      <c r="A3" s="110" t="str">
        <v>Test requirement</v>
      </c>
      <c r="B3" s="111" t="str">
        <v>Manual integration: perform the browser steps and compare saved data or recipient screens. Check prerequisites before execution.</v>
      </c>
      <c r="C3" s="5"/>
      <c r="D3" s="5"/>
      <c r="E3" s="112"/>
      <c r="F3" s="108"/>
      <c r="G3" s="108"/>
      <c r="H3" s="108"/>
      <c r="I3" s="108"/>
      <c r="J3" s="108"/>
      <c r="K3" s="108"/>
      <c r="L3" s="108"/>
      <c r="M3" s="108"/>
      <c r="N3" s="108"/>
      <c r="O3" s="108"/>
      <c r="P3" s="113" t="str">
        <v>Failed</v>
      </c>
      <c r="Q3" s="113"/>
      <c r="R3" s="113"/>
      <c r="S3" s="113"/>
      <c r="T3" s="113"/>
      <c r="U3" s="113"/>
      <c r="V3" s="113"/>
      <c r="W3" s="113"/>
      <c r="X3" s="113"/>
      <c r="Y3" s="114"/>
    </row>
    <row r="4" ht="18.0" customHeight="1">
      <c r="A4" s="110" t="str">
        <v>Number of TCs</v>
      </c>
      <c r="B4" s="111" t="n">
        <v>9</v>
      </c>
      <c r="C4" s="5"/>
      <c r="D4" s="5"/>
      <c r="E4" s="112"/>
      <c r="F4" s="108"/>
      <c r="G4" s="108"/>
      <c r="H4" s="108"/>
      <c r="I4" s="108"/>
      <c r="J4" s="108"/>
      <c r="K4" s="108"/>
      <c r="L4" s="108"/>
      <c r="M4" s="108"/>
      <c r="N4" s="108"/>
      <c r="O4" s="108"/>
      <c r="P4" s="113" t="str">
        <v>NotRun</v>
      </c>
      <c r="Q4" s="113"/>
      <c r="R4" s="113"/>
      <c r="S4" s="113"/>
      <c r="T4" s="113"/>
      <c r="U4" s="113"/>
      <c r="V4" s="113"/>
      <c r="W4" s="113"/>
      <c r="X4" s="113"/>
      <c r="Y4" s="114"/>
    </row>
    <row r="5" ht="19.5" customHeight="1">
      <c r="A5" s="115" t="str">
        <v>Testing Round</v>
      </c>
      <c r="B5" s="115" t="str">
        <v>Passed</v>
      </c>
      <c r="C5" s="115" t="str">
        <v>Failed</v>
      </c>
      <c r="D5" s="115" t="str">
        <v>Pending</v>
      </c>
      <c r="E5" s="115" t="str">
        <v>N/A</v>
      </c>
      <c r="F5" s="108"/>
      <c r="G5" s="108"/>
      <c r="H5" s="108"/>
      <c r="I5" s="108"/>
      <c r="J5" s="108"/>
      <c r="K5" s="108"/>
      <c r="L5" s="108"/>
      <c r="M5" s="108"/>
      <c r="N5" s="108"/>
      <c r="O5" s="108"/>
      <c r="P5" s="113" t="str">
        <v>Skipped</v>
      </c>
      <c r="Q5" s="113"/>
      <c r="R5" s="113"/>
      <c r="S5" s="113"/>
      <c r="T5" s="113"/>
      <c r="U5" s="113"/>
      <c r="V5" s="113"/>
      <c r="W5" s="113"/>
      <c r="X5" s="113"/>
      <c r="Y5" s="114"/>
    </row>
    <row r="6" ht="15.0" customHeight="1">
      <c r="A6" s="116" t="str">
        <v>Round 1</v>
      </c>
      <c r="B6" s="115" t="n">
        <f>COUNTIF(F12:F22,"Passed")</f>
        <v>0</v>
      </c>
      <c r="C6" s="115" t="n">
        <f>COUNTIF(F12:F22,"Failed")</f>
        <v>0</v>
      </c>
      <c r="D6" s="115" t="n">
        <f>B4-B6-C6-E6</f>
        <v>9</v>
      </c>
      <c r="E6" s="115" t="n">
        <f>COUNTIF(F12:F22,"Skipped")</f>
        <v>0</v>
      </c>
      <c r="F6" s="108"/>
      <c r="G6" s="108"/>
      <c r="H6" s="108"/>
      <c r="I6" s="108"/>
      <c r="J6" s="108"/>
      <c r="K6" s="108"/>
      <c r="L6" s="108"/>
      <c r="M6" s="108"/>
      <c r="N6" s="108"/>
      <c r="O6" s="108"/>
      <c r="P6" s="113"/>
      <c r="Q6" s="113"/>
      <c r="R6" s="113"/>
      <c r="S6" s="113"/>
      <c r="T6" s="113"/>
      <c r="U6" s="113"/>
      <c r="V6" s="113"/>
      <c r="W6" s="113"/>
      <c r="X6" s="113"/>
      <c r="Y6" s="114"/>
    </row>
    <row r="7" ht="15.0" customHeight="1">
      <c r="A7" s="116" t="str">
        <v>Round 2</v>
      </c>
      <c r="B7" s="115" t="n">
        <f>COUNTIF(I12:I22,"Passed")</f>
        <v>0</v>
      </c>
      <c r="C7" s="115" t="n">
        <f>COUNTIF(I12:I22,"Failed")</f>
        <v>0</v>
      </c>
      <c r="D7" s="115" t="n">
        <f>B4-B7-C7-E7</f>
        <v>9</v>
      </c>
      <c r="E7" s="115" t="n">
        <f>COUNTIF(I12:I22,"Skipped")</f>
        <v>0</v>
      </c>
      <c r="F7" s="108"/>
      <c r="G7" s="108"/>
      <c r="H7" s="108"/>
      <c r="I7" s="108"/>
      <c r="J7" s="108"/>
      <c r="K7" s="108"/>
      <c r="L7" s="108"/>
      <c r="M7" s="108"/>
      <c r="N7" s="108"/>
      <c r="O7" s="108"/>
      <c r="P7" s="113"/>
      <c r="Q7" s="113"/>
      <c r="R7" s="113"/>
      <c r="S7" s="113"/>
      <c r="T7" s="113"/>
      <c r="U7" s="113"/>
      <c r="V7" s="113"/>
      <c r="W7" s="113"/>
      <c r="X7" s="113"/>
      <c r="Y7" s="114"/>
    </row>
    <row r="8" ht="15.0" customHeight="1">
      <c r="A8" s="116" t="str">
        <v>Round 3</v>
      </c>
      <c r="B8" s="115" t="n">
        <f>COUNTIF(L12:L22,"Passed")</f>
        <v>0</v>
      </c>
      <c r="C8" s="115" t="n">
        <f>COUNTIF(L12:L22,"Failed")</f>
        <v>0</v>
      </c>
      <c r="D8" s="115" t="n">
        <f>B4-B8-C8-E8</f>
        <v>9</v>
      </c>
      <c r="E8" s="115" t="n">
        <f>COUNTIF(L12:L22,"Skipped")</f>
        <v>0</v>
      </c>
      <c r="F8" s="108"/>
      <c r="G8" s="108"/>
      <c r="H8" s="108"/>
      <c r="I8" s="108"/>
      <c r="J8" s="108"/>
      <c r="K8" s="108"/>
      <c r="L8" s="108"/>
      <c r="M8" s="108"/>
      <c r="N8" s="108"/>
      <c r="O8" s="108"/>
      <c r="P8" s="113"/>
      <c r="Q8" s="113"/>
      <c r="R8" s="113"/>
      <c r="S8" s="113"/>
      <c r="T8" s="113"/>
      <c r="U8" s="113"/>
      <c r="V8" s="113"/>
      <c r="W8" s="113"/>
      <c r="X8" s="113"/>
      <c r="Y8" s="114"/>
    </row>
    <row r="9" ht="15.0" customHeight="1">
      <c r="A9" s="108"/>
      <c r="B9" s="108"/>
      <c r="C9" s="108"/>
      <c r="D9" s="108"/>
      <c r="E9" s="108"/>
      <c r="F9" s="108"/>
      <c r="G9" s="108"/>
      <c r="H9" s="108"/>
      <c r="I9" s="108"/>
      <c r="J9" s="108"/>
      <c r="K9" s="108"/>
      <c r="L9" s="108"/>
      <c r="M9" s="108"/>
      <c r="N9" s="108"/>
      <c r="O9" s="108"/>
      <c r="P9" s="113"/>
      <c r="Q9" s="113"/>
      <c r="R9" s="113"/>
      <c r="S9" s="113"/>
      <c r="T9" s="113"/>
      <c r="U9" s="113"/>
      <c r="V9" s="113"/>
      <c r="W9" s="113"/>
      <c r="X9" s="113"/>
      <c r="Y9" s="114"/>
    </row>
    <row r="10" ht="42" customHeight="1">
      <c r="A10" s="117" t="str">
        <v>Test Case ID</v>
      </c>
      <c r="B10" s="117" t="str">
        <v>Test Case Description</v>
      </c>
      <c r="C10" s="117" t="str">
        <v>Test Case Procedure</v>
      </c>
      <c r="D10" s="117" t="str">
        <v>Expected Results</v>
      </c>
      <c r="E10" s="117" t="str">
        <v>Pre-conditions</v>
      </c>
      <c r="F10" s="117" t="str">
        <v>Round 1</v>
      </c>
      <c r="G10" s="117" t="str">
        <v>Test date</v>
      </c>
      <c r="H10" s="117" t="str">
        <v>Tester</v>
      </c>
      <c r="I10" s="117" t="str">
        <v>Round 2</v>
      </c>
      <c r="J10" s="117" t="str">
        <v>Test date</v>
      </c>
      <c r="K10" s="117" t="str">
        <v>Tester</v>
      </c>
      <c r="L10" s="117" t="str">
        <v>Round 3</v>
      </c>
      <c r="M10" s="117" t="str">
        <v>Test date</v>
      </c>
      <c r="N10" s="117" t="str">
        <v>Tester</v>
      </c>
      <c r="O10" s="117" t="str">
        <v>Actual result / Evidence / Defect</v>
      </c>
      <c r="P10" s="118"/>
      <c r="Q10" s="113"/>
      <c r="R10" s="113"/>
      <c r="S10" s="113"/>
      <c r="T10" s="113"/>
      <c r="U10" s="113"/>
      <c r="V10" s="113"/>
      <c r="W10" s="113"/>
      <c r="X10" s="113"/>
      <c r="Y10" s="113"/>
    </row>
    <row r="11" ht="24" customHeight="1">
      <c r="A11" s="119" t="str">
        <v>Edit Meeting - Edit draft</v>
      </c>
      <c r="B11" s="119"/>
      <c r="C11" s="119"/>
      <c r="D11" s="119"/>
      <c r="E11" s="119"/>
      <c r="F11" s="119"/>
      <c r="G11" s="119"/>
      <c r="H11" s="119"/>
      <c r="I11" s="119"/>
      <c r="J11" s="119"/>
      <c r="K11" s="119"/>
      <c r="L11" s="119"/>
      <c r="M11" s="119"/>
      <c r="N11" s="119"/>
      <c r="O11" s="150"/>
      <c r="P11" s="124"/>
      <c r="Q11" s="113"/>
      <c r="R11" s="113"/>
      <c r="S11" s="113"/>
      <c r="T11" s="113"/>
      <c r="U11" s="113"/>
      <c r="V11" s="113"/>
      <c r="W11" s="113"/>
      <c r="X11" s="113"/>
      <c r="Y11" s="113"/>
    </row>
    <row r="12" ht="103.19999999999999" customHeight="1">
      <c r="A12" s="121" t="str">
        <v>EDIT_IT01</v>
      </c>
      <c r="B12" s="121" t="str">
        <v>Save changes and reopen the same meeting</v>
      </c>
      <c r="C12" s="121" t="str">
        <v>1. Click "Chỉnh sửa".
2. Change title to Manual Revised, description and location to Room QA2.
3. Click "Lưu thay đổi"; reload details and reopen "Chỉnh sửa".</v>
      </c>
      <c r="D12" s="121" t="str">
        <v>1. All accepted changes persist on the same meeting.
2. No additional meeting is created.</v>
      </c>
      <c r="E12" s="121" t="str">
        <v>Organizer with MeetingCreator; owns a disposable Draft; open its details.</v>
      </c>
      <c r="F12" s="121" t="str">
        <v>NotRun</v>
      </c>
      <c r="G12" s="122" t="str"/>
      <c r="H12" s="121" t="str"/>
      <c r="I12" s="121" t="str"/>
      <c r="J12" s="122" t="str"/>
      <c r="K12" s="121" t="str"/>
      <c r="L12" s="121" t="str"/>
      <c r="M12" s="122" t="str"/>
      <c r="N12" s="121" t="str"/>
      <c r="O12" s="123" t="str"/>
      <c r="P12" s="124"/>
      <c r="Q12" s="113"/>
      <c r="R12" s="113"/>
      <c r="S12" s="113"/>
      <c r="T12" s="113"/>
      <c r="U12" s="113"/>
      <c r="V12" s="113"/>
      <c r="W12" s="113"/>
      <c r="X12" s="113"/>
      <c r="Y12" s="113"/>
    </row>
    <row r="13" ht="118.39999999999999" customHeight="1">
      <c r="A13" s="121" t="str">
        <v>EDIT_IT02</v>
      </c>
      <c r="B13" s="121" t="str">
        <v>Invalid edit preserves previously saved values</v>
      </c>
      <c r="C13" s="121" t="str">
        <v>1. Record original title and times.
2. Click "Chỉnh sửa"; clear title and click "Lưu thay đổi".
3. Inspect errors; click "Huỷ", then "Bỏ thay đổi"; reload details.</v>
      </c>
      <c r="D13" s="121" t="str">
        <v>1. Invalid edit is rejected.
2. Previously saved title and schedule remain unchanged.</v>
      </c>
      <c r="E13" s="121" t="str">
        <v>Organizer with MeetingCreator; owns a disposable Draft; open its details.</v>
      </c>
      <c r="F13" s="121" t="str">
        <v>NotRun</v>
      </c>
      <c r="G13" s="122" t="str"/>
      <c r="H13" s="121" t="str"/>
      <c r="I13" s="121" t="str"/>
      <c r="J13" s="122" t="str"/>
      <c r="K13" s="121" t="str"/>
      <c r="L13" s="121" t="str"/>
      <c r="M13" s="122" t="str"/>
      <c r="N13" s="121" t="str"/>
      <c r="O13" s="123" t="str"/>
      <c r="P13" s="124"/>
      <c r="Q13" s="113"/>
      <c r="R13" s="113"/>
      <c r="S13" s="113"/>
      <c r="T13" s="113"/>
      <c r="U13" s="113"/>
      <c r="V13" s="113"/>
      <c r="W13" s="113"/>
      <c r="X13" s="113"/>
      <c r="Y13" s="113"/>
    </row>
    <row r="14" ht="95" customHeight="1">
      <c r="A14" s="121" t="str">
        <v>EDIT_IT03</v>
      </c>
      <c r="B14" s="121" t="str">
        <v>Cancel dirty form and keep editing</v>
      </c>
      <c r="C14" s="121" t="str">
        <v>1. Click "Chỉnh sửa" and change the title.
2. Click "Huỷ".
3. Click "Tiếp tục sửa" in the discard dialog.</v>
      </c>
      <c r="D14" s="121" t="str">
        <v>1. Edit form remains open with the unsaved title.
2. Meeting is not saved or abandoned by this choice.</v>
      </c>
      <c r="E14" s="121" t="str">
        <v>Organizer with MeetingCreator; owns a disposable Draft; open its details.</v>
      </c>
      <c r="F14" s="121" t="str">
        <v>NotRun</v>
      </c>
      <c r="G14" s="122" t="str"/>
      <c r="H14" s="121" t="str"/>
      <c r="I14" s="121" t="str"/>
      <c r="J14" s="122" t="str"/>
      <c r="K14" s="121" t="str"/>
      <c r="L14" s="121" t="str"/>
      <c r="M14" s="122" t="str"/>
      <c r="N14" s="121" t="str"/>
      <c r="O14" s="123" t="str"/>
      <c r="P14" s="124"/>
      <c r="Q14" s="113"/>
      <c r="R14" s="113"/>
      <c r="S14" s="113"/>
      <c r="T14" s="113"/>
      <c r="U14" s="113"/>
      <c r="V14" s="113"/>
      <c r="W14" s="113"/>
      <c r="X14" s="113"/>
      <c r="Y14" s="113"/>
    </row>
    <row r="15" ht="103.19999999999999" customHeight="1">
      <c r="A15" s="121" t="str">
        <v>EDIT_IT04</v>
      </c>
      <c r="B15" s="121" t="str">
        <v>Confirm discard leaves saved data unchanged</v>
      </c>
      <c r="C15" s="121" t="str">
        <v>1. Record saved title; click "Chỉnh sửa" and type another title.
2. Click "Huỷ" and click "Bỏ thay đổi".
3. Reload details.</v>
      </c>
      <c r="D15" s="121" t="str">
        <v>1. Returns to details.
2. Original saved title is retained.</v>
      </c>
      <c r="E15" s="121" t="str">
        <v>Organizer with MeetingCreator; owns a disposable Draft; open its details.</v>
      </c>
      <c r="F15" s="121" t="str">
        <v>NotRun</v>
      </c>
      <c r="G15" s="122" t="str"/>
      <c r="H15" s="121" t="str"/>
      <c r="I15" s="121" t="str"/>
      <c r="J15" s="122" t="str"/>
      <c r="K15" s="121" t="str"/>
      <c r="L15" s="121" t="str"/>
      <c r="M15" s="122" t="str"/>
      <c r="N15" s="121" t="str"/>
      <c r="O15" s="123" t="str"/>
      <c r="P15" s="124"/>
      <c r="Q15" s="113"/>
      <c r="R15" s="113"/>
      <c r="S15" s="113"/>
      <c r="T15" s="113"/>
      <c r="U15" s="113"/>
      <c r="V15" s="113"/>
      <c r="W15" s="113"/>
      <c r="X15" s="113"/>
      <c r="Y15" s="113"/>
    </row>
    <row r="16" ht="24" customHeight="1">
      <c r="A16" s="119" t="str">
        <v>Edit Meeting - Edit permissions</v>
      </c>
      <c r="B16" s="119"/>
      <c r="C16" s="119"/>
      <c r="D16" s="119"/>
      <c r="E16" s="119"/>
      <c r="F16" s="119"/>
      <c r="G16" s="119"/>
      <c r="H16" s="119"/>
      <c r="I16" s="119"/>
      <c r="J16" s="119"/>
      <c r="K16" s="119"/>
      <c r="L16" s="119"/>
      <c r="M16" s="119"/>
      <c r="N16" s="119"/>
      <c r="O16" s="150"/>
      <c r="P16" s="124"/>
      <c r="Q16" s="113"/>
      <c r="R16" s="113"/>
      <c r="S16" s="113"/>
      <c r="T16" s="113"/>
      <c r="U16" s="113"/>
      <c r="V16" s="113"/>
      <c r="W16" s="113"/>
      <c r="X16" s="113"/>
      <c r="Y16" s="113"/>
    </row>
    <row r="17" ht="95" customHeight="1">
      <c r="A17" s="121" t="str">
        <v>EDIT_IT05</v>
      </c>
      <c r="B17" s="121" t="str">
        <v>Another user cannot edit an organizer-only Draft</v>
      </c>
      <c r="C17" s="121" t="str">
        <v>1. Sign in as the second user.
2. Open the recorded detail URL and edit URL.</v>
      </c>
      <c r="D17" s="121" t="str">
        <v>1. Restricted/not-found handling appears.
2. No editable form or confidential meeting information is exposed.</v>
      </c>
      <c r="E17" s="121" t="str">
        <v>Second user has MeetingCreator but is unrelated to the target Draft; target detail and edit URLs recorded.</v>
      </c>
      <c r="F17" s="121" t="str">
        <v>NotRun</v>
      </c>
      <c r="G17" s="122" t="str"/>
      <c r="H17" s="121" t="str"/>
      <c r="I17" s="121" t="str"/>
      <c r="J17" s="122" t="str"/>
      <c r="K17" s="121" t="str"/>
      <c r="L17" s="121" t="str"/>
      <c r="M17" s="122" t="str"/>
      <c r="N17" s="121" t="str"/>
      <c r="O17" s="123" t="str"/>
      <c r="P17" s="124"/>
      <c r="Q17" s="113"/>
      <c r="R17" s="113"/>
      <c r="S17" s="113"/>
      <c r="T17" s="113"/>
      <c r="U17" s="113"/>
      <c r="V17" s="113"/>
      <c r="W17" s="113"/>
      <c r="X17" s="113"/>
      <c r="Y17" s="113"/>
    </row>
    <row r="18" ht="95" customHeight="1">
      <c r="A18" s="121" t="str">
        <v>EDIT_IT06</v>
      </c>
      <c r="B18" s="121" t="str">
        <v>WaitingApproval meeting is not editable</v>
      </c>
      <c r="C18" s="121" t="str">
        <v>1. Open details and inspect actions.
2. Open its /edit URL directly.</v>
      </c>
      <c r="D18" s="121" t="str">
        <v>1. No ordinary edit action is offered.
2. Direct edit does not permit changing information while awaiting approval.</v>
      </c>
      <c r="E18" s="121" t="str">
        <v>Organizer owns a WaitingApproval meeting; details URL available.</v>
      </c>
      <c r="F18" s="121" t="str">
        <v>NotRun</v>
      </c>
      <c r="G18" s="122" t="str"/>
      <c r="H18" s="121" t="str"/>
      <c r="I18" s="121" t="str"/>
      <c r="J18" s="122" t="str"/>
      <c r="K18" s="121" t="str"/>
      <c r="L18" s="121" t="str"/>
      <c r="M18" s="122" t="str"/>
      <c r="N18" s="121" t="str"/>
      <c r="O18" s="123" t="str"/>
      <c r="P18" s="124"/>
      <c r="Q18" s="113"/>
      <c r="R18" s="113"/>
      <c r="S18" s="113"/>
      <c r="T18" s="113"/>
      <c r="U18" s="113"/>
      <c r="V18" s="113"/>
      <c r="W18" s="113"/>
      <c r="X18" s="113"/>
      <c r="Y18" s="113"/>
    </row>
    <row r="19" ht="24" customHeight="1">
      <c r="A19" s="119" t="str">
        <v>Edit Meeting - Published reschedule</v>
      </c>
      <c r="B19" s="119"/>
      <c r="C19" s="119"/>
      <c r="D19" s="119"/>
      <c r="E19" s="119"/>
      <c r="F19" s="119"/>
      <c r="G19" s="119"/>
      <c r="H19" s="119"/>
      <c r="I19" s="119"/>
      <c r="J19" s="119"/>
      <c r="K19" s="119"/>
      <c r="L19" s="119"/>
      <c r="M19" s="119"/>
      <c r="N19" s="119"/>
      <c r="O19" s="150"/>
      <c r="P19" s="124"/>
      <c r="Q19" s="113"/>
      <c r="R19" s="113"/>
      <c r="S19" s="113"/>
      <c r="T19" s="113"/>
      <c r="U19" s="113"/>
      <c r="V19" s="113"/>
      <c r="W19" s="113"/>
      <c r="X19" s="113"/>
      <c r="Y19" s="113"/>
    </row>
    <row r="20" ht="118.39999999999999" customHeight="1">
      <c r="A20" s="121" t="str">
        <v>EDIT_IT07</v>
      </c>
      <c r="B20" s="121" t="str">
        <v>Reschedule only permitted published fields</v>
      </c>
      <c r="C20" s="121" t="str">
        <v>1. Open details &gt; "Dời lịch".
2. Change future date/time and applicable room/link.
3. Click "Lưu và thông báo"; reload details and Calendar.
4. Inspect participant update notice.</v>
      </c>
      <c r="D20" s="121" t="str">
        <v>1. New schedule/place persist across details and Calendar.
2. Participant receives the applicable update notice.</v>
      </c>
      <c r="E20" s="121" t="str">
        <v>Organizer owns a Published test meeting; future schedule; participant browser/inbox available.</v>
      </c>
      <c r="F20" s="121" t="str">
        <v>NotRun</v>
      </c>
      <c r="G20" s="122" t="str"/>
      <c r="H20" s="121" t="str"/>
      <c r="I20" s="121" t="str"/>
      <c r="J20" s="122" t="str"/>
      <c r="K20" s="121" t="str"/>
      <c r="L20" s="121" t="str"/>
      <c r="M20" s="122" t="str"/>
      <c r="N20" s="121" t="str"/>
      <c r="O20" s="123" t="str"/>
      <c r="P20" s="124"/>
      <c r="Q20" s="113"/>
      <c r="R20" s="113"/>
      <c r="S20" s="113"/>
      <c r="T20" s="113"/>
      <c r="U20" s="113"/>
      <c r="V20" s="113"/>
      <c r="W20" s="113"/>
      <c r="X20" s="113"/>
      <c r="Y20" s="113"/>
    </row>
    <row r="21" ht="103.19999999999999" customHeight="1">
      <c r="A21" s="121" t="str">
        <v>EDIT_IT08</v>
      </c>
      <c r="B21" s="121" t="str">
        <v>Published title and sensitivity stay locked</v>
      </c>
      <c r="C21" s="121" t="str">
        <v>1. Open "Dời lịch".
2. Inspect title, description, mode and sensitivity controls.
3. Change only allowed schedule data and click "Lưu và thông báo".</v>
      </c>
      <c r="D21" s="121" t="str">
        <v>1. Non-reschedulable information is disabled/read-only.
2. Saved meeting retains original title, description, mode and sensitivity.</v>
      </c>
      <c r="E21" s="121" t="str">
        <v>Organizer owns a Published test meeting; details open.</v>
      </c>
      <c r="F21" s="121" t="str">
        <v>NotRun</v>
      </c>
      <c r="G21" s="122" t="str"/>
      <c r="H21" s="121" t="str"/>
      <c r="I21" s="121" t="str"/>
      <c r="J21" s="122" t="str"/>
      <c r="K21" s="121" t="str"/>
      <c r="L21" s="121" t="str"/>
      <c r="M21" s="122" t="str"/>
      <c r="N21" s="121" t="str"/>
      <c r="O21" s="123" t="str"/>
      <c r="P21" s="124"/>
      <c r="Q21" s="113"/>
      <c r="R21" s="113"/>
      <c r="S21" s="113"/>
      <c r="T21" s="113"/>
      <c r="U21" s="113"/>
      <c r="V21" s="113"/>
      <c r="W21" s="113"/>
      <c r="X21" s="113"/>
      <c r="Y21" s="113"/>
    </row>
    <row r="22" ht="103.19999999999999" customHeight="1">
      <c r="A22" s="121" t="str">
        <v>EDIT_IT09</v>
      </c>
      <c r="B22" s="121" t="str">
        <v>Past reschedule is rejected</v>
      </c>
      <c r="C22" s="121" t="str">
        <v>1. Open "Dời lịch".
2. Select yesterday and valid increasing times.
3. Click "Lưu và thông báo"; click "Huỷ", then "Bỏ thay đổi" if prompted, and reload.</v>
      </c>
      <c r="D22" s="121" t="str">
        <v>1. Future-start validation prevents save.
2. Original published schedule is retained.</v>
      </c>
      <c r="E22" s="121" t="str">
        <v>Organizer owns a Published test meeting; original schedule recorded.</v>
      </c>
      <c r="F22" s="121" t="str">
        <v>NotRun</v>
      </c>
      <c r="G22" s="122" t="str"/>
      <c r="H22" s="121" t="str"/>
      <c r="I22" s="121" t="str"/>
      <c r="J22" s="122" t="str"/>
      <c r="K22" s="121" t="str"/>
      <c r="L22" s="121" t="str"/>
      <c r="M22" s="122" t="str"/>
      <c r="N22" s="121" t="str"/>
      <c r="O22" s="123" t="str"/>
      <c r="P22" s="124"/>
      <c r="Q22" s="113"/>
      <c r="R22" s="113"/>
      <c r="S22" s="113"/>
      <c r="T22" s="113"/>
      <c r="U22" s="113"/>
      <c r="V22" s="113"/>
      <c r="W22" s="113"/>
      <c r="X22" s="113"/>
      <c r="Y22" s="113"/>
    </row>
  </sheetData>
  <mergeCells count="6">
    <mergeCell ref="B2:E2"/>
    <mergeCell ref="B3:E3"/>
    <mergeCell ref="B4:E4"/>
    <mergeCell ref="A11:O11"/>
    <mergeCell ref="A16:O16"/>
    <mergeCell ref="A19:O19"/>
  </mergeCells>
  <dataValidations count="3">
    <dataValidation type="list" allowBlank="1" showErrorMessage="1" errorTitle="Select a test status" error="Use the status dropdown." sqref="F12 F13 F14 F15 F17 F18 F20 F21 F22">
      <formula1>"NotRun,Passed,Failed,Blocked,Skipped"</formula1>
    </dataValidation>
    <dataValidation type="list" allowBlank="1" showErrorMessage="1" errorTitle="Select a test status" error="Use the status dropdown." sqref="I12 I13 I14 I15 I17 I18 I20 I21 I22">
      <formula1>"NotRun,Passed,Failed,Blocked,Skipped"</formula1>
    </dataValidation>
    <dataValidation type="list" allowBlank="1" showErrorMessage="1" errorTitle="Select a test status" error="Use the status dropdown." sqref="L12 L13 L14 L15 L17 L18 L20 L21 L22">
      <formula1>"NotRun,Passed,Failed,Blocked,Skipped"</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topLeftCell="A1" zoomScale="70" showGridLines="0">
      <pane xSplit="2" ySplit="10" topLeftCell="C11" activePane="bottomRight" state="frozen"/>
      <selection pane="bottomRight" activeCell="A1" sqref="A1"/>
    </sheetView>
  </sheetViews>
  <sheetFormatPr customHeight="1" defaultColWidth="12.63" defaultRowHeight="15.0" outlineLevelCol="1" outlineLevelRow="1"/>
  <cols>
    <col customWidth="1" min="1" max="1" width="17.0"/>
    <col customWidth="1" min="2" max="2" width="34.5"/>
    <col customWidth="1" min="3" max="3" width="34.13"/>
    <col customWidth="1" min="4" max="4" width="43.75"/>
    <col customWidth="1" min="5" max="5" width="28.38"/>
    <col customWidth="1" min="6" max="6" width="9.38"/>
    <col customWidth="1" min="7" max="7" width="10.38" outlineLevel="1"/>
    <col customWidth="1" min="8" max="9" width="9.38"/>
    <col customWidth="1" min="10" max="10" width="10.38" outlineLevel="1"/>
    <col customWidth="1" min="11" max="12" width="9.38"/>
    <col customWidth="1" min="13" max="13" width="10.38" outlineLevel="1"/>
    <col customWidth="1" min="14" max="14" width="9.38"/>
    <col customWidth="1" min="15" max="15" width="24"/>
    <col customWidth="1" hidden="1" min="16" max="16" width="7.63"/>
    <col customWidth="1" min="17" max="25" width="9.0"/>
  </cols>
  <sheetData>
    <row r="1" ht="12.75" customHeight="1">
      <c r="A1" s="108"/>
      <c r="B1" s="108"/>
      <c r="C1" s="108"/>
      <c r="D1" s="108"/>
      <c r="E1" s="108"/>
      <c r="F1" s="108"/>
      <c r="G1" s="108"/>
      <c r="H1" s="108"/>
      <c r="I1" s="108"/>
      <c r="J1" s="108"/>
      <c r="K1" s="108"/>
      <c r="L1" s="108"/>
      <c r="M1" s="108"/>
      <c r="N1" s="108"/>
      <c r="O1" s="108"/>
      <c r="P1" s="45"/>
      <c r="Q1" s="45"/>
      <c r="R1" s="45"/>
      <c r="S1" s="45"/>
      <c r="T1" s="45"/>
      <c r="U1" s="45"/>
      <c r="V1" s="45"/>
      <c r="W1" s="45"/>
      <c r="X1" s="45"/>
      <c r="Y1" s="109"/>
    </row>
    <row r="2" ht="15.0" customHeight="1">
      <c r="A2" s="110" t="str">
        <v>Feature</v>
      </c>
      <c r="B2" s="111" t="str">
        <v>Meeting List</v>
      </c>
      <c r="C2" s="5"/>
      <c r="D2" s="5"/>
      <c r="E2" s="112"/>
      <c r="F2" s="108"/>
      <c r="G2" s="108"/>
      <c r="H2" s="108"/>
      <c r="I2" s="108"/>
      <c r="J2" s="108"/>
      <c r="K2" s="108"/>
      <c r="L2" s="108"/>
      <c r="M2" s="108"/>
      <c r="N2" s="108"/>
      <c r="O2" s="108"/>
      <c r="P2" s="113" t="str">
        <v>Passed</v>
      </c>
      <c r="Q2" s="113"/>
      <c r="R2" s="113"/>
      <c r="S2" s="113"/>
      <c r="T2" s="113"/>
      <c r="U2" s="113"/>
      <c r="V2" s="113"/>
      <c r="W2" s="113"/>
      <c r="X2" s="113"/>
      <c r="Y2" s="114"/>
    </row>
    <row r="3" ht="52" customHeight="1">
      <c r="A3" s="110" t="str">
        <v>Test requirement</v>
      </c>
      <c r="B3" s="111" t="str">
        <v>Manual integration: perform the browser steps and compare saved data or recipient screens. Check prerequisites before execution.</v>
      </c>
      <c r="C3" s="5"/>
      <c r="D3" s="5"/>
      <c r="E3" s="112"/>
      <c r="F3" s="108"/>
      <c r="G3" s="108"/>
      <c r="H3" s="108"/>
      <c r="I3" s="108"/>
      <c r="J3" s="108"/>
      <c r="K3" s="108"/>
      <c r="L3" s="108"/>
      <c r="M3" s="108"/>
      <c r="N3" s="108"/>
      <c r="O3" s="108"/>
      <c r="P3" s="113" t="str">
        <v>Failed</v>
      </c>
      <c r="Q3" s="113"/>
      <c r="R3" s="113"/>
      <c r="S3" s="113"/>
      <c r="T3" s="113"/>
      <c r="U3" s="113"/>
      <c r="V3" s="113"/>
      <c r="W3" s="113"/>
      <c r="X3" s="113"/>
      <c r="Y3" s="114"/>
    </row>
    <row r="4" ht="18.0" customHeight="1">
      <c r="A4" s="110" t="str">
        <v>Number of TCs</v>
      </c>
      <c r="B4" s="111" t="n">
        <v>10</v>
      </c>
      <c r="C4" s="5"/>
      <c r="D4" s="5"/>
      <c r="E4" s="112"/>
      <c r="F4" s="108"/>
      <c r="G4" s="108"/>
      <c r="H4" s="108"/>
      <c r="I4" s="108"/>
      <c r="J4" s="108"/>
      <c r="K4" s="108"/>
      <c r="L4" s="108"/>
      <c r="M4" s="108"/>
      <c r="N4" s="108"/>
      <c r="O4" s="108"/>
      <c r="P4" s="113" t="str">
        <v>NotRun</v>
      </c>
      <c r="Q4" s="113"/>
      <c r="R4" s="113"/>
      <c r="S4" s="113"/>
      <c r="T4" s="113"/>
      <c r="U4" s="113"/>
      <c r="V4" s="113"/>
      <c r="W4" s="113"/>
      <c r="X4" s="113"/>
      <c r="Y4" s="114"/>
    </row>
    <row r="5" ht="19.5" customHeight="1">
      <c r="A5" s="115" t="str">
        <v>Testing Round</v>
      </c>
      <c r="B5" s="115" t="str">
        <v>Passed</v>
      </c>
      <c r="C5" s="115" t="str">
        <v>Failed</v>
      </c>
      <c r="D5" s="115" t="str">
        <v>Pending</v>
      </c>
      <c r="E5" s="115" t="str">
        <v>N/A</v>
      </c>
      <c r="F5" s="108"/>
      <c r="G5" s="108"/>
      <c r="H5" s="108"/>
      <c r="I5" s="108"/>
      <c r="J5" s="108"/>
      <c r="K5" s="108"/>
      <c r="L5" s="108"/>
      <c r="M5" s="108"/>
      <c r="N5" s="108"/>
      <c r="O5" s="108"/>
      <c r="P5" s="113" t="str">
        <v>Skipped</v>
      </c>
      <c r="Q5" s="113"/>
      <c r="R5" s="113"/>
      <c r="S5" s="113"/>
      <c r="T5" s="113"/>
      <c r="U5" s="113"/>
      <c r="V5" s="113"/>
      <c r="W5" s="113"/>
      <c r="X5" s="113"/>
      <c r="Y5" s="114"/>
    </row>
    <row r="6" ht="15.0" customHeight="1">
      <c r="A6" s="116" t="str">
        <v>Round 1</v>
      </c>
      <c r="B6" s="115" t="n">
        <f>COUNTIF(F12:F24,"Passed")</f>
        <v>0</v>
      </c>
      <c r="C6" s="115" t="n">
        <f>COUNTIF(F12:F24,"Failed")</f>
        <v>0</v>
      </c>
      <c r="D6" s="115" t="n">
        <f>B4-B6-C6-E6</f>
        <v>10</v>
      </c>
      <c r="E6" s="115" t="n">
        <f>COUNTIF(F12:F24,"Skipped")</f>
        <v>0</v>
      </c>
      <c r="F6" s="108"/>
      <c r="G6" s="108"/>
      <c r="H6" s="108"/>
      <c r="I6" s="108"/>
      <c r="J6" s="108"/>
      <c r="K6" s="108"/>
      <c r="L6" s="108"/>
      <c r="M6" s="108"/>
      <c r="N6" s="108"/>
      <c r="O6" s="108"/>
      <c r="P6" s="113"/>
      <c r="Q6" s="113"/>
      <c r="R6" s="113"/>
      <c r="S6" s="113"/>
      <c r="T6" s="113"/>
      <c r="U6" s="113"/>
      <c r="V6" s="113"/>
      <c r="W6" s="113"/>
      <c r="X6" s="113"/>
      <c r="Y6" s="114"/>
    </row>
    <row r="7" ht="15.0" customHeight="1">
      <c r="A7" s="116" t="str">
        <v>Round 2</v>
      </c>
      <c r="B7" s="115" t="n">
        <f>COUNTIF(I12:I24,"Passed")</f>
        <v>0</v>
      </c>
      <c r="C7" s="115" t="n">
        <f>COUNTIF(I12:I24,"Failed")</f>
        <v>0</v>
      </c>
      <c r="D7" s="115" t="n">
        <f>B4-B7-C7-E7</f>
        <v>10</v>
      </c>
      <c r="E7" s="115" t="n">
        <f>COUNTIF(I12:I24,"Skipped")</f>
        <v>0</v>
      </c>
      <c r="F7" s="108"/>
      <c r="G7" s="108"/>
      <c r="H7" s="108"/>
      <c r="I7" s="108"/>
      <c r="J7" s="108"/>
      <c r="K7" s="108"/>
      <c r="L7" s="108"/>
      <c r="M7" s="108"/>
      <c r="N7" s="108"/>
      <c r="O7" s="108"/>
      <c r="P7" s="113"/>
      <c r="Q7" s="113"/>
      <c r="R7" s="113"/>
      <c r="S7" s="113"/>
      <c r="T7" s="113"/>
      <c r="U7" s="113"/>
      <c r="V7" s="113"/>
      <c r="W7" s="113"/>
      <c r="X7" s="113"/>
      <c r="Y7" s="114"/>
    </row>
    <row r="8" ht="15.0" customHeight="1">
      <c r="A8" s="116" t="str">
        <v>Round 3</v>
      </c>
      <c r="B8" s="115" t="n">
        <f>COUNTIF(L12:L24,"Passed")</f>
        <v>0</v>
      </c>
      <c r="C8" s="115" t="n">
        <f>COUNTIF(L12:L24,"Failed")</f>
        <v>0</v>
      </c>
      <c r="D8" s="115" t="n">
        <f>B4-B8-C8-E8</f>
        <v>10</v>
      </c>
      <c r="E8" s="115" t="n">
        <f>COUNTIF(L12:L24,"Skipped")</f>
        <v>0</v>
      </c>
      <c r="F8" s="108"/>
      <c r="G8" s="108"/>
      <c r="H8" s="108"/>
      <c r="I8" s="108"/>
      <c r="J8" s="108"/>
      <c r="K8" s="108"/>
      <c r="L8" s="108"/>
      <c r="M8" s="108"/>
      <c r="N8" s="108"/>
      <c r="O8" s="108"/>
      <c r="P8" s="113"/>
      <c r="Q8" s="113"/>
      <c r="R8" s="113"/>
      <c r="S8" s="113"/>
      <c r="T8" s="113"/>
      <c r="U8" s="113"/>
      <c r="V8" s="113"/>
      <c r="W8" s="113"/>
      <c r="X8" s="113"/>
      <c r="Y8" s="114"/>
    </row>
    <row r="9" ht="15.0" customHeight="1">
      <c r="A9" s="108"/>
      <c r="B9" s="108"/>
      <c r="C9" s="108"/>
      <c r="D9" s="108"/>
      <c r="E9" s="108"/>
      <c r="F9" s="108"/>
      <c r="G9" s="108"/>
      <c r="H9" s="108"/>
      <c r="I9" s="108"/>
      <c r="J9" s="108"/>
      <c r="K9" s="108"/>
      <c r="L9" s="108"/>
      <c r="M9" s="108"/>
      <c r="N9" s="108"/>
      <c r="O9" s="108"/>
      <c r="P9" s="113"/>
      <c r="Q9" s="113"/>
      <c r="R9" s="113"/>
      <c r="S9" s="113"/>
      <c r="T9" s="113"/>
      <c r="U9" s="113"/>
      <c r="V9" s="113"/>
      <c r="W9" s="113"/>
      <c r="X9" s="113"/>
      <c r="Y9" s="114"/>
    </row>
    <row r="10" ht="42" customHeight="1">
      <c r="A10" s="117" t="str">
        <v>Test Case ID</v>
      </c>
      <c r="B10" s="117" t="str">
        <v>Test Case Description</v>
      </c>
      <c r="C10" s="117" t="str">
        <v>Test Case Procedure</v>
      </c>
      <c r="D10" s="117" t="str">
        <v>Expected Results</v>
      </c>
      <c r="E10" s="117" t="str">
        <v>Pre-conditions</v>
      </c>
      <c r="F10" s="117" t="str">
        <v>Round 1</v>
      </c>
      <c r="G10" s="117" t="str">
        <v>Test date</v>
      </c>
      <c r="H10" s="117" t="str">
        <v>Tester</v>
      </c>
      <c r="I10" s="117" t="str">
        <v>Round 2</v>
      </c>
      <c r="J10" s="117" t="str">
        <v>Test date</v>
      </c>
      <c r="K10" s="117" t="str">
        <v>Tester</v>
      </c>
      <c r="L10" s="117" t="str">
        <v>Round 3</v>
      </c>
      <c r="M10" s="117" t="str">
        <v>Test date</v>
      </c>
      <c r="N10" s="117" t="str">
        <v>Tester</v>
      </c>
      <c r="O10" s="117" t="str">
        <v>Actual result / Evidence / Defect</v>
      </c>
      <c r="P10" s="118"/>
      <c r="Q10" s="113"/>
      <c r="R10" s="113"/>
      <c r="S10" s="113"/>
      <c r="T10" s="113"/>
      <c r="U10" s="113"/>
      <c r="V10" s="113"/>
      <c r="W10" s="113"/>
      <c r="X10" s="113"/>
      <c r="Y10" s="113"/>
    </row>
    <row r="11" ht="24" customHeight="1">
      <c r="A11" s="119" t="str">
        <v>Meeting List - Search and filters</v>
      </c>
      <c r="B11" s="119"/>
      <c r="C11" s="119"/>
      <c r="D11" s="119"/>
      <c r="E11" s="119"/>
      <c r="F11" s="119"/>
      <c r="G11" s="119"/>
      <c r="H11" s="119"/>
      <c r="I11" s="119"/>
      <c r="J11" s="119"/>
      <c r="K11" s="119"/>
      <c r="L11" s="119"/>
      <c r="M11" s="119"/>
      <c r="N11" s="119"/>
      <c r="O11" s="150"/>
      <c r="P11" s="124"/>
      <c r="Q11" s="113"/>
      <c r="R11" s="113"/>
      <c r="S11" s="113"/>
      <c r="T11" s="113"/>
      <c r="U11" s="113"/>
      <c r="V11" s="113"/>
      <c r="W11" s="113"/>
      <c r="X11" s="113"/>
      <c r="Y11" s="113"/>
    </row>
    <row r="12" ht="103.19999999999999" customHeight="1">
      <c r="A12" s="121" t="str">
        <v>LIST_IT01</v>
      </c>
      <c r="B12" s="121" t="str">
        <v>Search by a known title fragment</v>
      </c>
      <c r="C12" s="121" t="str">
        <v>1. Open /mgmt/meetings.
2. Enter a distinctive fragment of a readable title.
3. Wait for results; clear the search.</v>
      </c>
      <c r="D12" s="121" t="str">
        <v>1. Matching readable meetings appear.
2. Clearing search restores the applicable list without showing the private meeting.</v>
      </c>
      <c r="E12" s="121" t="str">
        <v>Signed-in user; QA lead supplies readable meetings with known titles, states, sensitivities and dates plus one unrelated private meeting.</v>
      </c>
      <c r="F12" s="121" t="str">
        <v>NotRun</v>
      </c>
      <c r="G12" s="122" t="str"/>
      <c r="H12" s="121" t="str"/>
      <c r="I12" s="121" t="str"/>
      <c r="J12" s="122" t="str"/>
      <c r="K12" s="121" t="str"/>
      <c r="L12" s="121" t="str"/>
      <c r="M12" s="122" t="str"/>
      <c r="N12" s="121" t="str"/>
      <c r="O12" s="123" t="str"/>
      <c r="P12" s="124"/>
      <c r="Q12" s="113"/>
      <c r="R12" s="113"/>
      <c r="S12" s="113"/>
      <c r="T12" s="113"/>
      <c r="U12" s="113"/>
      <c r="V12" s="113"/>
      <c r="W12" s="113"/>
      <c r="X12" s="113"/>
      <c r="Y12" s="113"/>
    </row>
    <row r="13" ht="103.19999999999999" customHeight="1">
      <c r="A13" s="121" t="str">
        <v>LIST_IT02</v>
      </c>
      <c r="B13" s="121" t="str">
        <v>No-match search shows an empty result</v>
      </c>
      <c r="C13" s="121" t="str">
        <v>1. Search title fragment NO_MATCH_MANUAL_QA_9381.
2. Inspect result and clear search.</v>
      </c>
      <c r="D13" s="121" t="str">
        <v>1. No-match state is shown rather than stale prior rows.
2. Clearing restores available records.</v>
      </c>
      <c r="E13" s="121" t="str">
        <v>Signed-in user; QA lead supplies readable meetings with known titles, states, sensitivities and dates plus one unrelated private meeting.</v>
      </c>
      <c r="F13" s="121" t="str">
        <v>NotRun</v>
      </c>
      <c r="G13" s="122" t="str"/>
      <c r="H13" s="121" t="str"/>
      <c r="I13" s="121" t="str"/>
      <c r="J13" s="122" t="str"/>
      <c r="K13" s="121" t="str"/>
      <c r="L13" s="121" t="str"/>
      <c r="M13" s="122" t="str"/>
      <c r="N13" s="121" t="str"/>
      <c r="O13" s="123" t="str"/>
      <c r="P13" s="124"/>
      <c r="Q13" s="113"/>
      <c r="R13" s="113"/>
      <c r="S13" s="113"/>
      <c r="T13" s="113"/>
      <c r="U13" s="113"/>
      <c r="V13" s="113"/>
      <c r="W13" s="113"/>
      <c r="X13" s="113"/>
      <c r="Y13" s="113"/>
    </row>
    <row r="14" ht="103.19999999999999" customHeight="1">
      <c r="A14" s="121" t="str">
        <v>LIST_IT03</v>
      </c>
      <c r="B14" s="121" t="str">
        <v>Filter by meeting status</v>
      </c>
      <c r="C14" s="121" t="str">
        <v>1. Choose "Chờ duyệt" in the status filter.
2. Inspect every row; then choose "Đã duyệt".</v>
      </c>
      <c r="D14" s="121" t="str">
        <v>1. Each result has the selected status.
2. Status change refreshes the result set.</v>
      </c>
      <c r="E14" s="121" t="str">
        <v>Signed-in user; QA lead supplies readable meetings with known titles, states, sensitivities and dates plus one unrelated private meeting.</v>
      </c>
      <c r="F14" s="121" t="str">
        <v>NotRun</v>
      </c>
      <c r="G14" s="122" t="str"/>
      <c r="H14" s="121" t="str"/>
      <c r="I14" s="121" t="str"/>
      <c r="J14" s="122" t="str"/>
      <c r="K14" s="121" t="str"/>
      <c r="L14" s="121" t="str"/>
      <c r="M14" s="122" t="str"/>
      <c r="N14" s="121" t="str"/>
      <c r="O14" s="123" t="str"/>
      <c r="P14" s="124"/>
      <c r="Q14" s="113"/>
      <c r="R14" s="113"/>
      <c r="S14" s="113"/>
      <c r="T14" s="113"/>
      <c r="U14" s="113"/>
      <c r="V14" s="113"/>
      <c r="W14" s="113"/>
      <c r="X14" s="113"/>
      <c r="Y14" s="113"/>
    </row>
    <row r="15" ht="103.19999999999999" customHeight="1">
      <c r="A15" s="121" t="str">
        <v>LIST_IT04</v>
      </c>
      <c r="B15" s="121" t="str">
        <v>Filter by sensitivity</v>
      </c>
      <c r="C15" s="121" t="str">
        <v>1. Choose "Mật" in the sensitivity filter.
2. Inspect returned badges.
3. Clear the filter.</v>
      </c>
      <c r="D15" s="121" t="str">
        <v>1. Only caller-readable "Mật" meetings are listed.
2. Clearing restores other permitted sensitivities.</v>
      </c>
      <c r="E15" s="121" t="str">
        <v>Signed-in user; QA lead supplies readable meetings with known titles, states, sensitivities and dates plus one unrelated private meeting.</v>
      </c>
      <c r="F15" s="121" t="str">
        <v>NotRun</v>
      </c>
      <c r="G15" s="122" t="str"/>
      <c r="H15" s="121" t="str"/>
      <c r="I15" s="121" t="str"/>
      <c r="J15" s="122" t="str"/>
      <c r="K15" s="121" t="str"/>
      <c r="L15" s="121" t="str"/>
      <c r="M15" s="122" t="str"/>
      <c r="N15" s="121" t="str"/>
      <c r="O15" s="123" t="str"/>
      <c r="P15" s="124"/>
      <c r="Q15" s="113"/>
      <c r="R15" s="113"/>
      <c r="S15" s="113"/>
      <c r="T15" s="113"/>
      <c r="U15" s="113"/>
      <c r="V15" s="113"/>
      <c r="W15" s="113"/>
      <c r="X15" s="113"/>
      <c r="Y15" s="113"/>
    </row>
    <row r="16" ht="103.19999999999999" customHeight="1">
      <c r="A16" s="121" t="str">
        <v>LIST_IT05</v>
      </c>
      <c r="B16" s="121" t="str">
        <v>Combine search, status and date range</v>
      </c>
      <c r="C16" s="121" t="str">
        <v>1. Search a known title fragment.
2. Select its status and a range covering its time.
3. Change range to exclude it.</v>
      </c>
      <c r="D16" s="121" t="str">
        <v>1. Results satisfy all filters together.
2. Meeting disappears when excluded by the range.</v>
      </c>
      <c r="E16" s="121" t="str">
        <v>Signed-in user; QA lead supplies readable meetings with known titles, states, sensitivities and dates plus one unrelated private meeting.</v>
      </c>
      <c r="F16" s="121" t="str">
        <v>NotRun</v>
      </c>
      <c r="G16" s="122" t="str"/>
      <c r="H16" s="121" t="str"/>
      <c r="I16" s="121" t="str"/>
      <c r="J16" s="122" t="str"/>
      <c r="K16" s="121" t="str"/>
      <c r="L16" s="121" t="str"/>
      <c r="M16" s="122" t="str"/>
      <c r="N16" s="121" t="str"/>
      <c r="O16" s="123" t="str"/>
      <c r="P16" s="124"/>
      <c r="Q16" s="113"/>
      <c r="R16" s="113"/>
      <c r="S16" s="113"/>
      <c r="T16" s="113"/>
      <c r="U16" s="113"/>
      <c r="V16" s="113"/>
      <c r="W16" s="113"/>
      <c r="X16" s="113"/>
      <c r="Y16" s="113"/>
    </row>
    <row r="17" ht="103.19999999999999" customHeight="1">
      <c r="A17" s="121" t="str">
        <v>LIST_IT06</v>
      </c>
      <c r="B17" s="121" t="str">
        <v>Reversed date range is handled</v>
      </c>
      <c r="C17" s="121" t="str">
        <v>1. Set from-date later than to-date.
2. Read the list message.
3. Correct dates.</v>
      </c>
      <c r="D17" s="121" t="str">
        <v>1. Page explains the invalid range and does not present it as valid results.
2. Corrected range reloads appropriate rows.</v>
      </c>
      <c r="E17" s="121" t="str">
        <v>Signed-in user; QA lead supplies readable meetings with known titles, states, sensitivities and dates plus one unrelated private meeting.</v>
      </c>
      <c r="F17" s="121" t="str">
        <v>NotRun</v>
      </c>
      <c r="G17" s="122" t="str"/>
      <c r="H17" s="121" t="str"/>
      <c r="I17" s="121" t="str"/>
      <c r="J17" s="122" t="str"/>
      <c r="K17" s="121" t="str"/>
      <c r="L17" s="121" t="str"/>
      <c r="M17" s="122" t="str"/>
      <c r="N17" s="121" t="str"/>
      <c r="O17" s="123" t="str"/>
      <c r="P17" s="124"/>
      <c r="Q17" s="113"/>
      <c r="R17" s="113"/>
      <c r="S17" s="113"/>
      <c r="T17" s="113"/>
      <c r="U17" s="113"/>
      <c r="V17" s="113"/>
      <c r="W17" s="113"/>
      <c r="X17" s="113"/>
      <c r="Y17" s="113"/>
    </row>
    <row r="18" ht="24" customHeight="1">
      <c r="A18" s="119" t="str">
        <v>Meeting List - Sorting and pagination</v>
      </c>
      <c r="B18" s="119"/>
      <c r="C18" s="119"/>
      <c r="D18" s="119"/>
      <c r="E18" s="119"/>
      <c r="F18" s="119"/>
      <c r="G18" s="119"/>
      <c r="H18" s="119"/>
      <c r="I18" s="119"/>
      <c r="J18" s="119"/>
      <c r="K18" s="119"/>
      <c r="L18" s="119"/>
      <c r="M18" s="119"/>
      <c r="N18" s="119"/>
      <c r="O18" s="150"/>
      <c r="P18" s="124"/>
      <c r="Q18" s="113"/>
      <c r="R18" s="113"/>
      <c r="S18" s="113"/>
      <c r="T18" s="113"/>
      <c r="U18" s="113"/>
      <c r="V18" s="113"/>
      <c r="W18" s="113"/>
      <c r="X18" s="113"/>
      <c r="Y18" s="113"/>
    </row>
    <row r="19" ht="118.39999999999999" customHeight="1">
      <c r="A19" s="121" t="str">
        <v>LIST_IT07</v>
      </c>
      <c r="B19" s="121" t="str">
        <v>Title sorting changes direction</v>
      </c>
      <c r="C19" s="121" t="str">
        <v>1. Click the title sort control.
2. Record first/last title.
3. Click again.</v>
      </c>
      <c r="D19" s="121" t="str">
        <v>1. Sort direction changes between ascending and descending.
2. Rows remain subject to visibility and filters.</v>
      </c>
      <c r="E19" s="121" t="str">
        <v>Signed-in user; QA lead supplies readable meetings with known titles, states, sensitivities and dates plus one unrelated private meeting. At least three distinct readable titles.</v>
      </c>
      <c r="F19" s="121" t="str">
        <v>NotRun</v>
      </c>
      <c r="G19" s="122" t="str"/>
      <c r="H19" s="121" t="str"/>
      <c r="I19" s="121" t="str"/>
      <c r="J19" s="122" t="str"/>
      <c r="K19" s="121" t="str"/>
      <c r="L19" s="121" t="str"/>
      <c r="M19" s="122" t="str"/>
      <c r="N19" s="121" t="str"/>
      <c r="O19" s="123" t="str"/>
      <c r="P19" s="124"/>
      <c r="Q19" s="113"/>
      <c r="R19" s="113"/>
      <c r="S19" s="113"/>
      <c r="T19" s="113"/>
      <c r="U19" s="113"/>
      <c r="V19" s="113"/>
      <c r="W19" s="113"/>
      <c r="X19" s="113"/>
      <c r="Y19" s="113"/>
    </row>
    <row r="20" ht="133.6" customHeight="1">
      <c r="A20" s="121" t="str">
        <v>LIST_IT08</v>
      </c>
      <c r="B20" s="121" t="str">
        <v>Page size and next page return the right records</v>
      </c>
      <c r="C20" s="121" t="str">
        <v>1. Choose page size 10.
2. Go to page 2; record titles.
3. Reload and compare.</v>
      </c>
      <c r="D20" s="121" t="str">
        <v>1. Page contains at most 10 matching records and paging information is correct.
2. Page 2 and its criteria survive reload.</v>
      </c>
      <c r="E20" s="121" t="str">
        <v>Signed-in user; QA lead supplies readable meetings with known titles, states, sensitivities and dates plus one unrelated private meeting. More than 20 readable meetings with distinct titles.</v>
      </c>
      <c r="F20" s="121" t="str">
        <v>NotRun</v>
      </c>
      <c r="G20" s="122" t="str"/>
      <c r="H20" s="121" t="str"/>
      <c r="I20" s="121" t="str"/>
      <c r="J20" s="122" t="str"/>
      <c r="K20" s="121" t="str"/>
      <c r="L20" s="121" t="str"/>
      <c r="M20" s="122" t="str"/>
      <c r="N20" s="121" t="str"/>
      <c r="O20" s="123" t="str"/>
      <c r="P20" s="124"/>
      <c r="Q20" s="113"/>
      <c r="R20" s="113"/>
      <c r="S20" s="113"/>
      <c r="T20" s="113"/>
      <c r="U20" s="113"/>
      <c r="V20" s="113"/>
      <c r="W20" s="113"/>
      <c r="X20" s="113"/>
      <c r="Y20" s="113"/>
    </row>
    <row r="21" ht="24" customHeight="1">
      <c r="A21" s="119" t="str">
        <v>Meeting List - Navigation integration</v>
      </c>
      <c r="B21" s="119"/>
      <c r="C21" s="119"/>
      <c r="D21" s="119"/>
      <c r="E21" s="119"/>
      <c r="F21" s="119"/>
      <c r="G21" s="119"/>
      <c r="H21" s="119"/>
      <c r="I21" s="119"/>
      <c r="J21" s="119"/>
      <c r="K21" s="119"/>
      <c r="L21" s="119"/>
      <c r="M21" s="119"/>
      <c r="N21" s="119"/>
      <c r="O21" s="150"/>
      <c r="P21" s="124"/>
      <c r="Q21" s="113"/>
      <c r="R21" s="113"/>
      <c r="S21" s="113"/>
      <c r="T21" s="113"/>
      <c r="U21" s="113"/>
      <c r="V21" s="113"/>
      <c r="W21" s="113"/>
      <c r="X21" s="113"/>
      <c r="Y21" s="113"/>
    </row>
    <row r="22" ht="103.19999999999999" customHeight="1">
      <c r="A22" s="121" t="str">
        <v>LIST_IT09</v>
      </c>
      <c r="B22" s="121" t="str">
        <v>Detail back-link restores list criteria</v>
      </c>
      <c r="C22" s="121" t="str">
        <v>1. Apply search/filter and select a page containing results.
2. Open a meeting.
3. Use the page back-link to "Cuộc họp".</v>
      </c>
      <c r="D22" s="121" t="str">
        <v>1. Returns to the originating list criteria, sort and page.
2. Meeting details corresponded to the row opened.</v>
      </c>
      <c r="E22" s="121" t="str">
        <v>Signed-in user; QA lead supplies readable meetings with known titles, states, sensitivities and dates plus one unrelated private meeting.</v>
      </c>
      <c r="F22" s="121" t="str">
        <v>NotRun</v>
      </c>
      <c r="G22" s="122" t="str"/>
      <c r="H22" s="121" t="str"/>
      <c r="I22" s="121" t="str"/>
      <c r="J22" s="122" t="str"/>
      <c r="K22" s="121" t="str"/>
      <c r="L22" s="121" t="str"/>
      <c r="M22" s="122" t="str"/>
      <c r="N22" s="121" t="str"/>
      <c r="O22" s="123" t="str"/>
      <c r="P22" s="124"/>
      <c r="Q22" s="113"/>
      <c r="R22" s="113"/>
      <c r="S22" s="113"/>
      <c r="T22" s="113"/>
      <c r="U22" s="113"/>
      <c r="V22" s="113"/>
      <c r="W22" s="113"/>
      <c r="X22" s="113"/>
      <c r="Y22" s="113"/>
    </row>
    <row r="23" ht="24" customHeight="1">
      <c r="A23" s="119" t="str">
        <v>Meeting List - Visibility integration</v>
      </c>
      <c r="B23" s="119"/>
      <c r="C23" s="119"/>
      <c r="D23" s="119"/>
      <c r="E23" s="119"/>
      <c r="F23" s="119"/>
      <c r="G23" s="119"/>
      <c r="H23" s="119"/>
      <c r="I23" s="119"/>
      <c r="J23" s="119"/>
      <c r="K23" s="119"/>
      <c r="L23" s="119"/>
      <c r="M23" s="119"/>
      <c r="N23" s="119"/>
      <c r="O23" s="150"/>
      <c r="P23" s="124"/>
      <c r="Q23" s="113"/>
      <c r="R23" s="113"/>
      <c r="S23" s="113"/>
      <c r="T23" s="113"/>
      <c r="U23" s="113"/>
      <c r="V23" s="113"/>
      <c r="W23" s="113"/>
      <c r="X23" s="113"/>
      <c r="Y23" s="113"/>
    </row>
    <row r="24" ht="148.79999999999998" customHeight="1">
      <c r="A24" s="121" t="str">
        <v>LIST_IT10</v>
      </c>
      <c r="B24" s="121" t="str">
        <v>Unreadable meeting never appears in list</v>
      </c>
      <c r="C24" s="121" t="str">
        <v>1. Search the private title as the unrelated user.
2. Clear filters; inspect relevant pages.
3. Open its recorded detail URL.</v>
      </c>
      <c r="D24" s="121" t="str">
        <v>1. No private meeting row is returned.
2. Direct access shows not-found handling with no restricted details.</v>
      </c>
      <c r="E24" s="121" t="str">
        <v>Signed-in user; QA lead supplies readable meetings with known titles, states, sensitivities and dates plus one unrelated private meeting. Exact private title and direct URL supplied for the negative check.</v>
      </c>
      <c r="F24" s="121" t="str">
        <v>NotRun</v>
      </c>
      <c r="G24" s="122" t="str"/>
      <c r="H24" s="121" t="str"/>
      <c r="I24" s="121" t="str"/>
      <c r="J24" s="122" t="str"/>
      <c r="K24" s="121" t="str"/>
      <c r="L24" s="121" t="str"/>
      <c r="M24" s="122" t="str"/>
      <c r="N24" s="121" t="str"/>
      <c r="O24" s="123" t="str"/>
      <c r="P24" s="124"/>
      <c r="Q24" s="113"/>
      <c r="R24" s="113"/>
      <c r="S24" s="113"/>
      <c r="T24" s="113"/>
      <c r="U24" s="113"/>
      <c r="V24" s="113"/>
      <c r="W24" s="113"/>
      <c r="X24" s="113"/>
      <c r="Y24" s="113"/>
    </row>
  </sheetData>
  <mergeCells count="7">
    <mergeCell ref="B2:E2"/>
    <mergeCell ref="B3:E3"/>
    <mergeCell ref="B4:E4"/>
    <mergeCell ref="A11:O11"/>
    <mergeCell ref="A18:O18"/>
    <mergeCell ref="A21:O21"/>
    <mergeCell ref="A23:O23"/>
  </mergeCells>
  <dataValidations count="3">
    <dataValidation type="list" allowBlank="1" showErrorMessage="1" errorTitle="Select a test status" error="Use the status dropdown." sqref="F12 F13 F14 F15 F16 F17 F19 F20 F22 F24">
      <formula1>"NotRun,Passed,Failed,Blocked,Skipped"</formula1>
    </dataValidation>
    <dataValidation type="list" allowBlank="1" showErrorMessage="1" errorTitle="Select a test status" error="Use the status dropdown." sqref="I12 I13 I14 I15 I16 I17 I19 I20 I22 I24">
      <formula1>"NotRun,Passed,Failed,Blocked,Skipped"</formula1>
    </dataValidation>
    <dataValidation type="list" allowBlank="1" showErrorMessage="1" errorTitle="Select a test status" error="Use the status dropdown." sqref="L12 L13 L14 L15 L16 L17 L19 L20 L22 L24">
      <formula1>"NotRun,Passed,Failed,Blocked,Skipped"</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topLeftCell="A1" zoomScale="70" showGridLines="0">
      <pane xSplit="2" ySplit="10" topLeftCell="C11" activePane="bottomRight" state="frozen"/>
      <selection pane="bottomRight" activeCell="A1" sqref="A1"/>
    </sheetView>
  </sheetViews>
  <sheetFormatPr customHeight="1" defaultColWidth="12.63" defaultRowHeight="15.0" outlineLevelCol="1" outlineLevelRow="1"/>
  <cols>
    <col customWidth="1" min="1" max="1" width="17.0"/>
    <col customWidth="1" min="2" max="2" width="34.5"/>
    <col customWidth="1" min="3" max="3" width="34.13"/>
    <col customWidth="1" min="4" max="4" width="43.75"/>
    <col customWidth="1" min="5" max="5" width="28.38"/>
    <col customWidth="1" min="6" max="6" width="9.38"/>
    <col customWidth="1" min="7" max="7" width="10.38" outlineLevel="1"/>
    <col customWidth="1" min="8" max="9" width="9.38"/>
    <col customWidth="1" min="10" max="10" width="10.38" outlineLevel="1"/>
    <col customWidth="1" min="11" max="12" width="9.38"/>
    <col customWidth="1" min="13" max="13" width="10.38" outlineLevel="1"/>
    <col customWidth="1" min="14" max="14" width="9.38"/>
    <col customWidth="1" min="15" max="15" width="24"/>
    <col customWidth="1" hidden="1" min="16" max="16" width="7.63"/>
    <col customWidth="1" min="17" max="25" width="9.0"/>
  </cols>
  <sheetData>
    <row r="1" ht="12.75" customHeight="1">
      <c r="A1" s="108"/>
      <c r="B1" s="108"/>
      <c r="C1" s="108"/>
      <c r="D1" s="108"/>
      <c r="E1" s="108"/>
      <c r="F1" s="108"/>
      <c r="G1" s="108"/>
      <c r="H1" s="108"/>
      <c r="I1" s="108"/>
      <c r="J1" s="108"/>
      <c r="K1" s="108"/>
      <c r="L1" s="108"/>
      <c r="M1" s="108"/>
      <c r="N1" s="108"/>
      <c r="O1" s="108"/>
      <c r="P1" s="45"/>
      <c r="Q1" s="45"/>
      <c r="R1" s="45"/>
      <c r="S1" s="45"/>
      <c r="T1" s="45"/>
      <c r="U1" s="45"/>
      <c r="V1" s="45"/>
      <c r="W1" s="45"/>
      <c r="X1" s="45"/>
      <c r="Y1" s="109"/>
    </row>
    <row r="2" ht="15.0" customHeight="1">
      <c r="A2" s="110" t="str">
        <v>Feature</v>
      </c>
      <c r="B2" s="111" t="str">
        <v>Approval</v>
      </c>
      <c r="C2" s="5"/>
      <c r="D2" s="5"/>
      <c r="E2" s="112"/>
      <c r="F2" s="108"/>
      <c r="G2" s="108"/>
      <c r="H2" s="108"/>
      <c r="I2" s="108"/>
      <c r="J2" s="108"/>
      <c r="K2" s="108"/>
      <c r="L2" s="108"/>
      <c r="M2" s="108"/>
      <c r="N2" s="108"/>
      <c r="O2" s="108"/>
      <c r="P2" s="113" t="str">
        <v>Passed</v>
      </c>
      <c r="Q2" s="113"/>
      <c r="R2" s="113"/>
      <c r="S2" s="113"/>
      <c r="T2" s="113"/>
      <c r="U2" s="113"/>
      <c r="V2" s="113"/>
      <c r="W2" s="113"/>
      <c r="X2" s="113"/>
      <c r="Y2" s="114"/>
    </row>
    <row r="3" ht="52" customHeight="1">
      <c r="A3" s="110" t="str">
        <v>Test requirement</v>
      </c>
      <c r="B3" s="111" t="str">
        <v>Manual integration: perform the browser steps and compare saved data or recipient screens. Check prerequisites before execution.</v>
      </c>
      <c r="C3" s="5"/>
      <c r="D3" s="5"/>
      <c r="E3" s="112"/>
      <c r="F3" s="108"/>
      <c r="G3" s="108"/>
      <c r="H3" s="108"/>
      <c r="I3" s="108"/>
      <c r="J3" s="108"/>
      <c r="K3" s="108"/>
      <c r="L3" s="108"/>
      <c r="M3" s="108"/>
      <c r="N3" s="108"/>
      <c r="O3" s="108"/>
      <c r="P3" s="113" t="str">
        <v>Failed</v>
      </c>
      <c r="Q3" s="113"/>
      <c r="R3" s="113"/>
      <c r="S3" s="113"/>
      <c r="T3" s="113"/>
      <c r="U3" s="113"/>
      <c r="V3" s="113"/>
      <c r="W3" s="113"/>
      <c r="X3" s="113"/>
      <c r="Y3" s="114"/>
    </row>
    <row r="4" ht="18.0" customHeight="1">
      <c r="A4" s="110" t="str">
        <v>Number of TCs</v>
      </c>
      <c r="B4" s="111" t="n">
        <v>11</v>
      </c>
      <c r="C4" s="5"/>
      <c r="D4" s="5"/>
      <c r="E4" s="112"/>
      <c r="F4" s="108"/>
      <c r="G4" s="108"/>
      <c r="H4" s="108"/>
      <c r="I4" s="108"/>
      <c r="J4" s="108"/>
      <c r="K4" s="108"/>
      <c r="L4" s="108"/>
      <c r="M4" s="108"/>
      <c r="N4" s="108"/>
      <c r="O4" s="108"/>
      <c r="P4" s="113" t="str">
        <v>NotRun</v>
      </c>
      <c r="Q4" s="113"/>
      <c r="R4" s="113"/>
      <c r="S4" s="113"/>
      <c r="T4" s="113"/>
      <c r="U4" s="113"/>
      <c r="V4" s="113"/>
      <c r="W4" s="113"/>
      <c r="X4" s="113"/>
      <c r="Y4" s="114"/>
    </row>
    <row r="5" ht="19.5" customHeight="1">
      <c r="A5" s="115" t="str">
        <v>Testing Round</v>
      </c>
      <c r="B5" s="115" t="str">
        <v>Passed</v>
      </c>
      <c r="C5" s="115" t="str">
        <v>Failed</v>
      </c>
      <c r="D5" s="115" t="str">
        <v>Pending</v>
      </c>
      <c r="E5" s="115" t="str">
        <v>N/A</v>
      </c>
      <c r="F5" s="108"/>
      <c r="G5" s="108"/>
      <c r="H5" s="108"/>
      <c r="I5" s="108"/>
      <c r="J5" s="108"/>
      <c r="K5" s="108"/>
      <c r="L5" s="108"/>
      <c r="M5" s="108"/>
      <c r="N5" s="108"/>
      <c r="O5" s="108"/>
      <c r="P5" s="113" t="str">
        <v>Skipped</v>
      </c>
      <c r="Q5" s="113"/>
      <c r="R5" s="113"/>
      <c r="S5" s="113"/>
      <c r="T5" s="113"/>
      <c r="U5" s="113"/>
      <c r="V5" s="113"/>
      <c r="W5" s="113"/>
      <c r="X5" s="113"/>
      <c r="Y5" s="114"/>
    </row>
    <row r="6" ht="15.0" customHeight="1">
      <c r="A6" s="116" t="str">
        <v>Round 1</v>
      </c>
      <c r="B6" s="115" t="n">
        <f>COUNTIF(F12:F25,"Passed")</f>
        <v>0</v>
      </c>
      <c r="C6" s="115" t="n">
        <f>COUNTIF(F12:F25,"Failed")</f>
        <v>0</v>
      </c>
      <c r="D6" s="115" t="n">
        <f>B4-B6-C6-E6</f>
        <v>11</v>
      </c>
      <c r="E6" s="115" t="n">
        <f>COUNTIF(F12:F25,"Skipped")</f>
        <v>0</v>
      </c>
      <c r="F6" s="108"/>
      <c r="G6" s="108"/>
      <c r="H6" s="108"/>
      <c r="I6" s="108"/>
      <c r="J6" s="108"/>
      <c r="K6" s="108"/>
      <c r="L6" s="108"/>
      <c r="M6" s="108"/>
      <c r="N6" s="108"/>
      <c r="O6" s="108"/>
      <c r="P6" s="113"/>
      <c r="Q6" s="113"/>
      <c r="R6" s="113"/>
      <c r="S6" s="113"/>
      <c r="T6" s="113"/>
      <c r="U6" s="113"/>
      <c r="V6" s="113"/>
      <c r="W6" s="113"/>
      <c r="X6" s="113"/>
      <c r="Y6" s="114"/>
    </row>
    <row r="7" ht="15.0" customHeight="1">
      <c r="A7" s="116" t="str">
        <v>Round 2</v>
      </c>
      <c r="B7" s="115" t="n">
        <f>COUNTIF(I12:I25,"Passed")</f>
        <v>0</v>
      </c>
      <c r="C7" s="115" t="n">
        <f>COUNTIF(I12:I25,"Failed")</f>
        <v>0</v>
      </c>
      <c r="D7" s="115" t="n">
        <f>B4-B7-C7-E7</f>
        <v>11</v>
      </c>
      <c r="E7" s="115" t="n">
        <f>COUNTIF(I12:I25,"Skipped")</f>
        <v>0</v>
      </c>
      <c r="F7" s="108"/>
      <c r="G7" s="108"/>
      <c r="H7" s="108"/>
      <c r="I7" s="108"/>
      <c r="J7" s="108"/>
      <c r="K7" s="108"/>
      <c r="L7" s="108"/>
      <c r="M7" s="108"/>
      <c r="N7" s="108"/>
      <c r="O7" s="108"/>
      <c r="P7" s="113"/>
      <c r="Q7" s="113"/>
      <c r="R7" s="113"/>
      <c r="S7" s="113"/>
      <c r="T7" s="113"/>
      <c r="U7" s="113"/>
      <c r="V7" s="113"/>
      <c r="W7" s="113"/>
      <c r="X7" s="113"/>
      <c r="Y7" s="114"/>
    </row>
    <row r="8" ht="15.0" customHeight="1">
      <c r="A8" s="116" t="str">
        <v>Round 3</v>
      </c>
      <c r="B8" s="115" t="n">
        <f>COUNTIF(L12:L25,"Passed")</f>
        <v>0</v>
      </c>
      <c r="C8" s="115" t="n">
        <f>COUNTIF(L12:L25,"Failed")</f>
        <v>0</v>
      </c>
      <c r="D8" s="115" t="n">
        <f>B4-B8-C8-E8</f>
        <v>11</v>
      </c>
      <c r="E8" s="115" t="n">
        <f>COUNTIF(L12:L25,"Skipped")</f>
        <v>0</v>
      </c>
      <c r="F8" s="108"/>
      <c r="G8" s="108"/>
      <c r="H8" s="108"/>
      <c r="I8" s="108"/>
      <c r="J8" s="108"/>
      <c r="K8" s="108"/>
      <c r="L8" s="108"/>
      <c r="M8" s="108"/>
      <c r="N8" s="108"/>
      <c r="O8" s="108"/>
      <c r="P8" s="113"/>
      <c r="Q8" s="113"/>
      <c r="R8" s="113"/>
      <c r="S8" s="113"/>
      <c r="T8" s="113"/>
      <c r="U8" s="113"/>
      <c r="V8" s="113"/>
      <c r="W8" s="113"/>
      <c r="X8" s="113"/>
      <c r="Y8" s="114"/>
    </row>
    <row r="9" ht="15.0" customHeight="1">
      <c r="A9" s="108"/>
      <c r="B9" s="108"/>
      <c r="C9" s="108"/>
      <c r="D9" s="108"/>
      <c r="E9" s="108"/>
      <c r="F9" s="108"/>
      <c r="G9" s="108"/>
      <c r="H9" s="108"/>
      <c r="I9" s="108"/>
      <c r="J9" s="108"/>
      <c r="K9" s="108"/>
      <c r="L9" s="108"/>
      <c r="M9" s="108"/>
      <c r="N9" s="108"/>
      <c r="O9" s="108"/>
      <c r="P9" s="113"/>
      <c r="Q9" s="113"/>
      <c r="R9" s="113"/>
      <c r="S9" s="113"/>
      <c r="T9" s="113"/>
      <c r="U9" s="113"/>
      <c r="V9" s="113"/>
      <c r="W9" s="113"/>
      <c r="X9" s="113"/>
      <c r="Y9" s="114"/>
    </row>
    <row r="10" ht="42" customHeight="1">
      <c r="A10" s="117" t="str">
        <v>Test Case ID</v>
      </c>
      <c r="B10" s="117" t="str">
        <v>Test Case Description</v>
      </c>
      <c r="C10" s="117" t="str">
        <v>Test Case Procedure</v>
      </c>
      <c r="D10" s="117" t="str">
        <v>Expected Results</v>
      </c>
      <c r="E10" s="117" t="str">
        <v>Pre-conditions</v>
      </c>
      <c r="F10" s="117" t="str">
        <v>Round 1</v>
      </c>
      <c r="G10" s="117" t="str">
        <v>Test date</v>
      </c>
      <c r="H10" s="117" t="str">
        <v>Tester</v>
      </c>
      <c r="I10" s="117" t="str">
        <v>Round 2</v>
      </c>
      <c r="J10" s="117" t="str">
        <v>Test date</v>
      </c>
      <c r="K10" s="117" t="str">
        <v>Tester</v>
      </c>
      <c r="L10" s="117" t="str">
        <v>Round 3</v>
      </c>
      <c r="M10" s="117" t="str">
        <v>Test date</v>
      </c>
      <c r="N10" s="117" t="str">
        <v>Tester</v>
      </c>
      <c r="O10" s="117" t="str">
        <v>Actual result / Evidence / Defect</v>
      </c>
      <c r="P10" s="118"/>
      <c r="Q10" s="113"/>
      <c r="R10" s="113"/>
      <c r="S10" s="113"/>
      <c r="T10" s="113"/>
      <c r="U10" s="113"/>
      <c r="V10" s="113"/>
      <c r="W10" s="113"/>
      <c r="X10" s="113"/>
      <c r="Y10" s="113"/>
    </row>
    <row r="11" ht="24" customHeight="1">
      <c r="A11" s="119" t="str">
        <v>Approval - Submit for approval</v>
      </c>
      <c r="B11" s="119"/>
      <c r="C11" s="119"/>
      <c r="D11" s="119"/>
      <c r="E11" s="119"/>
      <c r="F11" s="119"/>
      <c r="G11" s="119"/>
      <c r="H11" s="119"/>
      <c r="I11" s="119"/>
      <c r="J11" s="119"/>
      <c r="K11" s="119"/>
      <c r="L11" s="119"/>
      <c r="M11" s="119"/>
      <c r="N11" s="119"/>
      <c r="O11" s="150"/>
      <c r="P11" s="124"/>
      <c r="Q11" s="113"/>
      <c r="R11" s="113"/>
      <c r="S11" s="113"/>
      <c r="T11" s="113"/>
      <c r="U11" s="113"/>
      <c r="V11" s="113"/>
      <c r="W11" s="113"/>
      <c r="X11" s="113"/>
      <c r="Y11" s="113"/>
    </row>
    <row r="12" ht="103.19999999999999" customHeight="1">
      <c r="A12" s="121" t="str">
        <v>APPR_IT01</v>
      </c>
      <c r="B12" s="121" t="str">
        <v>Submit a ready Draft to a selected approver</v>
      </c>
      <c r="C12" s="121" t="str">
        <v>1. As O, open D and click "Gửi duyệt".
2. Choose A and click "Gửi duyệt".
3. Reload details as O; open D as A.</v>
      </c>
      <c r="D12" s="121" t="str">
        <v>1. Meeting becomes "Chờ duyệt" with A assigned.
2. A can review it; status/history persist for O.</v>
      </c>
      <c r="E12" s="121" t="str">
        <v>Organizer O and distinct active MeetingApprover A in separate browsers; O owns a valid future Draft D; retain independent admin.</v>
      </c>
      <c r="F12" s="121" t="str">
        <v>NotRun</v>
      </c>
      <c r="G12" s="122" t="str"/>
      <c r="H12" s="121" t="str"/>
      <c r="I12" s="121" t="str"/>
      <c r="J12" s="122" t="str"/>
      <c r="K12" s="121" t="str"/>
      <c r="L12" s="121" t="str"/>
      <c r="M12" s="122" t="str"/>
      <c r="N12" s="121" t="str"/>
      <c r="O12" s="123" t="str"/>
      <c r="P12" s="124"/>
      <c r="Q12" s="113"/>
      <c r="R12" s="113"/>
      <c r="S12" s="113"/>
      <c r="T12" s="113"/>
      <c r="U12" s="113"/>
      <c r="V12" s="113"/>
      <c r="W12" s="113"/>
      <c r="X12" s="113"/>
      <c r="Y12" s="113"/>
    </row>
    <row r="13" ht="95" customHeight="1">
      <c r="A13" s="121" t="str">
        <v>APPR_IT02</v>
      </c>
      <c r="B13" s="121" t="str">
        <v>Missing approver prevents submission</v>
      </c>
      <c r="C13" s="121" t="str">
        <v>1. Open "Gửi duyệt".
2. Do not select an approver and click "Gửi duyệt".
3. Click "Huỷ" and reload D.</v>
      </c>
      <c r="D13" s="121" t="str">
        <v>1. Choose-approver validation appears.
2. Meeting stays Nháp without a successful submission.</v>
      </c>
      <c r="E13" s="121" t="str">
        <v>Organizer O and distinct active MeetingApprover A in separate browsers; O owns a valid future Draft D; retain independent admin.</v>
      </c>
      <c r="F13" s="121" t="str">
        <v>NotRun</v>
      </c>
      <c r="G13" s="122" t="str"/>
      <c r="H13" s="121" t="str"/>
      <c r="I13" s="121" t="str"/>
      <c r="J13" s="122" t="str"/>
      <c r="K13" s="121" t="str"/>
      <c r="L13" s="121" t="str"/>
      <c r="M13" s="122" t="str"/>
      <c r="N13" s="121" t="str"/>
      <c r="O13" s="123" t="str"/>
      <c r="P13" s="124"/>
      <c r="Q13" s="113"/>
      <c r="R13" s="113"/>
      <c r="S13" s="113"/>
      <c r="T13" s="113"/>
      <c r="U13" s="113"/>
      <c r="V13" s="113"/>
      <c r="W13" s="113"/>
      <c r="X13" s="113"/>
      <c r="Y13" s="113"/>
    </row>
    <row r="14" ht="103.19999999999999" customHeight="1">
      <c r="A14" s="121" t="str">
        <v>APPR_IT03</v>
      </c>
      <c r="B14" s="121" t="str">
        <v>Organizer cannot select self as approver</v>
      </c>
      <c r="C14" s="121" t="str">
        <v>1. Open "Gửi duyệt".
2. Inspect all options in the approver dropdown.</v>
      </c>
      <c r="D14" s="121" t="str">
        <v>1. O is excluded from eligible approver choices.
2. Distinct eligible active approvers remain available.</v>
      </c>
      <c r="E14" s="121" t="str">
        <v>Organizer O and distinct active MeetingApprover A in separate browsers; O owns a valid future Draft D; retain independent admin. O also has MeetingApprover.</v>
      </c>
      <c r="F14" s="121" t="str">
        <v>NotRun</v>
      </c>
      <c r="G14" s="122" t="str"/>
      <c r="H14" s="121" t="str"/>
      <c r="I14" s="121" t="str"/>
      <c r="J14" s="122" t="str"/>
      <c r="K14" s="121" t="str"/>
      <c r="L14" s="121" t="str"/>
      <c r="M14" s="122" t="str"/>
      <c r="N14" s="121" t="str"/>
      <c r="O14" s="123" t="str"/>
      <c r="P14" s="124"/>
      <c r="Q14" s="113"/>
      <c r="R14" s="113"/>
      <c r="S14" s="113"/>
      <c r="T14" s="113"/>
      <c r="U14" s="113"/>
      <c r="V14" s="113"/>
      <c r="W14" s="113"/>
      <c r="X14" s="113"/>
      <c r="Y14" s="113"/>
    </row>
    <row r="15" ht="95" customHeight="1">
      <c r="A15" s="121" t="str">
        <v>APPR_IT04</v>
      </c>
      <c r="B15" s="121" t="str">
        <v>Cancel submission leaves the Draft unchanged</v>
      </c>
      <c r="C15" s="121" t="str">
        <v>1. Open "Gửi duyệt" and choose A.
2. Click "Huỷ".
3. Reload meeting details and history.</v>
      </c>
      <c r="D15" s="121" t="str">
        <v>1. Meeting remains Nháp.
2. No successful submission event is appended for the cancelled action.</v>
      </c>
      <c r="E15" s="121" t="str">
        <v>Organizer O and distinct active MeetingApprover A in separate browsers; O owns a valid future Draft D; retain independent admin.</v>
      </c>
      <c r="F15" s="121" t="str">
        <v>NotRun</v>
      </c>
      <c r="G15" s="122" t="str"/>
      <c r="H15" s="121" t="str"/>
      <c r="I15" s="121" t="str"/>
      <c r="J15" s="122" t="str"/>
      <c r="K15" s="121" t="str"/>
      <c r="L15" s="121" t="str"/>
      <c r="M15" s="122" t="str"/>
      <c r="N15" s="121" t="str"/>
      <c r="O15" s="123" t="str"/>
      <c r="P15" s="124"/>
      <c r="Q15" s="113"/>
      <c r="R15" s="113"/>
      <c r="S15" s="113"/>
      <c r="T15" s="113"/>
      <c r="U15" s="113"/>
      <c r="V15" s="113"/>
      <c r="W15" s="113"/>
      <c r="X15" s="113"/>
      <c r="Y15" s="113"/>
    </row>
    <row r="16" ht="24" customHeight="1">
      <c r="A16" s="119" t="str">
        <v>Approval - Review decision</v>
      </c>
      <c r="B16" s="119"/>
      <c r="C16" s="119"/>
      <c r="D16" s="119"/>
      <c r="E16" s="119"/>
      <c r="F16" s="119"/>
      <c r="G16" s="119"/>
      <c r="H16" s="119"/>
      <c r="I16" s="119"/>
      <c r="J16" s="119"/>
      <c r="K16" s="119"/>
      <c r="L16" s="119"/>
      <c r="M16" s="119"/>
      <c r="N16" s="119"/>
      <c r="O16" s="150"/>
      <c r="P16" s="124"/>
      <c r="Q16" s="113"/>
      <c r="R16" s="113"/>
      <c r="S16" s="113"/>
      <c r="T16" s="113"/>
      <c r="U16" s="113"/>
      <c r="V16" s="113"/>
      <c r="W16" s="113"/>
      <c r="X16" s="113"/>
      <c r="Y16" s="113"/>
    </row>
    <row r="17" ht="118.39999999999999" customHeight="1">
      <c r="A17" s="121" t="str">
        <v>APPR_IT05</v>
      </c>
      <c r="B17" s="121" t="str">
        <v>Assigned approver approves the request</v>
      </c>
      <c r="C17" s="121" t="str">
        <v>1. As A, open D; click "Duyệt".
2. Click "Duyệt" in confirmation.
3. Reload as A and O; inspect history.</v>
      </c>
      <c r="D17" s="121" t="str">
        <v>1. Meeting becomes "Đã duyệt".
2. History identifies A and approval time; O can proceed to publication.</v>
      </c>
      <c r="E17" s="121" t="str">
        <v>Organizer O and distinct active MeetingApprover A in separate browsers; O owns a valid future Draft D; retain independent admin. D has been submitted to A and is "Chờ duyệt".</v>
      </c>
      <c r="F17" s="121" t="str">
        <v>NotRun</v>
      </c>
      <c r="G17" s="122" t="str"/>
      <c r="H17" s="121" t="str"/>
      <c r="I17" s="121" t="str"/>
      <c r="J17" s="122" t="str"/>
      <c r="K17" s="121" t="str"/>
      <c r="L17" s="121" t="str"/>
      <c r="M17" s="122" t="str"/>
      <c r="N17" s="121" t="str"/>
      <c r="O17" s="123" t="str"/>
      <c r="P17" s="124"/>
      <c r="Q17" s="113"/>
      <c r="R17" s="113"/>
      <c r="S17" s="113"/>
      <c r="T17" s="113"/>
      <c r="U17" s="113"/>
      <c r="V17" s="113"/>
      <c r="W17" s="113"/>
      <c r="X17" s="113"/>
      <c r="Y17" s="113"/>
    </row>
    <row r="18" ht="118.39999999999999" customHeight="1">
      <c r="A18" s="121" t="str">
        <v>APPR_IT06</v>
      </c>
      <c r="B18" s="121" t="str">
        <v>Cancel approval keeps the pending request</v>
      </c>
      <c r="C18" s="121" t="str">
        <v>1. As A, click "Duyệt".
2. Click "Huỷ" in confirmation.
3. Reload D.</v>
      </c>
      <c r="D18" s="121" t="str">
        <v>1. Meeting remains "Chờ duyệt".
2. No approval event is recorded for the cancelled action.</v>
      </c>
      <c r="E18" s="121" t="str">
        <v>Organizer O and distinct active MeetingApprover A in separate browsers; O owns a valid future Draft D; retain independent admin. D is "Chờ duyệt" and assigned to A.</v>
      </c>
      <c r="F18" s="121" t="str">
        <v>NotRun</v>
      </c>
      <c r="G18" s="122" t="str"/>
      <c r="H18" s="121" t="str"/>
      <c r="I18" s="121" t="str"/>
      <c r="J18" s="122" t="str"/>
      <c r="K18" s="121" t="str"/>
      <c r="L18" s="121" t="str"/>
      <c r="M18" s="122" t="str"/>
      <c r="N18" s="121" t="str"/>
      <c r="O18" s="123" t="str"/>
      <c r="P18" s="124"/>
      <c r="Q18" s="113"/>
      <c r="R18" s="113"/>
      <c r="S18" s="113"/>
      <c r="T18" s="113"/>
      <c r="U18" s="113"/>
      <c r="V18" s="113"/>
      <c r="W18" s="113"/>
      <c r="X18" s="113"/>
      <c r="Y18" s="113"/>
    </row>
    <row r="19" ht="118.39999999999999" customHeight="1">
      <c r="A19" s="121" t="str">
        <v>APPR_IT07</v>
      </c>
      <c r="B19" s="121" t="str">
        <v>Reject with a meaningful reason</v>
      </c>
      <c r="C19" s="121" t="str">
        <v>1. As A, click "Từ chối".
2. Enter Please clarify meeting purpose and click "Từ chối".
3. As O, reopen D and inspect workflow/history.</v>
      </c>
      <c r="D19" s="121" t="str">
        <v>1. Meeting becomes "Bị từ chối".
2. O sees the saved reason and reviewer identity.</v>
      </c>
      <c r="E19" s="121" t="str">
        <v>Organizer O and distinct active MeetingApprover A in separate browsers; O owns a valid future Draft D; retain independent admin. D is "Chờ duyệt" and assigned to A.</v>
      </c>
      <c r="F19" s="121" t="str">
        <v>NotRun</v>
      </c>
      <c r="G19" s="122" t="str"/>
      <c r="H19" s="121" t="str"/>
      <c r="I19" s="121" t="str"/>
      <c r="J19" s="122" t="str"/>
      <c r="K19" s="121" t="str"/>
      <c r="L19" s="121" t="str"/>
      <c r="M19" s="122" t="str"/>
      <c r="N19" s="121" t="str"/>
      <c r="O19" s="123" t="str"/>
      <c r="P19" s="124"/>
      <c r="Q19" s="113"/>
      <c r="R19" s="113"/>
      <c r="S19" s="113"/>
      <c r="T19" s="113"/>
      <c r="U19" s="113"/>
      <c r="V19" s="113"/>
      <c r="W19" s="113"/>
      <c r="X19" s="113"/>
      <c r="Y19" s="113"/>
    </row>
    <row r="20" ht="118.39999999999999" customHeight="1">
      <c r="A20" s="121" t="str">
        <v>APPR_IT08</v>
      </c>
      <c r="B20" s="121" t="str">
        <v>Empty rejection reason is blocked</v>
      </c>
      <c r="C20" s="121" t="str">
        <v>1. As A, open "Từ chối".
2. Leave reason blank and click "Từ chối".
3. Repeat with spaces only.</v>
      </c>
      <c r="D20" s="121" t="str">
        <v>1. Reason-required validation appears for both inputs.
2. Meeting remains "Chờ duyệt"; no rejection is saved.</v>
      </c>
      <c r="E20" s="121" t="str">
        <v>Organizer O and distinct active MeetingApprover A in separate browsers; O owns a valid future Draft D; retain independent admin. D is "Chờ duyệt" and assigned to A.</v>
      </c>
      <c r="F20" s="121" t="str">
        <v>NotRun</v>
      </c>
      <c r="G20" s="122" t="str"/>
      <c r="H20" s="121" t="str"/>
      <c r="I20" s="121" t="str"/>
      <c r="J20" s="122" t="str"/>
      <c r="K20" s="121" t="str"/>
      <c r="L20" s="121" t="str"/>
      <c r="M20" s="122" t="str"/>
      <c r="N20" s="121" t="str"/>
      <c r="O20" s="123" t="str"/>
      <c r="P20" s="124"/>
      <c r="Q20" s="113"/>
      <c r="R20" s="113"/>
      <c r="S20" s="113"/>
      <c r="T20" s="113"/>
      <c r="U20" s="113"/>
      <c r="V20" s="113"/>
      <c r="W20" s="113"/>
      <c r="X20" s="113"/>
      <c r="Y20" s="113"/>
    </row>
    <row r="21" ht="24" customHeight="1">
      <c r="A21" s="119" t="str">
        <v>Approval - Revision and resubmission</v>
      </c>
      <c r="B21" s="119"/>
      <c r="C21" s="119"/>
      <c r="D21" s="119"/>
      <c r="E21" s="119"/>
      <c r="F21" s="119"/>
      <c r="G21" s="119"/>
      <c r="H21" s="119"/>
      <c r="I21" s="119"/>
      <c r="J21" s="119"/>
      <c r="K21" s="119"/>
      <c r="L21" s="119"/>
      <c r="M21" s="119"/>
      <c r="N21" s="119"/>
      <c r="O21" s="150"/>
      <c r="P21" s="124"/>
      <c r="Q21" s="113"/>
      <c r="R21" s="113"/>
      <c r="S21" s="113"/>
      <c r="T21" s="113"/>
      <c r="U21" s="113"/>
      <c r="V21" s="113"/>
      <c r="W21" s="113"/>
      <c r="X21" s="113"/>
      <c r="Y21" s="113"/>
    </row>
    <row r="22" ht="118.39999999999999" customHeight="1">
      <c r="A22" s="121" t="str">
        <v>APPR_IT09</v>
      </c>
      <c r="B22" s="121" t="str">
        <v>Revise and resubmit a rejected meeting</v>
      </c>
      <c r="C22" s="121" t="str">
        <v>1. As O, click "Chỉnh sửa" and update D to address the reason and click "Lưu thay đổi".
2. Click "Gửi duyệt lại", select A and click "Gửi duyệt lại".
3. Open as A and inspect history.</v>
      </c>
      <c r="D22" s="121" t="str">
        <v>1. Latest information is presented for review in "Chờ duyệt".
2. Earlier rejection/reason remain in history along with the new submission.</v>
      </c>
      <c r="E22" s="121" t="str">
        <v>Organizer O and distinct active MeetingApprover A in separate browsers; O owns a valid future Draft D; retain independent admin. D is "Bị từ chối" with a recorded reason.</v>
      </c>
      <c r="F22" s="121" t="str">
        <v>NotRun</v>
      </c>
      <c r="G22" s="122" t="str"/>
      <c r="H22" s="121" t="str"/>
      <c r="I22" s="121" t="str"/>
      <c r="J22" s="122" t="str"/>
      <c r="K22" s="121" t="str"/>
      <c r="L22" s="121" t="str"/>
      <c r="M22" s="122" t="str"/>
      <c r="N22" s="121" t="str"/>
      <c r="O22" s="123" t="str"/>
      <c r="P22" s="124"/>
      <c r="Q22" s="113"/>
      <c r="R22" s="113"/>
      <c r="S22" s="113"/>
      <c r="T22" s="113"/>
      <c r="U22" s="113"/>
      <c r="V22" s="113"/>
      <c r="W22" s="113"/>
      <c r="X22" s="113"/>
      <c r="Y22" s="113"/>
    </row>
    <row r="23" ht="24" customHeight="1">
      <c r="A23" s="119" t="str">
        <v>Approval - Reviewer eligibility</v>
      </c>
      <c r="B23" s="119"/>
      <c r="C23" s="119"/>
      <c r="D23" s="119"/>
      <c r="E23" s="119"/>
      <c r="F23" s="119"/>
      <c r="G23" s="119"/>
      <c r="H23" s="119"/>
      <c r="I23" s="119"/>
      <c r="J23" s="119"/>
      <c r="K23" s="119"/>
      <c r="L23" s="119"/>
      <c r="M23" s="119"/>
      <c r="N23" s="119"/>
      <c r="O23" s="150"/>
      <c r="P23" s="124"/>
      <c r="Q23" s="113"/>
      <c r="R23" s="113"/>
      <c r="S23" s="113"/>
      <c r="T23" s="113"/>
      <c r="U23" s="113"/>
      <c r="V23" s="113"/>
      <c r="W23" s="113"/>
      <c r="X23" s="113"/>
      <c r="Y23" s="113"/>
    </row>
    <row r="24" ht="133.6" customHeight="1">
      <c r="A24" s="121" t="str">
        <v>APPR_IT10</v>
      </c>
      <c r="B24" s="121" t="str">
        <v>Another approver cannot decide the request</v>
      </c>
      <c r="C24" s="121" t="str">
        <v>1. As B, try opening D by its recorded URL.
2. As A, open D and inspect available decisions.</v>
      </c>
      <c r="D24" s="121" t="str">
        <v>1. B cannot access restricted meeting details or decide it.
2. Assigned eligible A retains review actions.</v>
      </c>
      <c r="E24" s="121" t="str">
        <v>Organizer O and distinct active MeetingApprover A in separate browsers; O owns a valid future Draft D; retain independent admin. D assigned to A; distinct approver B is neither participant nor organizer.</v>
      </c>
      <c r="F24" s="121" t="str">
        <v>NotRun</v>
      </c>
      <c r="G24" s="122" t="str"/>
      <c r="H24" s="121" t="str"/>
      <c r="I24" s="121" t="str"/>
      <c r="J24" s="122" t="str"/>
      <c r="K24" s="121" t="str"/>
      <c r="L24" s="121" t="str"/>
      <c r="M24" s="122" t="str"/>
      <c r="N24" s="121" t="str"/>
      <c r="O24" s="123" t="str"/>
      <c r="P24" s="124"/>
      <c r="Q24" s="113"/>
      <c r="R24" s="113"/>
      <c r="S24" s="113"/>
      <c r="T24" s="113"/>
      <c r="U24" s="113"/>
      <c r="V24" s="113"/>
      <c r="W24" s="113"/>
      <c r="X24" s="113"/>
      <c r="Y24" s="113"/>
    </row>
    <row r="25" ht="148.79999999999998" customHeight="1">
      <c r="A25" s="121" t="str">
        <v>APPR_IT11</v>
      </c>
      <c r="B25" s="121" t="str">
        <v>Inactive assigned approver can be replaced through withdrawal</v>
      </c>
      <c r="C25" s="121" t="str">
        <v>1. As admin, click "Vô hiệu hoá" for A, then click "Vô hiệu hoá" in confirmation.
2. As O, reload D; click "Rút về nháp", then "Rút về nháp" in confirmation.
3. Click "Gửi duyệt", select B and click "Gửi duyệt".
4. Open D as B.</v>
      </c>
      <c r="D25" s="121" t="str">
        <v>1. O is informed the former approver is no longer eligible.
2. Meeting can be resubmitted to B; previous history remains.</v>
      </c>
      <c r="E25" s="121" t="str">
        <v>Organizer O and distinct active MeetingApprover A in separate browsers; O owns a valid future Draft D; retain independent admin. D is "Chờ duyệt" assigned to A; another active eligible approver B exists.</v>
      </c>
      <c r="F25" s="121" t="str">
        <v>NotRun</v>
      </c>
      <c r="G25" s="122" t="str"/>
      <c r="H25" s="121" t="str"/>
      <c r="I25" s="121" t="str"/>
      <c r="J25" s="122" t="str"/>
      <c r="K25" s="121" t="str"/>
      <c r="L25" s="121" t="str"/>
      <c r="M25" s="122" t="str"/>
      <c r="N25" s="121" t="str"/>
      <c r="O25" s="123" t="str"/>
      <c r="P25" s="124"/>
      <c r="Q25" s="113"/>
      <c r="R25" s="113"/>
      <c r="S25" s="113"/>
      <c r="T25" s="113"/>
      <c r="U25" s="113"/>
      <c r="V25" s="113"/>
      <c r="W25" s="113"/>
      <c r="X25" s="113"/>
      <c r="Y25" s="113"/>
    </row>
  </sheetData>
  <mergeCells count="7">
    <mergeCell ref="B2:E2"/>
    <mergeCell ref="B3:E3"/>
    <mergeCell ref="B4:E4"/>
    <mergeCell ref="A11:O11"/>
    <mergeCell ref="A16:O16"/>
    <mergeCell ref="A21:O21"/>
    <mergeCell ref="A23:O23"/>
  </mergeCells>
  <dataValidations count="3">
    <dataValidation type="list" allowBlank="1" showErrorMessage="1" errorTitle="Select a test status" error="Use the status dropdown." sqref="F12 F13 F14 F15 F17 F18 F19 F20 F22 F24 F25">
      <formula1>"NotRun,Passed,Failed,Blocked,Skipped"</formula1>
    </dataValidation>
    <dataValidation type="list" allowBlank="1" showErrorMessage="1" errorTitle="Select a test status" error="Use the status dropdown." sqref="I12 I13 I14 I15 I17 I18 I19 I20 I22 I24 I25">
      <formula1>"NotRun,Passed,Failed,Blocked,Skipped"</formula1>
    </dataValidation>
    <dataValidation type="list" allowBlank="1" showErrorMessage="1" errorTitle="Select a test status" error="Use the status dropdown." sqref="L12 L13 L14 L15 L17 L18 L19 L20 L22 L24 L25">
      <formula1>"NotRun,Passed,Failed,Blocked,Skipped"</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topLeftCell="A1" zoomScale="70" showGridLines="0">
      <pane xSplit="2" ySplit="10" topLeftCell="C11" activePane="bottomRight" state="frozen"/>
      <selection pane="bottomRight" activeCell="A1" sqref="A1"/>
    </sheetView>
  </sheetViews>
  <sheetFormatPr customHeight="1" defaultColWidth="12.63" defaultRowHeight="15.0" outlineLevelCol="1" outlineLevelRow="1"/>
  <cols>
    <col customWidth="1" min="1" max="1" width="17.0"/>
    <col customWidth="1" min="2" max="2" width="34.5"/>
    <col customWidth="1" min="3" max="3" width="34.13"/>
    <col customWidth="1" min="4" max="4" width="43.75"/>
    <col customWidth="1" min="5" max="5" width="28.38"/>
    <col customWidth="1" min="6" max="6" width="9.38"/>
    <col customWidth="1" min="7" max="7" width="10.38" outlineLevel="1"/>
    <col customWidth="1" min="8" max="9" width="9.38"/>
    <col customWidth="1" min="10" max="10" width="10.38" outlineLevel="1"/>
    <col customWidth="1" min="11" max="12" width="9.38"/>
    <col customWidth="1" min="13" max="13" width="10.38" outlineLevel="1"/>
    <col customWidth="1" min="14" max="14" width="9.38"/>
    <col customWidth="1" min="15" max="15" width="24"/>
    <col customWidth="1" hidden="1" min="16" max="16" width="7.63"/>
    <col customWidth="1" min="17" max="25" width="9.0"/>
  </cols>
  <sheetData>
    <row r="1" ht="12.75" customHeight="1">
      <c r="A1" s="108"/>
      <c r="B1" s="108"/>
      <c r="C1" s="108"/>
      <c r="D1" s="108"/>
      <c r="E1" s="108"/>
      <c r="F1" s="108"/>
      <c r="G1" s="108"/>
      <c r="H1" s="108"/>
      <c r="I1" s="108"/>
      <c r="J1" s="108"/>
      <c r="K1" s="108"/>
      <c r="L1" s="108"/>
      <c r="M1" s="108"/>
      <c r="N1" s="108"/>
      <c r="O1" s="108"/>
      <c r="P1" s="45"/>
      <c r="Q1" s="45"/>
      <c r="R1" s="45"/>
      <c r="S1" s="45"/>
      <c r="T1" s="45"/>
      <c r="U1" s="45"/>
      <c r="V1" s="45"/>
      <c r="W1" s="45"/>
      <c r="X1" s="45"/>
      <c r="Y1" s="109"/>
    </row>
    <row r="2" ht="15.0" customHeight="1">
      <c r="A2" s="110" t="str">
        <v>Feature</v>
      </c>
      <c r="B2" s="111" t="str">
        <v>Publication</v>
      </c>
      <c r="C2" s="5"/>
      <c r="D2" s="5"/>
      <c r="E2" s="112"/>
      <c r="F2" s="108"/>
      <c r="G2" s="108"/>
      <c r="H2" s="108"/>
      <c r="I2" s="108"/>
      <c r="J2" s="108"/>
      <c r="K2" s="108"/>
      <c r="L2" s="108"/>
      <c r="M2" s="108"/>
      <c r="N2" s="108"/>
      <c r="O2" s="108"/>
      <c r="P2" s="113" t="str">
        <v>Passed</v>
      </c>
      <c r="Q2" s="113"/>
      <c r="R2" s="113"/>
      <c r="S2" s="113"/>
      <c r="T2" s="113"/>
      <c r="U2" s="113"/>
      <c r="V2" s="113"/>
      <c r="W2" s="113"/>
      <c r="X2" s="113"/>
      <c r="Y2" s="114"/>
    </row>
    <row r="3" ht="52" customHeight="1">
      <c r="A3" s="110" t="str">
        <v>Test requirement</v>
      </c>
      <c r="B3" s="111" t="str">
        <v>Manual integration: perform the browser steps and compare saved data or recipient screens. Check prerequisites before execution.</v>
      </c>
      <c r="C3" s="5"/>
      <c r="D3" s="5"/>
      <c r="E3" s="112"/>
      <c r="F3" s="108"/>
      <c r="G3" s="108"/>
      <c r="H3" s="108"/>
      <c r="I3" s="108"/>
      <c r="J3" s="108"/>
      <c r="K3" s="108"/>
      <c r="L3" s="108"/>
      <c r="M3" s="108"/>
      <c r="N3" s="108"/>
      <c r="O3" s="108"/>
      <c r="P3" s="113" t="str">
        <v>Failed</v>
      </c>
      <c r="Q3" s="113"/>
      <c r="R3" s="113"/>
      <c r="S3" s="113"/>
      <c r="T3" s="113"/>
      <c r="U3" s="113"/>
      <c r="V3" s="113"/>
      <c r="W3" s="113"/>
      <c r="X3" s="113"/>
      <c r="Y3" s="114"/>
    </row>
    <row r="4" ht="18.0" customHeight="1">
      <c r="A4" s="110" t="str">
        <v>Number of TCs</v>
      </c>
      <c r="B4" s="111" t="n">
        <v>7</v>
      </c>
      <c r="C4" s="5"/>
      <c r="D4" s="5"/>
      <c r="E4" s="112"/>
      <c r="F4" s="108"/>
      <c r="G4" s="108"/>
      <c r="H4" s="108"/>
      <c r="I4" s="108"/>
      <c r="J4" s="108"/>
      <c r="K4" s="108"/>
      <c r="L4" s="108"/>
      <c r="M4" s="108"/>
      <c r="N4" s="108"/>
      <c r="O4" s="108"/>
      <c r="P4" s="113" t="str">
        <v>NotRun</v>
      </c>
      <c r="Q4" s="113"/>
      <c r="R4" s="113"/>
      <c r="S4" s="113"/>
      <c r="T4" s="113"/>
      <c r="U4" s="113"/>
      <c r="V4" s="113"/>
      <c r="W4" s="113"/>
      <c r="X4" s="113"/>
      <c r="Y4" s="114"/>
    </row>
    <row r="5" ht="19.5" customHeight="1">
      <c r="A5" s="115" t="str">
        <v>Testing Round</v>
      </c>
      <c r="B5" s="115" t="str">
        <v>Passed</v>
      </c>
      <c r="C5" s="115" t="str">
        <v>Failed</v>
      </c>
      <c r="D5" s="115" t="str">
        <v>Pending</v>
      </c>
      <c r="E5" s="115" t="str">
        <v>N/A</v>
      </c>
      <c r="F5" s="108"/>
      <c r="G5" s="108"/>
      <c r="H5" s="108"/>
      <c r="I5" s="108"/>
      <c r="J5" s="108"/>
      <c r="K5" s="108"/>
      <c r="L5" s="108"/>
      <c r="M5" s="108"/>
      <c r="N5" s="108"/>
      <c r="O5" s="108"/>
      <c r="P5" s="113" t="str">
        <v>Skipped</v>
      </c>
      <c r="Q5" s="113"/>
      <c r="R5" s="113"/>
      <c r="S5" s="113"/>
      <c r="T5" s="113"/>
      <c r="U5" s="113"/>
      <c r="V5" s="113"/>
      <c r="W5" s="113"/>
      <c r="X5" s="113"/>
      <c r="Y5" s="114"/>
    </row>
    <row r="6" ht="15.0" customHeight="1">
      <c r="A6" s="116" t="str">
        <v>Round 1</v>
      </c>
      <c r="B6" s="115" t="n">
        <f>COUNTIF(F12:F20,"Passed")</f>
        <v>0</v>
      </c>
      <c r="C6" s="115" t="n">
        <f>COUNTIF(F12:F20,"Failed")</f>
        <v>0</v>
      </c>
      <c r="D6" s="115" t="n">
        <f>B4-B6-C6-E6</f>
        <v>7</v>
      </c>
      <c r="E6" s="115" t="n">
        <f>COUNTIF(F12:F20,"Skipped")</f>
        <v>0</v>
      </c>
      <c r="F6" s="108"/>
      <c r="G6" s="108"/>
      <c r="H6" s="108"/>
      <c r="I6" s="108"/>
      <c r="J6" s="108"/>
      <c r="K6" s="108"/>
      <c r="L6" s="108"/>
      <c r="M6" s="108"/>
      <c r="N6" s="108"/>
      <c r="O6" s="108"/>
      <c r="P6" s="113"/>
      <c r="Q6" s="113"/>
      <c r="R6" s="113"/>
      <c r="S6" s="113"/>
      <c r="T6" s="113"/>
      <c r="U6" s="113"/>
      <c r="V6" s="113"/>
      <c r="W6" s="113"/>
      <c r="X6" s="113"/>
      <c r="Y6" s="114"/>
    </row>
    <row r="7" ht="15.0" customHeight="1">
      <c r="A7" s="116" t="str">
        <v>Round 2</v>
      </c>
      <c r="B7" s="115" t="n">
        <f>COUNTIF(I12:I20,"Passed")</f>
        <v>0</v>
      </c>
      <c r="C7" s="115" t="n">
        <f>COUNTIF(I12:I20,"Failed")</f>
        <v>0</v>
      </c>
      <c r="D7" s="115" t="n">
        <f>B4-B7-C7-E7</f>
        <v>7</v>
      </c>
      <c r="E7" s="115" t="n">
        <f>COUNTIF(I12:I20,"Skipped")</f>
        <v>0</v>
      </c>
      <c r="F7" s="108"/>
      <c r="G7" s="108"/>
      <c r="H7" s="108"/>
      <c r="I7" s="108"/>
      <c r="J7" s="108"/>
      <c r="K7" s="108"/>
      <c r="L7" s="108"/>
      <c r="M7" s="108"/>
      <c r="N7" s="108"/>
      <c r="O7" s="108"/>
      <c r="P7" s="113"/>
      <c r="Q7" s="113"/>
      <c r="R7" s="113"/>
      <c r="S7" s="113"/>
      <c r="T7" s="113"/>
      <c r="U7" s="113"/>
      <c r="V7" s="113"/>
      <c r="W7" s="113"/>
      <c r="X7" s="113"/>
      <c r="Y7" s="114"/>
    </row>
    <row r="8" ht="15.0" customHeight="1">
      <c r="A8" s="116" t="str">
        <v>Round 3</v>
      </c>
      <c r="B8" s="115" t="n">
        <f>COUNTIF(L12:L20,"Passed")</f>
        <v>0</v>
      </c>
      <c r="C8" s="115" t="n">
        <f>COUNTIF(L12:L20,"Failed")</f>
        <v>0</v>
      </c>
      <c r="D8" s="115" t="n">
        <f>B4-B8-C8-E8</f>
        <v>7</v>
      </c>
      <c r="E8" s="115" t="n">
        <f>COUNTIF(L12:L20,"Skipped")</f>
        <v>0</v>
      </c>
      <c r="F8" s="108"/>
      <c r="G8" s="108"/>
      <c r="H8" s="108"/>
      <c r="I8" s="108"/>
      <c r="J8" s="108"/>
      <c r="K8" s="108"/>
      <c r="L8" s="108"/>
      <c r="M8" s="108"/>
      <c r="N8" s="108"/>
      <c r="O8" s="108"/>
      <c r="P8" s="113"/>
      <c r="Q8" s="113"/>
      <c r="R8" s="113"/>
      <c r="S8" s="113"/>
      <c r="T8" s="113"/>
      <c r="U8" s="113"/>
      <c r="V8" s="113"/>
      <c r="W8" s="113"/>
      <c r="X8" s="113"/>
      <c r="Y8" s="114"/>
    </row>
    <row r="9" ht="15.0" customHeight="1">
      <c r="A9" s="108"/>
      <c r="B9" s="108"/>
      <c r="C9" s="108"/>
      <c r="D9" s="108"/>
      <c r="E9" s="108"/>
      <c r="F9" s="108"/>
      <c r="G9" s="108"/>
      <c r="H9" s="108"/>
      <c r="I9" s="108"/>
      <c r="J9" s="108"/>
      <c r="K9" s="108"/>
      <c r="L9" s="108"/>
      <c r="M9" s="108"/>
      <c r="N9" s="108"/>
      <c r="O9" s="108"/>
      <c r="P9" s="113"/>
      <c r="Q9" s="113"/>
      <c r="R9" s="113"/>
      <c r="S9" s="113"/>
      <c r="T9" s="113"/>
      <c r="U9" s="113"/>
      <c r="V9" s="113"/>
      <c r="W9" s="113"/>
      <c r="X9" s="113"/>
      <c r="Y9" s="114"/>
    </row>
    <row r="10" ht="42" customHeight="1">
      <c r="A10" s="117" t="str">
        <v>Test Case ID</v>
      </c>
      <c r="B10" s="117" t="str">
        <v>Test Case Description</v>
      </c>
      <c r="C10" s="117" t="str">
        <v>Test Case Procedure</v>
      </c>
      <c r="D10" s="117" t="str">
        <v>Expected Results</v>
      </c>
      <c r="E10" s="117" t="str">
        <v>Pre-conditions</v>
      </c>
      <c r="F10" s="117" t="str">
        <v>Round 1</v>
      </c>
      <c r="G10" s="117" t="str">
        <v>Test date</v>
      </c>
      <c r="H10" s="117" t="str">
        <v>Tester</v>
      </c>
      <c r="I10" s="117" t="str">
        <v>Round 2</v>
      </c>
      <c r="J10" s="117" t="str">
        <v>Test date</v>
      </c>
      <c r="K10" s="117" t="str">
        <v>Tester</v>
      </c>
      <c r="L10" s="117" t="str">
        <v>Round 3</v>
      </c>
      <c r="M10" s="117" t="str">
        <v>Test date</v>
      </c>
      <c r="N10" s="117" t="str">
        <v>Tester</v>
      </c>
      <c r="O10" s="117" t="str">
        <v>Actual result / Evidence / Defect</v>
      </c>
      <c r="P10" s="118"/>
      <c r="Q10" s="113"/>
      <c r="R10" s="113"/>
      <c r="S10" s="113"/>
      <c r="T10" s="113"/>
      <c r="U10" s="113"/>
      <c r="V10" s="113"/>
      <c r="W10" s="113"/>
      <c r="X10" s="113"/>
      <c r="Y10" s="113"/>
    </row>
    <row r="11" ht="24" customHeight="1">
      <c r="A11" s="119" t="str">
        <v>Publication - Publish approved meeting</v>
      </c>
      <c r="B11" s="119"/>
      <c r="C11" s="119"/>
      <c r="D11" s="119"/>
      <c r="E11" s="119"/>
      <c r="F11" s="119"/>
      <c r="G11" s="119"/>
      <c r="H11" s="119"/>
      <c r="I11" s="119"/>
      <c r="J11" s="119"/>
      <c r="K11" s="119"/>
      <c r="L11" s="119"/>
      <c r="M11" s="119"/>
      <c r="N11" s="119"/>
      <c r="O11" s="150"/>
      <c r="P11" s="124"/>
      <c r="Q11" s="113"/>
      <c r="R11" s="113"/>
      <c r="S11" s="113"/>
      <c r="T11" s="113"/>
      <c r="U11" s="113"/>
      <c r="V11" s="113"/>
      <c r="W11" s="113"/>
      <c r="X11" s="113"/>
      <c r="Y11" s="113"/>
    </row>
    <row r="12" ht="179.2" customHeight="1">
      <c r="A12" s="121" t="str">
        <v>PUB_IT01</v>
      </c>
      <c r="B12" s="121" t="str">
        <v>Publish with one active Chair and an active Secretary</v>
      </c>
      <c r="C12" s="121" t="str">
        <v>1. As O, open the ready Approved test meeting.
2. Click "Công bố" then click "Công bố" in confirmation.
3. Reload O details; open meeting list/Calendar as recipient P.</v>
      </c>
      <c r="D12" s="121" t="str">
        <v>1. Status becomes "Đã công bố" and history records publication.
2. Eligible participant can find and open the published meeting.</v>
      </c>
      <c r="E12" s="121" t="str">
        <v>QA lead supplies Approved test meetings owned by organizer O; roster prepared outside UI because attendee management is a placeholder; active Chair and Secretary plus controlled recipient P and unrelated user X; email delivery enabled for mail checks.</v>
      </c>
      <c r="F12" s="121" t="str">
        <v>NotRun</v>
      </c>
      <c r="G12" s="122" t="str"/>
      <c r="H12" s="121" t="str"/>
      <c r="I12" s="121" t="str"/>
      <c r="J12" s="122" t="str"/>
      <c r="K12" s="121" t="str"/>
      <c r="L12" s="121" t="str"/>
      <c r="M12" s="122" t="str"/>
      <c r="N12" s="121" t="str"/>
      <c r="O12" s="123" t="str"/>
      <c r="P12" s="124"/>
      <c r="Q12" s="113"/>
      <c r="R12" s="113"/>
      <c r="S12" s="113"/>
      <c r="T12" s="113"/>
      <c r="U12" s="113"/>
      <c r="V12" s="113"/>
      <c r="W12" s="113"/>
      <c r="X12" s="113"/>
      <c r="Y12" s="113"/>
    </row>
    <row r="13" ht="179.2" customHeight="1">
      <c r="A13" s="121" t="str">
        <v>PUB_IT02</v>
      </c>
      <c r="B13" s="121" t="str">
        <v>Cancel publication leaves Approved status</v>
      </c>
      <c r="C13" s="121" t="str">
        <v>1. Open "Công bố" confirmation for a fresh Approved test meeting.
2. Click "Huỷ".
3. Reload meeting details/history.</v>
      </c>
      <c r="D13" s="121" t="str">
        <v>1. Status remains "Đã duyệt".
2. Cancelled operation creates no publication history or invitation.</v>
      </c>
      <c r="E13" s="121" t="str">
        <v>QA lead supplies Approved test meetings owned by organizer O; roster prepared outside UI because attendee management is a placeholder; active Chair and Secretary plus controlled recipient P and unrelated user X; email delivery enabled for mail checks.</v>
      </c>
      <c r="F13" s="121" t="str">
        <v>NotRun</v>
      </c>
      <c r="G13" s="122" t="str"/>
      <c r="H13" s="121" t="str"/>
      <c r="I13" s="121" t="str"/>
      <c r="J13" s="122" t="str"/>
      <c r="K13" s="121" t="str"/>
      <c r="L13" s="121" t="str"/>
      <c r="M13" s="122" t="str"/>
      <c r="N13" s="121" t="str"/>
      <c r="O13" s="123" t="str"/>
      <c r="P13" s="124"/>
      <c r="Q13" s="113"/>
      <c r="R13" s="113"/>
      <c r="S13" s="113"/>
      <c r="T13" s="113"/>
      <c r="U13" s="113"/>
      <c r="V13" s="113"/>
      <c r="W13" s="113"/>
      <c r="X13" s="113"/>
      <c r="Y13" s="113"/>
    </row>
    <row r="14" ht="24" customHeight="1">
      <c r="A14" s="119" t="str">
        <v>Publication - Roster validation</v>
      </c>
      <c r="B14" s="119"/>
      <c r="C14" s="119"/>
      <c r="D14" s="119"/>
      <c r="E14" s="119"/>
      <c r="F14" s="119"/>
      <c r="G14" s="119"/>
      <c r="H14" s="119"/>
      <c r="I14" s="119"/>
      <c r="J14" s="119"/>
      <c r="K14" s="119"/>
      <c r="L14" s="119"/>
      <c r="M14" s="119"/>
      <c r="N14" s="119"/>
      <c r="O14" s="150"/>
      <c r="P14" s="124"/>
      <c r="Q14" s="113"/>
      <c r="R14" s="113"/>
      <c r="S14" s="113"/>
      <c r="T14" s="113"/>
      <c r="U14" s="113"/>
      <c r="V14" s="113"/>
      <c r="W14" s="113"/>
      <c r="X14" s="113"/>
      <c r="Y14" s="113"/>
    </row>
    <row r="15" ht="209.6" customHeight="1">
      <c r="A15" s="121" t="str">
        <v>PUB_IT03</v>
      </c>
      <c r="B15" s="121" t="str">
        <v>Missing Secretary prevents publication</v>
      </c>
      <c r="C15" s="121" t="str">
        <v>1. As O, open the incomplete test meeting.
2. Click "Công bố" then click "Công bố" in confirmation.
3. Read error; reload status/history.</v>
      </c>
      <c r="D15" s="121" t="str">
        <v>1. Roster-readiness error is displayed.
2. Meeting stays "Đã duyệt" with no successful publication event.</v>
      </c>
      <c r="E15" s="121" t="str">
        <v>QA lead supplies Approved test meetings owned by organizer O; roster prepared outside UI because attendee management is a placeholder; active Chair and Secretary plus controlled recipient P and unrelated user X; email delivery enabled for mail checks. Separate test meeting has an active Chair but no active Secretary.</v>
      </c>
      <c r="F15" s="121" t="str">
        <v>NotRun</v>
      </c>
      <c r="G15" s="122" t="str"/>
      <c r="H15" s="121" t="str"/>
      <c r="I15" s="121" t="str"/>
      <c r="J15" s="122" t="str"/>
      <c r="K15" s="121" t="str"/>
      <c r="L15" s="121" t="str"/>
      <c r="M15" s="122" t="str"/>
      <c r="N15" s="121" t="str"/>
      <c r="O15" s="123" t="str"/>
      <c r="P15" s="124"/>
      <c r="Q15" s="113"/>
      <c r="R15" s="113"/>
      <c r="S15" s="113"/>
      <c r="T15" s="113"/>
      <c r="U15" s="113"/>
      <c r="V15" s="113"/>
      <c r="W15" s="113"/>
      <c r="X15" s="113"/>
      <c r="Y15" s="113"/>
    </row>
    <row r="16" ht="224.79999999999998" customHeight="1">
      <c r="A16" s="121" t="str">
        <v>PUB_IT04</v>
      </c>
      <c r="B16" s="121" t="str">
        <v>Missing Chair prevents publication</v>
      </c>
      <c r="C16" s="121" t="str">
        <v>1. As O, click "Công bố" for that test meeting and click "Công bố" in confirmation.
2. Read feedback and reload.</v>
      </c>
      <c r="D16" s="121" t="str">
        <v>1. Publication is rejected for incomplete meeting roles.
2. Meeting remains "Đã duyệt".</v>
      </c>
      <c r="E16" s="121" t="str">
        <v>QA lead supplies Approved test meetings owned by organizer O; roster prepared outside UI because attendee management is a placeholder; active Chair and Secretary plus controlled recipient P and unrelated user X; email delivery enabled for mail checks. Separate test meeting has an active Secretary but no active Chair.</v>
      </c>
      <c r="F16" s="121" t="str">
        <v>NotRun</v>
      </c>
      <c r="G16" s="122" t="str"/>
      <c r="H16" s="121" t="str"/>
      <c r="I16" s="121" t="str"/>
      <c r="J16" s="122" t="str"/>
      <c r="K16" s="121" t="str"/>
      <c r="L16" s="121" t="str"/>
      <c r="M16" s="122" t="str"/>
      <c r="N16" s="121" t="str"/>
      <c r="O16" s="123" t="str"/>
      <c r="P16" s="124"/>
      <c r="Q16" s="113"/>
      <c r="R16" s="113"/>
      <c r="S16" s="113"/>
      <c r="T16" s="113"/>
      <c r="U16" s="113"/>
      <c r="V16" s="113"/>
      <c r="W16" s="113"/>
      <c r="X16" s="113"/>
      <c r="Y16" s="113"/>
    </row>
    <row r="17" ht="24" customHeight="1">
      <c r="A17" s="119" t="str">
        <v>Publication - Invitation integration</v>
      </c>
      <c r="B17" s="119"/>
      <c r="C17" s="119"/>
      <c r="D17" s="119"/>
      <c r="E17" s="119"/>
      <c r="F17" s="119"/>
      <c r="G17" s="119"/>
      <c r="H17" s="119"/>
      <c r="I17" s="119"/>
      <c r="J17" s="119"/>
      <c r="K17" s="119"/>
      <c r="L17" s="119"/>
      <c r="M17" s="119"/>
      <c r="N17" s="119"/>
      <c r="O17" s="150"/>
      <c r="P17" s="124"/>
      <c r="Q17" s="113"/>
      <c r="R17" s="113"/>
      <c r="S17" s="113"/>
      <c r="T17" s="113"/>
      <c r="U17" s="113"/>
      <c r="V17" s="113"/>
      <c r="W17" s="113"/>
      <c r="X17" s="113"/>
      <c r="Y17" s="113"/>
    </row>
    <row r="18" ht="209.6" customHeight="1">
      <c r="A18" s="121" t="str">
        <v>PUB_IT05</v>
      </c>
      <c r="B18" s="121" t="str">
        <v>Published invitation agrees with meeting details</v>
      </c>
      <c r="C18" s="121" t="str">
        <v>1. As O, click "Công bố" and click "Công bố" in confirmation.
2. As P, open new notification and controlled email.
3. Compare title/time/place with meeting details.
4. Inspect attached calendar invitation.</v>
      </c>
      <c r="D18" s="121" t="str">
        <v>1. Notification/email refer to the same meeting.
2. Calendar attachment contains the saved schedule and the meeting link; delivery is assessed in the configured mailbox.</v>
      </c>
      <c r="E18" s="121" t="str">
        <v>QA lead supplies Approved test meetings owned by organizer O; roster prepared outside UI because attendee management is a placeholder; active Chair and Secretary plus controlled recipient P and unrelated user X; email delivery enabled for mail checks. Fresh ready test meeting with known time, place, title and P email.</v>
      </c>
      <c r="F18" s="121" t="str">
        <v>NotRun</v>
      </c>
      <c r="G18" s="122" t="str"/>
      <c r="H18" s="121" t="str"/>
      <c r="I18" s="121" t="str"/>
      <c r="J18" s="122" t="str"/>
      <c r="K18" s="121" t="str"/>
      <c r="L18" s="121" t="str"/>
      <c r="M18" s="122" t="str"/>
      <c r="N18" s="121" t="str"/>
      <c r="O18" s="123" t="str"/>
      <c r="P18" s="124"/>
      <c r="Q18" s="113"/>
      <c r="R18" s="113"/>
      <c r="S18" s="113"/>
      <c r="T18" s="113"/>
      <c r="U18" s="113"/>
      <c r="V18" s="113"/>
      <c r="W18" s="113"/>
      <c r="X18" s="113"/>
      <c r="Y18" s="113"/>
    </row>
    <row r="19" ht="224.79999999999998" customHeight="1">
      <c r="A19" s="121" t="str">
        <v>PUB_IT06</v>
      </c>
      <c r="B19" s="121" t="str">
        <v>Unrelated user does not receive the invitation</v>
      </c>
      <c r="C19" s="121" t="str">
        <v>1. For a fresh test meeting, click "Công bố" and click "Công bố" in confirmation.
2. Inspect P notifications/mail and X notifications/mail.
3. As X, try opening the published meeting URL.</v>
      </c>
      <c r="D19" s="121" t="str">
        <v>1. Intended P receives the applicable invitation.
2. X receives no invitation for this publication and cannot read its details.</v>
      </c>
      <c r="E19" s="121" t="str">
        <v>QA lead supplies Approved test meetings owned by organizer O; roster prepared outside UI because attendee management is a placeholder; active Chair and Secretary plus controlled recipient P and unrelated user X; email delivery enabled for mail checks. X has no meeting relationship; X baseline unread count/inbox recorded.</v>
      </c>
      <c r="F19" s="121" t="str">
        <v>NotRun</v>
      </c>
      <c r="G19" s="122" t="str"/>
      <c r="H19" s="121" t="str"/>
      <c r="I19" s="121" t="str"/>
      <c r="J19" s="122" t="str"/>
      <c r="K19" s="121" t="str"/>
      <c r="L19" s="121" t="str"/>
      <c r="M19" s="122" t="str"/>
      <c r="N19" s="121" t="str"/>
      <c r="O19" s="123" t="str"/>
      <c r="P19" s="124"/>
      <c r="Q19" s="113"/>
      <c r="R19" s="113"/>
      <c r="S19" s="113"/>
      <c r="T19" s="113"/>
      <c r="U19" s="113"/>
      <c r="V19" s="113"/>
      <c r="W19" s="113"/>
      <c r="X19" s="113"/>
      <c r="Y19" s="113"/>
    </row>
    <row r="20" ht="209.6" customHeight="1">
      <c r="A20" s="121" t="str">
        <v>PUB_IT07</v>
      </c>
      <c r="B20" s="121" t="str">
        <v>Failed publication sends no successful invitation</v>
      </c>
      <c r="C20" s="121" t="str">
        <v>1. As O, click "Công bố" and confirm with "Công bố"; observe the rejection.
2. Inspect P inbox/bell.
3. Reload meeting details.</v>
      </c>
      <c r="D20" s="121" t="str">
        <v>1. No successful-publication invitation is produced by the rejected attempt.
2. Meeting remains "Đã duyệt".</v>
      </c>
      <c r="E20" s="121" t="str">
        <v>QA lead supplies Approved test meetings owned by organizer O; roster prepared outside UI because attendee management is a placeholder; active Chair and Secretary plus controlled recipient P and unrelated user X; email delivery enabled for mail checks. Fixture lacks Secretary; P baseline inbox and notifications recorded.</v>
      </c>
      <c r="F20" s="121" t="str">
        <v>NotRun</v>
      </c>
      <c r="G20" s="122" t="str"/>
      <c r="H20" s="121" t="str"/>
      <c r="I20" s="121" t="str"/>
      <c r="J20" s="122" t="str"/>
      <c r="K20" s="121" t="str"/>
      <c r="L20" s="121" t="str"/>
      <c r="M20" s="122" t="str"/>
      <c r="N20" s="121" t="str"/>
      <c r="O20" s="123" t="str"/>
      <c r="P20" s="124"/>
      <c r="Q20" s="113"/>
      <c r="R20" s="113"/>
      <c r="S20" s="113"/>
      <c r="T20" s="113"/>
      <c r="U20" s="113"/>
      <c r="V20" s="113"/>
      <c r="W20" s="113"/>
      <c r="X20" s="113"/>
      <c r="Y20" s="113"/>
    </row>
  </sheetData>
  <mergeCells count="6">
    <mergeCell ref="B2:E2"/>
    <mergeCell ref="B3:E3"/>
    <mergeCell ref="B4:E4"/>
    <mergeCell ref="A11:O11"/>
    <mergeCell ref="A14:O14"/>
    <mergeCell ref="A17:O17"/>
  </mergeCells>
  <dataValidations count="3">
    <dataValidation type="list" allowBlank="1" showErrorMessage="1" errorTitle="Select a test status" error="Use the status dropdown." sqref="F12 F13 F15 F16 F18 F19 F20">
      <formula1>"NotRun,Passed,Failed,Blocked,Skipped"</formula1>
    </dataValidation>
    <dataValidation type="list" allowBlank="1" showErrorMessage="1" errorTitle="Select a test status" error="Use the status dropdown." sqref="I12 I13 I15 I16 I18 I19 I20">
      <formula1>"NotRun,Passed,Failed,Blocked,Skipped"</formula1>
    </dataValidation>
    <dataValidation type="list" allowBlank="1" showErrorMessage="1" errorTitle="Select a test status" error="Use the status dropdown." sqref="L12 L13 L15 L16 L18 L19 L20">
      <formula1>"NotRun,Passed,Failed,Blocked,Skipped"</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topLeftCell="A1" zoomScale="70" showGridLines="0">
      <pane xSplit="2" ySplit="10" topLeftCell="C11" activePane="bottomRight" state="frozen"/>
      <selection pane="bottomRight" activeCell="A1" sqref="A1"/>
    </sheetView>
  </sheetViews>
  <sheetFormatPr customHeight="1" defaultColWidth="12.63" defaultRowHeight="15.0" outlineLevelCol="1" outlineLevelRow="1"/>
  <cols>
    <col customWidth="1" min="1" max="1" width="17.0"/>
    <col customWidth="1" min="2" max="2" width="34.5"/>
    <col customWidth="1" min="3" max="3" width="34.13"/>
    <col customWidth="1" min="4" max="4" width="43.75"/>
    <col customWidth="1" min="5" max="5" width="28.38"/>
    <col customWidth="1" min="6" max="6" width="9.38"/>
    <col customWidth="1" min="7" max="7" width="10.38" outlineLevel="1"/>
    <col customWidth="1" min="8" max="9" width="9.38"/>
    <col customWidth="1" min="10" max="10" width="10.38" outlineLevel="1"/>
    <col customWidth="1" min="11" max="12" width="9.38"/>
    <col customWidth="1" min="13" max="13" width="10.38" outlineLevel="1"/>
    <col customWidth="1" min="14" max="14" width="9.38"/>
    <col customWidth="1" min="15" max="15" width="24"/>
    <col customWidth="1" hidden="1" min="16" max="16" width="7.63"/>
    <col customWidth="1" min="17" max="25" width="9.0"/>
  </cols>
  <sheetData>
    <row r="1" ht="12.75" customHeight="1">
      <c r="A1" s="108"/>
      <c r="B1" s="108"/>
      <c r="C1" s="108"/>
      <c r="D1" s="108"/>
      <c r="E1" s="108"/>
      <c r="F1" s="108"/>
      <c r="G1" s="108"/>
      <c r="H1" s="108"/>
      <c r="I1" s="108"/>
      <c r="J1" s="108"/>
      <c r="K1" s="108"/>
      <c r="L1" s="108"/>
      <c r="M1" s="108"/>
      <c r="N1" s="108"/>
      <c r="O1" s="108"/>
      <c r="P1" s="45"/>
      <c r="Q1" s="45"/>
      <c r="R1" s="45"/>
      <c r="S1" s="45"/>
      <c r="T1" s="45"/>
      <c r="U1" s="45"/>
      <c r="V1" s="45"/>
      <c r="W1" s="45"/>
      <c r="X1" s="45"/>
      <c r="Y1" s="109"/>
    </row>
    <row r="2" ht="15.0" customHeight="1">
      <c r="A2" s="110" t="str">
        <v>Feature</v>
      </c>
      <c r="B2" s="111" t="str">
        <v>Calendar</v>
      </c>
      <c r="C2" s="5"/>
      <c r="D2" s="5"/>
      <c r="E2" s="112"/>
      <c r="F2" s="108"/>
      <c r="G2" s="108"/>
      <c r="H2" s="108"/>
      <c r="I2" s="108"/>
      <c r="J2" s="108"/>
      <c r="K2" s="108"/>
      <c r="L2" s="108"/>
      <c r="M2" s="108"/>
      <c r="N2" s="108"/>
      <c r="O2" s="108"/>
      <c r="P2" s="113" t="str">
        <v>Passed</v>
      </c>
      <c r="Q2" s="113"/>
      <c r="R2" s="113"/>
      <c r="S2" s="113"/>
      <c r="T2" s="113"/>
      <c r="U2" s="113"/>
      <c r="V2" s="113"/>
      <c r="W2" s="113"/>
      <c r="X2" s="113"/>
      <c r="Y2" s="114"/>
    </row>
    <row r="3" ht="52" customHeight="1">
      <c r="A3" s="110" t="str">
        <v>Test requirement</v>
      </c>
      <c r="B3" s="111" t="str">
        <v>Manual integration: perform the browser steps and compare saved data or recipient screens. Check prerequisites before execution.</v>
      </c>
      <c r="C3" s="5"/>
      <c r="D3" s="5"/>
      <c r="E3" s="112"/>
      <c r="F3" s="108"/>
      <c r="G3" s="108"/>
      <c r="H3" s="108"/>
      <c r="I3" s="108"/>
      <c r="J3" s="108"/>
      <c r="K3" s="108"/>
      <c r="L3" s="108"/>
      <c r="M3" s="108"/>
      <c r="N3" s="108"/>
      <c r="O3" s="108"/>
      <c r="P3" s="113" t="str">
        <v>Failed</v>
      </c>
      <c r="Q3" s="113"/>
      <c r="R3" s="113"/>
      <c r="S3" s="113"/>
      <c r="T3" s="113"/>
      <c r="U3" s="113"/>
      <c r="V3" s="113"/>
      <c r="W3" s="113"/>
      <c r="X3" s="113"/>
      <c r="Y3" s="114"/>
    </row>
    <row r="4" ht="18.0" customHeight="1">
      <c r="A4" s="110" t="str">
        <v>Number of TCs</v>
      </c>
      <c r="B4" s="111" t="n">
        <v>8</v>
      </c>
      <c r="C4" s="5"/>
      <c r="D4" s="5"/>
      <c r="E4" s="112"/>
      <c r="F4" s="108"/>
      <c r="G4" s="108"/>
      <c r="H4" s="108"/>
      <c r="I4" s="108"/>
      <c r="J4" s="108"/>
      <c r="K4" s="108"/>
      <c r="L4" s="108"/>
      <c r="M4" s="108"/>
      <c r="N4" s="108"/>
      <c r="O4" s="108"/>
      <c r="P4" s="113" t="str">
        <v>NotRun</v>
      </c>
      <c r="Q4" s="113"/>
      <c r="R4" s="113"/>
      <c r="S4" s="113"/>
      <c r="T4" s="113"/>
      <c r="U4" s="113"/>
      <c r="V4" s="113"/>
      <c r="W4" s="113"/>
      <c r="X4" s="113"/>
      <c r="Y4" s="114"/>
    </row>
    <row r="5" ht="19.5" customHeight="1">
      <c r="A5" s="115" t="str">
        <v>Testing Round</v>
      </c>
      <c r="B5" s="115" t="str">
        <v>Passed</v>
      </c>
      <c r="C5" s="115" t="str">
        <v>Failed</v>
      </c>
      <c r="D5" s="115" t="str">
        <v>Pending</v>
      </c>
      <c r="E5" s="115" t="str">
        <v>N/A</v>
      </c>
      <c r="F5" s="108"/>
      <c r="G5" s="108"/>
      <c r="H5" s="108"/>
      <c r="I5" s="108"/>
      <c r="J5" s="108"/>
      <c r="K5" s="108"/>
      <c r="L5" s="108"/>
      <c r="M5" s="108"/>
      <c r="N5" s="108"/>
      <c r="O5" s="108"/>
      <c r="P5" s="113" t="str">
        <v>Skipped</v>
      </c>
      <c r="Q5" s="113"/>
      <c r="R5" s="113"/>
      <c r="S5" s="113"/>
      <c r="T5" s="113"/>
      <c r="U5" s="113"/>
      <c r="V5" s="113"/>
      <c r="W5" s="113"/>
      <c r="X5" s="113"/>
      <c r="Y5" s="114"/>
    </row>
    <row r="6" ht="15.0" customHeight="1">
      <c r="A6" s="116" t="str">
        <v>Round 1</v>
      </c>
      <c r="B6" s="115" t="n">
        <f>COUNTIF(F12:F24,"Passed")</f>
        <v>0</v>
      </c>
      <c r="C6" s="115" t="n">
        <f>COUNTIF(F12:F24,"Failed")</f>
        <v>0</v>
      </c>
      <c r="D6" s="115" t="n">
        <f>B4-B6-C6-E6</f>
        <v>8</v>
      </c>
      <c r="E6" s="115" t="n">
        <f>COUNTIF(F12:F24,"Skipped")</f>
        <v>0</v>
      </c>
      <c r="F6" s="108"/>
      <c r="G6" s="108"/>
      <c r="H6" s="108"/>
      <c r="I6" s="108"/>
      <c r="J6" s="108"/>
      <c r="K6" s="108"/>
      <c r="L6" s="108"/>
      <c r="M6" s="108"/>
      <c r="N6" s="108"/>
      <c r="O6" s="108"/>
      <c r="P6" s="113"/>
      <c r="Q6" s="113"/>
      <c r="R6" s="113"/>
      <c r="S6" s="113"/>
      <c r="T6" s="113"/>
      <c r="U6" s="113"/>
      <c r="V6" s="113"/>
      <c r="W6" s="113"/>
      <c r="X6" s="113"/>
      <c r="Y6" s="114"/>
    </row>
    <row r="7" ht="15.0" customHeight="1">
      <c r="A7" s="116" t="str">
        <v>Round 2</v>
      </c>
      <c r="B7" s="115" t="n">
        <f>COUNTIF(I12:I24,"Passed")</f>
        <v>0</v>
      </c>
      <c r="C7" s="115" t="n">
        <f>COUNTIF(I12:I24,"Failed")</f>
        <v>0</v>
      </c>
      <c r="D7" s="115" t="n">
        <f>B4-B7-C7-E7</f>
        <v>8</v>
      </c>
      <c r="E7" s="115" t="n">
        <f>COUNTIF(I12:I24,"Skipped")</f>
        <v>0</v>
      </c>
      <c r="F7" s="108"/>
      <c r="G7" s="108"/>
      <c r="H7" s="108"/>
      <c r="I7" s="108"/>
      <c r="J7" s="108"/>
      <c r="K7" s="108"/>
      <c r="L7" s="108"/>
      <c r="M7" s="108"/>
      <c r="N7" s="108"/>
      <c r="O7" s="108"/>
      <c r="P7" s="113"/>
      <c r="Q7" s="113"/>
      <c r="R7" s="113"/>
      <c r="S7" s="113"/>
      <c r="T7" s="113"/>
      <c r="U7" s="113"/>
      <c r="V7" s="113"/>
      <c r="W7" s="113"/>
      <c r="X7" s="113"/>
      <c r="Y7" s="114"/>
    </row>
    <row r="8" ht="15.0" customHeight="1">
      <c r="A8" s="116" t="str">
        <v>Round 3</v>
      </c>
      <c r="B8" s="115" t="n">
        <f>COUNTIF(L12:L24,"Passed")</f>
        <v>0</v>
      </c>
      <c r="C8" s="115" t="n">
        <f>COUNTIF(L12:L24,"Failed")</f>
        <v>0</v>
      </c>
      <c r="D8" s="115" t="n">
        <f>B4-B8-C8-E8</f>
        <v>8</v>
      </c>
      <c r="E8" s="115" t="n">
        <f>COUNTIF(L12:L24,"Skipped")</f>
        <v>0</v>
      </c>
      <c r="F8" s="108"/>
      <c r="G8" s="108"/>
      <c r="H8" s="108"/>
      <c r="I8" s="108"/>
      <c r="J8" s="108"/>
      <c r="K8" s="108"/>
      <c r="L8" s="108"/>
      <c r="M8" s="108"/>
      <c r="N8" s="108"/>
      <c r="O8" s="108"/>
      <c r="P8" s="113"/>
      <c r="Q8" s="113"/>
      <c r="R8" s="113"/>
      <c r="S8" s="113"/>
      <c r="T8" s="113"/>
      <c r="U8" s="113"/>
      <c r="V8" s="113"/>
      <c r="W8" s="113"/>
      <c r="X8" s="113"/>
      <c r="Y8" s="114"/>
    </row>
    <row r="9" ht="15.0" customHeight="1">
      <c r="A9" s="108"/>
      <c r="B9" s="108"/>
      <c r="C9" s="108"/>
      <c r="D9" s="108"/>
      <c r="E9" s="108"/>
      <c r="F9" s="108"/>
      <c r="G9" s="108"/>
      <c r="H9" s="108"/>
      <c r="I9" s="108"/>
      <c r="J9" s="108"/>
      <c r="K9" s="108"/>
      <c r="L9" s="108"/>
      <c r="M9" s="108"/>
      <c r="N9" s="108"/>
      <c r="O9" s="108"/>
      <c r="P9" s="113"/>
      <c r="Q9" s="113"/>
      <c r="R9" s="113"/>
      <c r="S9" s="113"/>
      <c r="T9" s="113"/>
      <c r="U9" s="113"/>
      <c r="V9" s="113"/>
      <c r="W9" s="113"/>
      <c r="X9" s="113"/>
      <c r="Y9" s="114"/>
    </row>
    <row r="10" ht="42" customHeight="1">
      <c r="A10" s="117" t="str">
        <v>Test Case ID</v>
      </c>
      <c r="B10" s="117" t="str">
        <v>Test Case Description</v>
      </c>
      <c r="C10" s="117" t="str">
        <v>Test Case Procedure</v>
      </c>
      <c r="D10" s="117" t="str">
        <v>Expected Results</v>
      </c>
      <c r="E10" s="117" t="str">
        <v>Pre-conditions</v>
      </c>
      <c r="F10" s="117" t="str">
        <v>Round 1</v>
      </c>
      <c r="G10" s="117" t="str">
        <v>Test date</v>
      </c>
      <c r="H10" s="117" t="str">
        <v>Tester</v>
      </c>
      <c r="I10" s="117" t="str">
        <v>Round 2</v>
      </c>
      <c r="J10" s="117" t="str">
        <v>Test date</v>
      </c>
      <c r="K10" s="117" t="str">
        <v>Tester</v>
      </c>
      <c r="L10" s="117" t="str">
        <v>Round 3</v>
      </c>
      <c r="M10" s="117" t="str">
        <v>Test date</v>
      </c>
      <c r="N10" s="117" t="str">
        <v>Tester</v>
      </c>
      <c r="O10" s="117" t="str">
        <v>Actual result / Evidence / Defect</v>
      </c>
      <c r="P10" s="118"/>
      <c r="Q10" s="113"/>
      <c r="R10" s="113"/>
      <c r="S10" s="113"/>
      <c r="T10" s="113"/>
      <c r="U10" s="113"/>
      <c r="V10" s="113"/>
      <c r="W10" s="113"/>
      <c r="X10" s="113"/>
      <c r="Y10" s="113"/>
    </row>
    <row r="11" ht="24" customHeight="1">
      <c r="A11" s="119" t="str">
        <v>Calendar - Calendar data</v>
      </c>
      <c r="B11" s="119"/>
      <c r="C11" s="119"/>
      <c r="D11" s="119"/>
      <c r="E11" s="119"/>
      <c r="F11" s="119"/>
      <c r="G11" s="119"/>
      <c r="H11" s="119"/>
      <c r="I11" s="119"/>
      <c r="J11" s="119"/>
      <c r="K11" s="119"/>
      <c r="L11" s="119"/>
      <c r="M11" s="119"/>
      <c r="N11" s="119"/>
      <c r="O11" s="150"/>
      <c r="P11" s="124"/>
      <c r="Q11" s="113"/>
      <c r="R11" s="113"/>
      <c r="S11" s="113"/>
      <c r="T11" s="113"/>
      <c r="U11" s="113"/>
      <c r="V11" s="113"/>
      <c r="W11" s="113"/>
      <c r="X11" s="113"/>
      <c r="Y11" s="113"/>
    </row>
    <row r="12" ht="118.39999999999999" customHeight="1">
      <c r="A12" s="121" t="str">
        <v>CAL_IT01</v>
      </c>
      <c r="B12" s="121" t="str">
        <v>Weekly grid agrees with meeting details</v>
      </c>
      <c r="C12" s="121" t="str">
        <v>1. Open "Lịch làm việc".
2. Locate a known meeting; inspect its preview.
3. Open full details and compare schedule and place.</v>
      </c>
      <c r="D12" s="121" t="str">
        <v>1. Grid/preview/details identify the same meeting.
2. Displayed date/time/place agree in the browser time zone.</v>
      </c>
      <c r="E12" s="121" t="str">
        <v>Signed in; fewer than 100 readable meetings in the selected week; test meetings include weekday, weekend and overlapping schedules; browser time zone recorded.</v>
      </c>
      <c r="F12" s="121" t="str">
        <v>NotRun</v>
      </c>
      <c r="G12" s="122" t="str"/>
      <c r="H12" s="121" t="str"/>
      <c r="I12" s="121" t="str"/>
      <c r="J12" s="122" t="str"/>
      <c r="K12" s="121" t="str"/>
      <c r="L12" s="121" t="str"/>
      <c r="M12" s="122" t="str"/>
      <c r="N12" s="121" t="str"/>
      <c r="O12" s="123" t="str"/>
      <c r="P12" s="124"/>
      <c r="Q12" s="113"/>
      <c r="R12" s="113"/>
      <c r="S12" s="113"/>
      <c r="T12" s="113"/>
      <c r="U12" s="113"/>
      <c r="V12" s="113"/>
      <c r="W12" s="113"/>
      <c r="X12" s="113"/>
      <c r="Y12" s="113"/>
    </row>
    <row r="13" ht="24" customHeight="1">
      <c r="A13" s="119" t="str">
        <v>Calendar - Calendar navigation</v>
      </c>
      <c r="B13" s="119"/>
      <c r="C13" s="119"/>
      <c r="D13" s="119"/>
      <c r="E13" s="119"/>
      <c r="F13" s="119"/>
      <c r="G13" s="119"/>
      <c r="H13" s="119"/>
      <c r="I13" s="119"/>
      <c r="J13" s="119"/>
      <c r="K13" s="119"/>
      <c r="L13" s="119"/>
      <c r="M13" s="119"/>
      <c r="N13" s="119"/>
      <c r="O13" s="150"/>
      <c r="P13" s="124"/>
      <c r="Q13" s="113"/>
      <c r="R13" s="113"/>
      <c r="S13" s="113"/>
      <c r="T13" s="113"/>
      <c r="U13" s="113"/>
      <c r="V13" s="113"/>
      <c r="W13" s="113"/>
      <c r="X13" s="113"/>
      <c r="Y13" s="113"/>
    </row>
    <row r="14" ht="118.39999999999999" customHeight="1">
      <c r="A14" s="121" t="str">
        <v>CAL_IT02</v>
      </c>
      <c r="B14" s="121" t="str">
        <v>Previous, next and Today change the week</v>
      </c>
      <c r="C14" s="121" t="str">
        <v>1. Record the displayed week.
2. Click "Tuần sau" then "Tuần trước".
3. Click "Hôm nay".</v>
      </c>
      <c r="D14" s="121" t="str">
        <v>1. Week changes in seven-day steps.
2. Today returns to the current week; meetings match each selected interval.</v>
      </c>
      <c r="E14" s="121" t="str">
        <v>Signed in; fewer than 100 readable meetings in the selected week; test meetings include weekday, weekend and overlapping schedules; browser time zone recorded.</v>
      </c>
      <c r="F14" s="121" t="str">
        <v>NotRun</v>
      </c>
      <c r="G14" s="122" t="str"/>
      <c r="H14" s="121" t="str"/>
      <c r="I14" s="121" t="str"/>
      <c r="J14" s="122" t="str"/>
      <c r="K14" s="121" t="str"/>
      <c r="L14" s="121" t="str"/>
      <c r="M14" s="122" t="str"/>
      <c r="N14" s="121" t="str"/>
      <c r="O14" s="123" t="str"/>
      <c r="P14" s="124"/>
      <c r="Q14" s="113"/>
      <c r="R14" s="113"/>
      <c r="S14" s="113"/>
      <c r="T14" s="113"/>
      <c r="U14" s="113"/>
      <c r="V14" s="113"/>
      <c r="W14" s="113"/>
      <c r="X14" s="113"/>
      <c r="Y14" s="113"/>
    </row>
    <row r="15" ht="24" customHeight="1">
      <c r="A15" s="119" t="str">
        <v>Calendar - Calendar views</v>
      </c>
      <c r="B15" s="119"/>
      <c r="C15" s="119"/>
      <c r="D15" s="119"/>
      <c r="E15" s="119"/>
      <c r="F15" s="119"/>
      <c r="G15" s="119"/>
      <c r="H15" s="119"/>
      <c r="I15" s="119"/>
      <c r="J15" s="119"/>
      <c r="K15" s="119"/>
      <c r="L15" s="119"/>
      <c r="M15" s="119"/>
      <c r="N15" s="119"/>
      <c r="O15" s="150"/>
      <c r="P15" s="124"/>
      <c r="Q15" s="113"/>
      <c r="R15" s="113"/>
      <c r="S15" s="113"/>
      <c r="T15" s="113"/>
      <c r="U15" s="113"/>
      <c r="V15" s="113"/>
      <c r="W15" s="113"/>
      <c r="X15" s="113"/>
      <c r="Y15" s="113"/>
    </row>
    <row r="16" ht="118.39999999999999" customHeight="1">
      <c r="A16" s="121" t="str">
        <v>CAL_IT03</v>
      </c>
      <c r="B16" s="121" t="str">
        <v>Switch between grid and list for the same week</v>
      </c>
      <c r="C16" s="121" t="str">
        <v>1. Select a week with known meetings.
2. Switch "Lịch" to "Danh sách" and back.
3. Compare meeting titles/times.</v>
      </c>
      <c r="D16" s="121" t="str">
        <v>1. Both views represent the same selected interval and readable meetings.
2. Switching view does not change saved meeting data.</v>
      </c>
      <c r="E16" s="121" t="str">
        <v>Signed in; fewer than 100 readable meetings in the selected week; test meetings include weekday, weekend and overlapping schedules; browser time zone recorded.</v>
      </c>
      <c r="F16" s="121" t="str">
        <v>NotRun</v>
      </c>
      <c r="G16" s="122" t="str"/>
      <c r="H16" s="121" t="str"/>
      <c r="I16" s="121" t="str"/>
      <c r="J16" s="122" t="str"/>
      <c r="K16" s="121" t="str"/>
      <c r="L16" s="121" t="str"/>
      <c r="M16" s="122" t="str"/>
      <c r="N16" s="121" t="str"/>
      <c r="O16" s="123" t="str"/>
      <c r="P16" s="124"/>
      <c r="Q16" s="113"/>
      <c r="R16" s="113"/>
      <c r="S16" s="113"/>
      <c r="T16" s="113"/>
      <c r="U16" s="113"/>
      <c r="V16" s="113"/>
      <c r="W16" s="113"/>
      <c r="X16" s="113"/>
      <c r="Y16" s="113"/>
    </row>
    <row r="17" ht="148.79999999999998" customHeight="1">
      <c r="A17" s="121" t="str">
        <v>CAL_IT04</v>
      </c>
      <c r="B17" s="121" t="str">
        <v>Full week includes weekend meetings</v>
      </c>
      <c r="C17" s="121" t="str">
        <v>1. Choose "Tuần làm việc"; inspect visible days.
2. Choose "Cả tuần".
3. Locate Saturday meeting.</v>
      </c>
      <c r="D17" s="121" t="str">
        <v>1. Working-week view shows Monday-Friday.
2. Full-week view shows seven days and the readable weekend meeting.</v>
      </c>
      <c r="E17" s="121" t="str">
        <v>Signed in; fewer than 100 readable meetings in the selected week; test meetings include weekday, weekend and overlapping schedules; browser time zone recorded. A readable Saturday meeting and weekday meeting exist.</v>
      </c>
      <c r="F17" s="121" t="str">
        <v>NotRun</v>
      </c>
      <c r="G17" s="122" t="str"/>
      <c r="H17" s="121" t="str"/>
      <c r="I17" s="121" t="str"/>
      <c r="J17" s="122" t="str"/>
      <c r="K17" s="121" t="str"/>
      <c r="L17" s="121" t="str"/>
      <c r="M17" s="122" t="str"/>
      <c r="N17" s="121" t="str"/>
      <c r="O17" s="123" t="str"/>
      <c r="P17" s="124"/>
      <c r="Q17" s="113"/>
      <c r="R17" s="113"/>
      <c r="S17" s="113"/>
      <c r="T17" s="113"/>
      <c r="U17" s="113"/>
      <c r="V17" s="113"/>
      <c r="W17" s="113"/>
      <c r="X17" s="113"/>
      <c r="Y17" s="113"/>
    </row>
    <row r="18" ht="24" customHeight="1">
      <c r="A18" s="119" t="str">
        <v>Calendar - Calendar navigation</v>
      </c>
      <c r="B18" s="119"/>
      <c r="C18" s="119"/>
      <c r="D18" s="119"/>
      <c r="E18" s="119"/>
      <c r="F18" s="119"/>
      <c r="G18" s="119"/>
      <c r="H18" s="119"/>
      <c r="I18" s="119"/>
      <c r="J18" s="119"/>
      <c r="K18" s="119"/>
      <c r="L18" s="119"/>
      <c r="M18" s="119"/>
      <c r="N18" s="119"/>
      <c r="O18" s="150"/>
      <c r="P18" s="124"/>
      <c r="Q18" s="113"/>
      <c r="R18" s="113"/>
      <c r="S18" s="113"/>
      <c r="T18" s="113"/>
      <c r="U18" s="113"/>
      <c r="V18" s="113"/>
      <c r="W18" s="113"/>
      <c r="X18" s="113"/>
      <c r="Y18" s="113"/>
    </row>
    <row r="19" ht="118.39999999999999" customHeight="1">
      <c r="A19" s="121" t="str">
        <v>CAL_IT05</v>
      </c>
      <c r="B19" s="121" t="str">
        <v>Week and view persist after reload</v>
      </c>
      <c r="C19" s="121" t="str">
        <v>1. Go to a non-current week.
2. Choose "Cả tuần" and "Danh sách".
3. Reload and inspect URL and view.</v>
      </c>
      <c r="D19" s="121" t="str">
        <v>1. Same week, day span and mode reopen.
2. No unrelated week is substituted.</v>
      </c>
      <c r="E19" s="121" t="str">
        <v>Signed in; fewer than 100 readable meetings in the selected week; test meetings include weekday, weekend and overlapping schedules; browser time zone recorded.</v>
      </c>
      <c r="F19" s="121" t="str">
        <v>NotRun</v>
      </c>
      <c r="G19" s="122" t="str"/>
      <c r="H19" s="121" t="str"/>
      <c r="I19" s="121" t="str"/>
      <c r="J19" s="122" t="str"/>
      <c r="K19" s="121" t="str"/>
      <c r="L19" s="121" t="str"/>
      <c r="M19" s="122" t="str"/>
      <c r="N19" s="121" t="str"/>
      <c r="O19" s="123" t="str"/>
      <c r="P19" s="124"/>
      <c r="Q19" s="113"/>
      <c r="R19" s="113"/>
      <c r="S19" s="113"/>
      <c r="T19" s="113"/>
      <c r="U19" s="113"/>
      <c r="V19" s="113"/>
      <c r="W19" s="113"/>
      <c r="X19" s="113"/>
      <c r="Y19" s="113"/>
    </row>
    <row r="20" ht="24" customHeight="1">
      <c r="A20" s="119" t="str">
        <v>Calendar - Calendar integration</v>
      </c>
      <c r="B20" s="119"/>
      <c r="C20" s="119"/>
      <c r="D20" s="119"/>
      <c r="E20" s="119"/>
      <c r="F20" s="119"/>
      <c r="G20" s="119"/>
      <c r="H20" s="119"/>
      <c r="I20" s="119"/>
      <c r="J20" s="119"/>
      <c r="K20" s="119"/>
      <c r="L20" s="119"/>
      <c r="M20" s="119"/>
      <c r="N20" s="119"/>
      <c r="O20" s="150"/>
      <c r="P20" s="124"/>
      <c r="Q20" s="113"/>
      <c r="R20" s="113"/>
      <c r="S20" s="113"/>
      <c r="T20" s="113"/>
      <c r="U20" s="113"/>
      <c r="V20" s="113"/>
      <c r="W20" s="113"/>
      <c r="X20" s="113"/>
      <c r="Y20" s="113"/>
    </row>
    <row r="21" ht="179.2" customHeight="1">
      <c r="A21" s="121" t="str">
        <v>CAL_IT06</v>
      </c>
      <c r="B21" s="121" t="str">
        <v>New meeting appears in its scheduled week</v>
      </c>
      <c r="C21" s="121" t="str">
        <v>1. Click "Tạo cuộc họp", enter a unique title and future schedule, then click "Tạo cuộc họp".
2. Open "Lịch làm việc" and navigate to that week.
3. Open its entry and compare details.</v>
      </c>
      <c r="D21" s="121" t="str">
        <v>1. New readable Draft appears in its scheduled interval.
2. Entry opens the newly created meeting.</v>
      </c>
      <c r="E21" s="121" t="str">
        <v>Signed in; fewer than 100 readable meetings in the selected week; test meetings include weekday, weekend and overlapping schedules; browser time zone recorded. Organizer has MeetingCreator; distinct future slot in a week containing under 100 readable meetings.</v>
      </c>
      <c r="F21" s="121" t="str">
        <v>NotRun</v>
      </c>
      <c r="G21" s="122" t="str"/>
      <c r="H21" s="121" t="str"/>
      <c r="I21" s="121" t="str"/>
      <c r="J21" s="122" t="str"/>
      <c r="K21" s="121" t="str"/>
      <c r="L21" s="121" t="str"/>
      <c r="M21" s="122" t="str"/>
      <c r="N21" s="121" t="str"/>
      <c r="O21" s="123" t="str"/>
      <c r="P21" s="124"/>
      <c r="Q21" s="113"/>
      <c r="R21" s="113"/>
      <c r="S21" s="113"/>
      <c r="T21" s="113"/>
      <c r="U21" s="113"/>
      <c r="V21" s="113"/>
      <c r="W21" s="113"/>
      <c r="X21" s="113"/>
      <c r="Y21" s="113"/>
    </row>
    <row r="22" ht="164.0" customHeight="1">
      <c r="A22" s="121" t="str">
        <v>CAL_IT07</v>
      </c>
      <c r="B22" s="121" t="str">
        <v>Published reschedule moves the calendar entry</v>
      </c>
      <c r="C22" s="121" t="str">
        <v>1. Record original calendar position.
2. Use "Dời lịch" to move it to another future day and click "Lưu và thông báo".
3. Reload Calendar in old and new weeks.</v>
      </c>
      <c r="D22" s="121" t="str">
        <v>1. Entry is shown at its new saved time.
2. Old schedule no longer appears as a separate current occurrence.</v>
      </c>
      <c r="E22" s="121" t="str">
        <v>Signed in; fewer than 100 readable meetings in the selected week; test meetings include weekday, weekend and overlapping schedules; browser time zone recorded. Organizer owns a Published test meeting; old/new times within testable weeks.</v>
      </c>
      <c r="F22" s="121" t="str">
        <v>NotRun</v>
      </c>
      <c r="G22" s="122" t="str"/>
      <c r="H22" s="121" t="str"/>
      <c r="I22" s="121" t="str"/>
      <c r="J22" s="122" t="str"/>
      <c r="K22" s="121" t="str"/>
      <c r="L22" s="121" t="str"/>
      <c r="M22" s="122" t="str"/>
      <c r="N22" s="121" t="str"/>
      <c r="O22" s="123" t="str"/>
      <c r="P22" s="124"/>
      <c r="Q22" s="113"/>
      <c r="R22" s="113"/>
      <c r="S22" s="113"/>
      <c r="T22" s="113"/>
      <c r="U22" s="113"/>
      <c r="V22" s="113"/>
      <c r="W22" s="113"/>
      <c r="X22" s="113"/>
      <c r="Y22" s="113"/>
    </row>
    <row r="23" ht="24" customHeight="1">
      <c r="A23" s="119" t="str">
        <v>Calendar - Calendar visibility</v>
      </c>
      <c r="B23" s="119"/>
      <c r="C23" s="119"/>
      <c r="D23" s="119"/>
      <c r="E23" s="119"/>
      <c r="F23" s="119"/>
      <c r="G23" s="119"/>
      <c r="H23" s="119"/>
      <c r="I23" s="119"/>
      <c r="J23" s="119"/>
      <c r="K23" s="119"/>
      <c r="L23" s="119"/>
      <c r="M23" s="119"/>
      <c r="N23" s="119"/>
      <c r="O23" s="150"/>
      <c r="P23" s="124"/>
      <c r="Q23" s="113"/>
      <c r="R23" s="113"/>
      <c r="S23" s="113"/>
      <c r="T23" s="113"/>
      <c r="U23" s="113"/>
      <c r="V23" s="113"/>
      <c r="W23" s="113"/>
      <c r="X23" s="113"/>
      <c r="Y23" s="113"/>
    </row>
    <row r="24" ht="179.2" customHeight="1">
      <c r="A24" s="121" t="str">
        <v>CAL_IT08</v>
      </c>
      <c r="B24" s="121" t="str">
        <v>Unrelated private meeting is hidden</v>
      </c>
      <c r="C24" s="121" t="str">
        <v>1. Open both "Lịch" and "Danh sách" views for its week.
2. Inspect titles and previews around its time.
3. Open the private URL directly.</v>
      </c>
      <c r="D24" s="121" t="str">
        <v>1. Private meeting is absent from both views.
2. Direct URL exposes no restricted meeting details.</v>
      </c>
      <c r="E24" s="121" t="str">
        <v>Signed in; fewer than 100 readable meetings in the selected week; test meetings include weekday, weekend and overlapping schedules; browser time zone recorded. QA lead supplies a private test meeting in this week not readable by the signed-in user.</v>
      </c>
      <c r="F24" s="121" t="str">
        <v>NotRun</v>
      </c>
      <c r="G24" s="122" t="str"/>
      <c r="H24" s="121" t="str"/>
      <c r="I24" s="121" t="str"/>
      <c r="J24" s="122" t="str"/>
      <c r="K24" s="121" t="str"/>
      <c r="L24" s="121" t="str"/>
      <c r="M24" s="122" t="str"/>
      <c r="N24" s="121" t="str"/>
      <c r="O24" s="123" t="str"/>
      <c r="P24" s="124"/>
      <c r="Q24" s="113"/>
      <c r="R24" s="113"/>
      <c r="S24" s="113"/>
      <c r="T24" s="113"/>
      <c r="U24" s="113"/>
      <c r="V24" s="113"/>
      <c r="W24" s="113"/>
      <c r="X24" s="113"/>
      <c r="Y24" s="113"/>
    </row>
  </sheetData>
  <mergeCells count="9">
    <mergeCell ref="B2:E2"/>
    <mergeCell ref="B3:E3"/>
    <mergeCell ref="B4:E4"/>
    <mergeCell ref="A11:O11"/>
    <mergeCell ref="A13:O13"/>
    <mergeCell ref="A15:O15"/>
    <mergeCell ref="A18:O18"/>
    <mergeCell ref="A20:O20"/>
    <mergeCell ref="A23:O23"/>
  </mergeCells>
  <dataValidations count="3">
    <dataValidation type="list" allowBlank="1" showErrorMessage="1" errorTitle="Select a test status" error="Use the status dropdown." sqref="F12 F14 F16 F17 F19 F21 F22 F24">
      <formula1>"NotRun,Passed,Failed,Blocked,Skipped"</formula1>
    </dataValidation>
    <dataValidation type="list" allowBlank="1" showErrorMessage="1" errorTitle="Select a test status" error="Use the status dropdown." sqref="I12 I14 I16 I17 I19 I21 I22 I24">
      <formula1>"NotRun,Passed,Failed,Blocked,Skipped"</formula1>
    </dataValidation>
    <dataValidation type="list" allowBlank="1" showErrorMessage="1" errorTitle="Select a test status" error="Use the status dropdown." sqref="L12 L14 L16 L17 L19 L21 L22 L24">
      <formula1>"NotRun,Passed,Failed,Blocked,Skipped"</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topLeftCell="A1" zoomScale="70" showGridLines="0">
      <pane xSplit="2" ySplit="10" topLeftCell="C11" activePane="bottomRight" state="frozen"/>
      <selection pane="bottomRight" activeCell="A1" sqref="A1"/>
    </sheetView>
  </sheetViews>
  <sheetFormatPr customHeight="1" defaultColWidth="12.63" defaultRowHeight="15.0" outlineLevelCol="1" outlineLevelRow="1"/>
  <cols>
    <col customWidth="1" min="1" max="1" width="17.0"/>
    <col customWidth="1" min="2" max="2" width="34.5"/>
    <col customWidth="1" min="3" max="3" width="34.13"/>
    <col customWidth="1" min="4" max="4" width="43.75"/>
    <col customWidth="1" min="5" max="5" width="28.38"/>
    <col customWidth="1" min="6" max="6" width="9.38"/>
    <col customWidth="1" min="7" max="7" width="10.38" outlineLevel="1"/>
    <col customWidth="1" min="8" max="9" width="9.38"/>
    <col customWidth="1" min="10" max="10" width="10.38" outlineLevel="1"/>
    <col customWidth="1" min="11" max="12" width="9.38"/>
    <col customWidth="1" min="13" max="13" width="10.38" outlineLevel="1"/>
    <col customWidth="1" min="14" max="14" width="9.38"/>
    <col customWidth="1" min="15" max="15" width="24"/>
    <col customWidth="1" hidden="1" min="16" max="16" width="7.63"/>
    <col customWidth="1" min="17" max="25" width="9.0"/>
  </cols>
  <sheetData>
    <row r="1" ht="12.75" customHeight="1">
      <c r="A1" s="108"/>
      <c r="B1" s="108"/>
      <c r="C1" s="108"/>
      <c r="D1" s="108"/>
      <c r="E1" s="108"/>
      <c r="F1" s="108"/>
      <c r="G1" s="108"/>
      <c r="H1" s="108"/>
      <c r="I1" s="108"/>
      <c r="J1" s="108"/>
      <c r="K1" s="108"/>
      <c r="L1" s="108"/>
      <c r="M1" s="108"/>
      <c r="N1" s="108"/>
      <c r="O1" s="108"/>
      <c r="P1" s="45"/>
      <c r="Q1" s="45"/>
      <c r="R1" s="45"/>
      <c r="S1" s="45"/>
      <c r="T1" s="45"/>
      <c r="U1" s="45"/>
      <c r="V1" s="45"/>
      <c r="W1" s="45"/>
      <c r="X1" s="45"/>
      <c r="Y1" s="109"/>
    </row>
    <row r="2" ht="15.0" customHeight="1">
      <c r="A2" s="110" t="str">
        <v>Feature</v>
      </c>
      <c r="B2" s="111" t="str">
        <v>Notifications</v>
      </c>
      <c r="C2" s="5"/>
      <c r="D2" s="5"/>
      <c r="E2" s="112"/>
      <c r="F2" s="108"/>
      <c r="G2" s="108"/>
      <c r="H2" s="108"/>
      <c r="I2" s="108"/>
      <c r="J2" s="108"/>
      <c r="K2" s="108"/>
      <c r="L2" s="108"/>
      <c r="M2" s="108"/>
      <c r="N2" s="108"/>
      <c r="O2" s="108"/>
      <c r="P2" s="113" t="str">
        <v>Passed</v>
      </c>
      <c r="Q2" s="113"/>
      <c r="R2" s="113"/>
      <c r="S2" s="113"/>
      <c r="T2" s="113"/>
      <c r="U2" s="113"/>
      <c r="V2" s="113"/>
      <c r="W2" s="113"/>
      <c r="X2" s="113"/>
      <c r="Y2" s="114"/>
    </row>
    <row r="3" ht="52" customHeight="1">
      <c r="A3" s="110" t="str">
        <v>Test requirement</v>
      </c>
      <c r="B3" s="111" t="str">
        <v>Manual integration: perform the browser steps and compare saved data or recipient screens. Check prerequisites before execution.</v>
      </c>
      <c r="C3" s="5"/>
      <c r="D3" s="5"/>
      <c r="E3" s="112"/>
      <c r="F3" s="108"/>
      <c r="G3" s="108"/>
      <c r="H3" s="108"/>
      <c r="I3" s="108"/>
      <c r="J3" s="108"/>
      <c r="K3" s="108"/>
      <c r="L3" s="108"/>
      <c r="M3" s="108"/>
      <c r="N3" s="108"/>
      <c r="O3" s="108"/>
      <c r="P3" s="113" t="str">
        <v>Failed</v>
      </c>
      <c r="Q3" s="113"/>
      <c r="R3" s="113"/>
      <c r="S3" s="113"/>
      <c r="T3" s="113"/>
      <c r="U3" s="113"/>
      <c r="V3" s="113"/>
      <c r="W3" s="113"/>
      <c r="X3" s="113"/>
      <c r="Y3" s="114"/>
    </row>
    <row r="4" ht="18.0" customHeight="1">
      <c r="A4" s="110" t="str">
        <v>Number of TCs</v>
      </c>
      <c r="B4" s="111" t="n">
        <v>9</v>
      </c>
      <c r="C4" s="5"/>
      <c r="D4" s="5"/>
      <c r="E4" s="112"/>
      <c r="F4" s="108"/>
      <c r="G4" s="108"/>
      <c r="H4" s="108"/>
      <c r="I4" s="108"/>
      <c r="J4" s="108"/>
      <c r="K4" s="108"/>
      <c r="L4" s="108"/>
      <c r="M4" s="108"/>
      <c r="N4" s="108"/>
      <c r="O4" s="108"/>
      <c r="P4" s="113" t="str">
        <v>NotRun</v>
      </c>
      <c r="Q4" s="113"/>
      <c r="R4" s="113"/>
      <c r="S4" s="113"/>
      <c r="T4" s="113"/>
      <c r="U4" s="113"/>
      <c r="V4" s="113"/>
      <c r="W4" s="113"/>
      <c r="X4" s="113"/>
      <c r="Y4" s="114"/>
    </row>
    <row r="5" ht="19.5" customHeight="1">
      <c r="A5" s="115" t="str">
        <v>Testing Round</v>
      </c>
      <c r="B5" s="115" t="str">
        <v>Passed</v>
      </c>
      <c r="C5" s="115" t="str">
        <v>Failed</v>
      </c>
      <c r="D5" s="115" t="str">
        <v>Pending</v>
      </c>
      <c r="E5" s="115" t="str">
        <v>N/A</v>
      </c>
      <c r="F5" s="108"/>
      <c r="G5" s="108"/>
      <c r="H5" s="108"/>
      <c r="I5" s="108"/>
      <c r="J5" s="108"/>
      <c r="K5" s="108"/>
      <c r="L5" s="108"/>
      <c r="M5" s="108"/>
      <c r="N5" s="108"/>
      <c r="O5" s="108"/>
      <c r="P5" s="113" t="str">
        <v>Skipped</v>
      </c>
      <c r="Q5" s="113"/>
      <c r="R5" s="113"/>
      <c r="S5" s="113"/>
      <c r="T5" s="113"/>
      <c r="U5" s="113"/>
      <c r="V5" s="113"/>
      <c r="W5" s="113"/>
      <c r="X5" s="113"/>
      <c r="Y5" s="114"/>
    </row>
    <row r="6" ht="15.0" customHeight="1">
      <c r="A6" s="116" t="str">
        <v>Round 1</v>
      </c>
      <c r="B6" s="115" t="n">
        <f>COUNTIF(F12:F24,"Passed")</f>
        <v>0</v>
      </c>
      <c r="C6" s="115" t="n">
        <f>COUNTIF(F12:F24,"Failed")</f>
        <v>0</v>
      </c>
      <c r="D6" s="115" t="n">
        <f>B4-B6-C6-E6</f>
        <v>9</v>
      </c>
      <c r="E6" s="115" t="n">
        <f>COUNTIF(F12:F24,"Skipped")</f>
        <v>0</v>
      </c>
      <c r="F6" s="108"/>
      <c r="G6" s="108"/>
      <c r="H6" s="108"/>
      <c r="I6" s="108"/>
      <c r="J6" s="108"/>
      <c r="K6" s="108"/>
      <c r="L6" s="108"/>
      <c r="M6" s="108"/>
      <c r="N6" s="108"/>
      <c r="O6" s="108"/>
      <c r="P6" s="113"/>
      <c r="Q6" s="113"/>
      <c r="R6" s="113"/>
      <c r="S6" s="113"/>
      <c r="T6" s="113"/>
      <c r="U6" s="113"/>
      <c r="V6" s="113"/>
      <c r="W6" s="113"/>
      <c r="X6" s="113"/>
      <c r="Y6" s="114"/>
    </row>
    <row r="7" ht="15.0" customHeight="1">
      <c r="A7" s="116" t="str">
        <v>Round 2</v>
      </c>
      <c r="B7" s="115" t="n">
        <f>COUNTIF(I12:I24,"Passed")</f>
        <v>0</v>
      </c>
      <c r="C7" s="115" t="n">
        <f>COUNTIF(I12:I24,"Failed")</f>
        <v>0</v>
      </c>
      <c r="D7" s="115" t="n">
        <f>B4-B7-C7-E7</f>
        <v>9</v>
      </c>
      <c r="E7" s="115" t="n">
        <f>COUNTIF(I12:I24,"Skipped")</f>
        <v>0</v>
      </c>
      <c r="F7" s="108"/>
      <c r="G7" s="108"/>
      <c r="H7" s="108"/>
      <c r="I7" s="108"/>
      <c r="J7" s="108"/>
      <c r="K7" s="108"/>
      <c r="L7" s="108"/>
      <c r="M7" s="108"/>
      <c r="N7" s="108"/>
      <c r="O7" s="108"/>
      <c r="P7" s="113"/>
      <c r="Q7" s="113"/>
      <c r="R7" s="113"/>
      <c r="S7" s="113"/>
      <c r="T7" s="113"/>
      <c r="U7" s="113"/>
      <c r="V7" s="113"/>
      <c r="W7" s="113"/>
      <c r="X7" s="113"/>
      <c r="Y7" s="114"/>
    </row>
    <row r="8" ht="15.0" customHeight="1">
      <c r="A8" s="116" t="str">
        <v>Round 3</v>
      </c>
      <c r="B8" s="115" t="n">
        <f>COUNTIF(L12:L24,"Passed")</f>
        <v>0</v>
      </c>
      <c r="C8" s="115" t="n">
        <f>COUNTIF(L12:L24,"Failed")</f>
        <v>0</v>
      </c>
      <c r="D8" s="115" t="n">
        <f>B4-B8-C8-E8</f>
        <v>9</v>
      </c>
      <c r="E8" s="115" t="n">
        <f>COUNTIF(L12:L24,"Skipped")</f>
        <v>0</v>
      </c>
      <c r="F8" s="108"/>
      <c r="G8" s="108"/>
      <c r="H8" s="108"/>
      <c r="I8" s="108"/>
      <c r="J8" s="108"/>
      <c r="K8" s="108"/>
      <c r="L8" s="108"/>
      <c r="M8" s="108"/>
      <c r="N8" s="108"/>
      <c r="O8" s="108"/>
      <c r="P8" s="113"/>
      <c r="Q8" s="113"/>
      <c r="R8" s="113"/>
      <c r="S8" s="113"/>
      <c r="T8" s="113"/>
      <c r="U8" s="113"/>
      <c r="V8" s="113"/>
      <c r="W8" s="113"/>
      <c r="X8" s="113"/>
      <c r="Y8" s="114"/>
    </row>
    <row r="9" ht="15.0" customHeight="1">
      <c r="A9" s="108"/>
      <c r="B9" s="108"/>
      <c r="C9" s="108"/>
      <c r="D9" s="108"/>
      <c r="E9" s="108"/>
      <c r="F9" s="108"/>
      <c r="G9" s="108"/>
      <c r="H9" s="108"/>
      <c r="I9" s="108"/>
      <c r="J9" s="108"/>
      <c r="K9" s="108"/>
      <c r="L9" s="108"/>
      <c r="M9" s="108"/>
      <c r="N9" s="108"/>
      <c r="O9" s="108"/>
      <c r="P9" s="113"/>
      <c r="Q9" s="113"/>
      <c r="R9" s="113"/>
      <c r="S9" s="113"/>
      <c r="T9" s="113"/>
      <c r="U9" s="113"/>
      <c r="V9" s="113"/>
      <c r="W9" s="113"/>
      <c r="X9" s="113"/>
      <c r="Y9" s="114"/>
    </row>
    <row r="10" ht="42" customHeight="1">
      <c r="A10" s="117" t="str">
        <v>Test Case ID</v>
      </c>
      <c r="B10" s="117" t="str">
        <v>Test Case Description</v>
      </c>
      <c r="C10" s="117" t="str">
        <v>Test Case Procedure</v>
      </c>
      <c r="D10" s="117" t="str">
        <v>Expected Results</v>
      </c>
      <c r="E10" s="117" t="str">
        <v>Pre-conditions</v>
      </c>
      <c r="F10" s="117" t="str">
        <v>Round 1</v>
      </c>
      <c r="G10" s="117" t="str">
        <v>Test date</v>
      </c>
      <c r="H10" s="117" t="str">
        <v>Tester</v>
      </c>
      <c r="I10" s="117" t="str">
        <v>Round 2</v>
      </c>
      <c r="J10" s="117" t="str">
        <v>Test date</v>
      </c>
      <c r="K10" s="117" t="str">
        <v>Tester</v>
      </c>
      <c r="L10" s="117" t="str">
        <v>Round 3</v>
      </c>
      <c r="M10" s="117" t="str">
        <v>Test date</v>
      </c>
      <c r="N10" s="117" t="str">
        <v>Tester</v>
      </c>
      <c r="O10" s="117" t="str">
        <v>Actual result / Evidence / Defect</v>
      </c>
      <c r="P10" s="118"/>
      <c r="Q10" s="113"/>
      <c r="R10" s="113"/>
      <c r="S10" s="113"/>
      <c r="T10" s="113"/>
      <c r="U10" s="113"/>
      <c r="V10" s="113"/>
      <c r="W10" s="113"/>
      <c r="X10" s="113"/>
      <c r="Y10" s="113"/>
    </row>
    <row r="11" ht="24" customHeight="1">
      <c r="A11" s="119" t="str">
        <v>Notifications - Real-time delivery</v>
      </c>
      <c r="B11" s="119"/>
      <c r="C11" s="119"/>
      <c r="D11" s="119"/>
      <c r="E11" s="119"/>
      <c r="F11" s="119"/>
      <c r="G11" s="119"/>
      <c r="H11" s="119"/>
      <c r="I11" s="119"/>
      <c r="J11" s="119"/>
      <c r="K11" s="119"/>
      <c r="L11" s="119"/>
      <c r="M11" s="119"/>
      <c r="N11" s="119"/>
      <c r="O11" s="150"/>
      <c r="P11" s="124"/>
      <c r="Q11" s="113"/>
      <c r="R11" s="113"/>
      <c r="S11" s="113"/>
      <c r="T11" s="113"/>
      <c r="U11" s="113"/>
      <c r="V11" s="113"/>
      <c r="W11" s="113"/>
      <c r="X11" s="113"/>
      <c r="Y11" s="113"/>
    </row>
    <row r="12" ht="103.19999999999999" customHeight="1">
      <c r="A12" s="121" t="str">
        <v>NOTIF_IT01</v>
      </c>
      <c r="B12" s="121" t="str">
        <v>Submission appears in approver bell without reload</v>
      </c>
      <c r="C12" s="121" t="str">
        <v>1. Keep A meeting list open; record bell count.
2. As O, click "Gửi duyệt", select A and click "Gửi duyệt".
3. Observe A bell; open the panel.</v>
      </c>
      <c r="D12" s="121" t="str">
        <v>1. A receives a new submission notification without manual page reload.
2. Unread indicator/count increases appropriately.</v>
      </c>
      <c r="E12" s="121" t="str">
        <v>Two separate signed-in browser profiles O (organizer) and A (assigned approver); valid future Draft; notification delivery enabled.</v>
      </c>
      <c r="F12" s="121" t="str">
        <v>NotRun</v>
      </c>
      <c r="G12" s="122" t="str"/>
      <c r="H12" s="121" t="str"/>
      <c r="I12" s="121" t="str"/>
      <c r="J12" s="122" t="str"/>
      <c r="K12" s="121" t="str"/>
      <c r="L12" s="121" t="str"/>
      <c r="M12" s="122" t="str"/>
      <c r="N12" s="121" t="str"/>
      <c r="O12" s="123" t="str"/>
      <c r="P12" s="124"/>
      <c r="Q12" s="113"/>
      <c r="R12" s="113"/>
      <c r="S12" s="113"/>
      <c r="T12" s="113"/>
      <c r="U12" s="113"/>
      <c r="V12" s="113"/>
      <c r="W12" s="113"/>
      <c r="X12" s="113"/>
      <c r="Y12" s="113"/>
    </row>
    <row r="13" ht="133.6" customHeight="1">
      <c r="A13" s="121" t="str">
        <v>NOTIF_IT02</v>
      </c>
      <c r="B13" s="121" t="str">
        <v>Decision is delivered to organizer</v>
      </c>
      <c r="C13" s="121" t="str">
        <v>1. Keep O browser open.
2. As A, click "Duyệt" and confirm with "Duyệt", or click "Từ chối", enter a reason and click "Từ chối".
3. Open O bell and read the newest item.</v>
      </c>
      <c r="D13" s="121" t="str">
        <v>1. O receives the relevant review outcome.
2. Notification title/body identify the appropriate meeting and decision.</v>
      </c>
      <c r="E13" s="121" t="str">
        <v>Two separate signed-in browser profiles O (organizer) and A (assigned approver); valid future Draft; notification delivery enabled. Meeting is "Chờ duyệt" assigned to A.</v>
      </c>
      <c r="F13" s="121" t="str">
        <v>NotRun</v>
      </c>
      <c r="G13" s="122" t="str"/>
      <c r="H13" s="121" t="str"/>
      <c r="I13" s="121" t="str"/>
      <c r="J13" s="122" t="str"/>
      <c r="K13" s="121" t="str"/>
      <c r="L13" s="121" t="str"/>
      <c r="M13" s="122" t="str"/>
      <c r="N13" s="121" t="str"/>
      <c r="O13" s="123" t="str"/>
      <c r="P13" s="124"/>
      <c r="Q13" s="113"/>
      <c r="R13" s="113"/>
      <c r="S13" s="113"/>
      <c r="T13" s="113"/>
      <c r="U13" s="113"/>
      <c r="V13" s="113"/>
      <c r="W13" s="113"/>
      <c r="X13" s="113"/>
      <c r="Y13" s="113"/>
    </row>
    <row r="14" ht="24" customHeight="1">
      <c r="A14" s="119" t="str">
        <v>Notifications - Read-state persistence</v>
      </c>
      <c r="B14" s="119"/>
      <c r="C14" s="119"/>
      <c r="D14" s="119"/>
      <c r="E14" s="119"/>
      <c r="F14" s="119"/>
      <c r="G14" s="119"/>
      <c r="H14" s="119"/>
      <c r="I14" s="119"/>
      <c r="J14" s="119"/>
      <c r="K14" s="119"/>
      <c r="L14" s="119"/>
      <c r="M14" s="119"/>
      <c r="N14" s="119"/>
      <c r="O14" s="150"/>
      <c r="P14" s="124"/>
      <c r="Q14" s="113"/>
      <c r="R14" s="113"/>
      <c r="S14" s="113"/>
      <c r="T14" s="113"/>
      <c r="U14" s="113"/>
      <c r="V14" s="113"/>
      <c r="W14" s="113"/>
      <c r="X14" s="113"/>
      <c r="Y14" s="113"/>
    </row>
    <row r="15" ht="133.6" customHeight="1">
      <c r="A15" s="121" t="str">
        <v>NOTIF_IT03</v>
      </c>
      <c r="B15" s="121" t="str">
        <v>Mark one unread notification read</v>
      </c>
      <c r="C15" s="121" t="str">
        <v>1. As A, click the "Thông báo" bell.
2. Use "Đánh dấu đã đọc" on one selected row.
3. Close/reopen panel and reload the page.</v>
      </c>
      <c r="D15" s="121" t="str">
        <v>1. Selected row remains read after reload.
2. Unread count decreases by one; other unread item remains unread.</v>
      </c>
      <c r="E15" s="121" t="str">
        <v>Two separate signed-in browser profiles O (organizer) and A (assigned approver); valid future Draft; notification delivery enabled. A has at least two unread items; baseline count noted.</v>
      </c>
      <c r="F15" s="121" t="str">
        <v>NotRun</v>
      </c>
      <c r="G15" s="122" t="str"/>
      <c r="H15" s="121" t="str"/>
      <c r="I15" s="121" t="str"/>
      <c r="J15" s="122" t="str"/>
      <c r="K15" s="121" t="str"/>
      <c r="L15" s="121" t="str"/>
      <c r="M15" s="122" t="str"/>
      <c r="N15" s="121" t="str"/>
      <c r="O15" s="123" t="str"/>
      <c r="P15" s="124"/>
      <c r="Q15" s="113"/>
      <c r="R15" s="113"/>
      <c r="S15" s="113"/>
      <c r="T15" s="113"/>
      <c r="U15" s="113"/>
      <c r="V15" s="113"/>
      <c r="W15" s="113"/>
      <c r="X15" s="113"/>
      <c r="Y15" s="113"/>
    </row>
    <row r="16" ht="118.39999999999999" customHeight="1">
      <c r="A16" s="121" t="str">
        <v>NOTIF_IT04</v>
      </c>
      <c r="B16" s="121" t="str">
        <v>Mark all notifications read</v>
      </c>
      <c r="C16" s="121" t="str">
        <v>1. Open A bell and click "Đánh dấu tất cả đã đọc".
2. Reload and reopen panel.</v>
      </c>
      <c r="D16" s="121" t="str">
        <v>1. All previously unread items are read.
2. Unread count is zero and mark-all control is disabled when none remain.</v>
      </c>
      <c r="E16" s="121" t="str">
        <v>Two separate signed-in browser profiles O (organizer) and A (assigned approver); valid future Draft; notification delivery enabled. A has unread notifications.</v>
      </c>
      <c r="F16" s="121" t="str">
        <v>NotRun</v>
      </c>
      <c r="G16" s="122" t="str"/>
      <c r="H16" s="121" t="str"/>
      <c r="I16" s="121" t="str"/>
      <c r="J16" s="122" t="str"/>
      <c r="K16" s="121" t="str"/>
      <c r="L16" s="121" t="str"/>
      <c r="M16" s="122" t="str"/>
      <c r="N16" s="121" t="str"/>
      <c r="O16" s="123" t="str"/>
      <c r="P16" s="124"/>
      <c r="Q16" s="113"/>
      <c r="R16" s="113"/>
      <c r="S16" s="113"/>
      <c r="T16" s="113"/>
      <c r="U16" s="113"/>
      <c r="V16" s="113"/>
      <c r="W16" s="113"/>
      <c r="X16" s="113"/>
      <c r="Y16" s="113"/>
    </row>
    <row r="17" ht="133.6" customHeight="1">
      <c r="A17" s="121" t="str">
        <v>NOTIF_IT05</v>
      </c>
      <c r="B17" s="121" t="str">
        <v>Opening notification marks it read and opens target</v>
      </c>
      <c r="C17" s="121" t="str">
        <v>1. Click the "Thông báo" bell; record the target title and count.
2. Click the notification body.
3. Inspect destination and reclick the "Thông báo" bell.</v>
      </c>
      <c r="D17" s="121" t="str">
        <v>1. Correct meeting opens.
2. Clicked item is read and unread count updates.</v>
      </c>
      <c r="E17" s="121" t="str">
        <v>Two separate signed-in browser profiles O (organizer) and A (assigned approver); valid future Draft; notification delivery enabled. A has an unread notification for a readable meeting.</v>
      </c>
      <c r="F17" s="121" t="str">
        <v>NotRun</v>
      </c>
      <c r="G17" s="122" t="str"/>
      <c r="H17" s="121" t="str"/>
      <c r="I17" s="121" t="str"/>
      <c r="J17" s="122" t="str"/>
      <c r="K17" s="121" t="str"/>
      <c r="L17" s="121" t="str"/>
      <c r="M17" s="122" t="str"/>
      <c r="N17" s="121" t="str"/>
      <c r="O17" s="123" t="str"/>
      <c r="P17" s="124"/>
      <c r="Q17" s="113"/>
      <c r="R17" s="113"/>
      <c r="S17" s="113"/>
      <c r="T17" s="113"/>
      <c r="U17" s="113"/>
      <c r="V17" s="113"/>
      <c r="W17" s="113"/>
      <c r="X17" s="113"/>
      <c r="Y17" s="113"/>
    </row>
    <row r="18" ht="24" customHeight="1">
      <c r="A18" s="119" t="str">
        <v>Notifications - Notification navigation</v>
      </c>
      <c r="B18" s="119"/>
      <c r="C18" s="119"/>
      <c r="D18" s="119"/>
      <c r="E18" s="119"/>
      <c r="F18" s="119"/>
      <c r="G18" s="119"/>
      <c r="H18" s="119"/>
      <c r="I18" s="119"/>
      <c r="J18" s="119"/>
      <c r="K18" s="119"/>
      <c r="L18" s="119"/>
      <c r="M18" s="119"/>
      <c r="N18" s="119"/>
      <c r="O18" s="150"/>
      <c r="P18" s="124"/>
      <c r="Q18" s="113"/>
      <c r="R18" s="113"/>
      <c r="S18" s="113"/>
      <c r="T18" s="113"/>
      <c r="U18" s="113"/>
      <c r="V18" s="113"/>
      <c r="W18" s="113"/>
      <c r="X18" s="113"/>
      <c r="Y18" s="113"/>
    </row>
    <row r="19" ht="133.6" customHeight="1">
      <c r="A19" s="121" t="str">
        <v>NOTIF_IT06</v>
      </c>
      <c r="B19" s="121" t="str">
        <v>Opening a notice for the current meeting refreshes details</v>
      </c>
      <c r="C19" s="121" t="str">
        <v>1. As O, use "Dời lịch" to click "Lưu và thông báo" a different future schedule.
2. As A, open the new schedule-change notification for this meeting.
3. Inspect the current schedule and history.</v>
      </c>
      <c r="D19" s="121" t="str">
        <v>1. Existing detail view refreshes to current backend data.
2. User is not left viewing the prior status/schedule.</v>
      </c>
      <c r="E19" s="121" t="str">
        <v>Organizer O owns a Published test meeting; recipient A is an active participant and is viewing its details in another browser; O can use "Dời lịch".</v>
      </c>
      <c r="F19" s="121" t="str">
        <v>NotRun</v>
      </c>
      <c r="G19" s="122" t="str"/>
      <c r="H19" s="121" t="str"/>
      <c r="I19" s="121" t="str"/>
      <c r="J19" s="122" t="str"/>
      <c r="K19" s="121" t="str"/>
      <c r="L19" s="121" t="str"/>
      <c r="M19" s="122" t="str"/>
      <c r="N19" s="121" t="str"/>
      <c r="O19" s="123" t="str"/>
      <c r="P19" s="124"/>
      <c r="Q19" s="113"/>
      <c r="R19" s="113"/>
      <c r="S19" s="113"/>
      <c r="T19" s="113"/>
      <c r="U19" s="113"/>
      <c r="V19" s="113"/>
      <c r="W19" s="113"/>
      <c r="X19" s="113"/>
      <c r="Y19" s="113"/>
    </row>
    <row r="20" ht="164.0" customHeight="1">
      <c r="A20" s="121" t="str">
        <v>NOTIF_IT07</v>
      </c>
      <c r="B20" s="121" t="str">
        <v>Old notification cannot reveal revoked meeting access</v>
      </c>
      <c r="C20" s="121" t="str">
        <v>1. As A, open the old notification.
2. Read the resulting feedback.
3. Return to meeting list.</v>
      </c>
      <c r="D20" s="121" t="str">
        <v>1. Unavailable-target feedback appears.
2. No restricted meeting details are exposed; navigation remains usable.</v>
      </c>
      <c r="E20" s="121" t="str">
        <v>Two separate signed-in browser profiles O (organizer) and A (assigned approver); valid future Draft; notification delivery enabled. A has an old notification for a meeting it can no longer read; QA lead provides this test meeting.</v>
      </c>
      <c r="F20" s="121" t="str">
        <v>NotRun</v>
      </c>
      <c r="G20" s="122" t="str"/>
      <c r="H20" s="121" t="str"/>
      <c r="I20" s="121" t="str"/>
      <c r="J20" s="122" t="str"/>
      <c r="K20" s="121" t="str"/>
      <c r="L20" s="121" t="str"/>
      <c r="M20" s="122" t="str"/>
      <c r="N20" s="121" t="str"/>
      <c r="O20" s="123" t="str"/>
      <c r="P20" s="124"/>
      <c r="Q20" s="113"/>
      <c r="R20" s="113"/>
      <c r="S20" s="113"/>
      <c r="T20" s="113"/>
      <c r="U20" s="113"/>
      <c r="V20" s="113"/>
      <c r="W20" s="113"/>
      <c r="X20" s="113"/>
      <c r="Y20" s="113"/>
    </row>
    <row r="21" ht="24" customHeight="1">
      <c r="A21" s="119" t="str">
        <v>Notifications - Notification list</v>
      </c>
      <c r="B21" s="119"/>
      <c r="C21" s="119"/>
      <c r="D21" s="119"/>
      <c r="E21" s="119"/>
      <c r="F21" s="119"/>
      <c r="G21" s="119"/>
      <c r="H21" s="119"/>
      <c r="I21" s="119"/>
      <c r="J21" s="119"/>
      <c r="K21" s="119"/>
      <c r="L21" s="119"/>
      <c r="M21" s="119"/>
      <c r="N21" s="119"/>
      <c r="O21" s="150"/>
      <c r="P21" s="124"/>
      <c r="Q21" s="113"/>
      <c r="R21" s="113"/>
      <c r="S21" s="113"/>
      <c r="T21" s="113"/>
      <c r="U21" s="113"/>
      <c r="V21" s="113"/>
      <c r="W21" s="113"/>
      <c r="X21" s="113"/>
      <c r="Y21" s="113"/>
    </row>
    <row r="22" ht="164.0" customHeight="1">
      <c r="A22" s="121" t="str">
        <v>NOTIF_IT08</v>
      </c>
      <c r="B22" s="121" t="str">
        <v>Load older notifications without duplicate rows</v>
      </c>
      <c r="C22" s="121" t="str">
        <v>1. Click the "Thông báo" bell and scroll to the bottom.
2. Click "Xem thông báo cũ hơn".
3. Inspect order; load another page if available.</v>
      </c>
      <c r="D22" s="121" t="str">
        <v>1. Older items append in descending recency order.
2. Previously shown items are not duplicated or lost.</v>
      </c>
      <c r="E22" s="121" t="str">
        <v>Two separate signed-in browser profiles O (organizer) and A (assigned approver); valid future Draft; notification delivery enabled. Target user has enough notifications for more than one page; newest/oldest titles recorded.</v>
      </c>
      <c r="F22" s="121" t="str">
        <v>NotRun</v>
      </c>
      <c r="G22" s="122" t="str"/>
      <c r="H22" s="121" t="str"/>
      <c r="I22" s="121" t="str"/>
      <c r="J22" s="122" t="str"/>
      <c r="K22" s="121" t="str"/>
      <c r="L22" s="121" t="str"/>
      <c r="M22" s="122" t="str"/>
      <c r="N22" s="121" t="str"/>
      <c r="O22" s="123" t="str"/>
      <c r="P22" s="124"/>
      <c r="Q22" s="113"/>
      <c r="R22" s="113"/>
      <c r="S22" s="113"/>
      <c r="T22" s="113"/>
      <c r="U22" s="113"/>
      <c r="V22" s="113"/>
      <c r="W22" s="113"/>
      <c r="X22" s="113"/>
      <c r="Y22" s="113"/>
    </row>
    <row r="23" ht="24" customHeight="1">
      <c r="A23" s="119" t="str">
        <v>Notifications - Account isolation</v>
      </c>
      <c r="B23" s="119"/>
      <c r="C23" s="119"/>
      <c r="D23" s="119"/>
      <c r="E23" s="119"/>
      <c r="F23" s="119"/>
      <c r="G23" s="119"/>
      <c r="H23" s="119"/>
      <c r="I23" s="119"/>
      <c r="J23" s="119"/>
      <c r="K23" s="119"/>
      <c r="L23" s="119"/>
      <c r="M23" s="119"/>
      <c r="N23" s="119"/>
      <c r="O23" s="150"/>
      <c r="P23" s="124"/>
      <c r="Q23" s="113"/>
      <c r="R23" s="113"/>
      <c r="S23" s="113"/>
      <c r="T23" s="113"/>
      <c r="U23" s="113"/>
      <c r="V23" s="113"/>
      <c r="W23" s="113"/>
      <c r="X23" s="113"/>
      <c r="Y23" s="113"/>
    </row>
    <row r="24" ht="148.79999999999998" customHeight="1">
      <c r="A24" s="121" t="str">
        <v>NOTIF_IT09</v>
      </c>
      <c r="B24" s="121" t="str">
        <v>Switch accounts without carrying over notification feed</v>
      </c>
      <c r="C24" s="121" t="str">
        <v>1. In one browser, open O bell then click "Đăng xuất" and confirm with "Đăng xuất".
2. Sign in as A and click the "Thông báo" bell.
3. Compare titles and unread count with A separate browser.</v>
      </c>
      <c r="D24" s="121" t="str">
        <v>1. A feed/count belong to A.
2. O-only notifications are not carried into A session.</v>
      </c>
      <c r="E24" s="121" t="str">
        <v>Two separate signed-in browser profiles O (organizer) and A (assigned approver); valid future Draft; notification delivery enabled. O and A have distinguishable private notifications; both credentials known.</v>
      </c>
      <c r="F24" s="121" t="str">
        <v>NotRun</v>
      </c>
      <c r="G24" s="122" t="str"/>
      <c r="H24" s="121" t="str"/>
      <c r="I24" s="121" t="str"/>
      <c r="J24" s="122" t="str"/>
      <c r="K24" s="121" t="str"/>
      <c r="L24" s="121" t="str"/>
      <c r="M24" s="122" t="str"/>
      <c r="N24" s="121" t="str"/>
      <c r="O24" s="123" t="str"/>
      <c r="P24" s="124"/>
      <c r="Q24" s="113"/>
      <c r="R24" s="113"/>
      <c r="S24" s="113"/>
      <c r="T24" s="113"/>
      <c r="U24" s="113"/>
      <c r="V24" s="113"/>
      <c r="W24" s="113"/>
      <c r="X24" s="113"/>
      <c r="Y24" s="113"/>
    </row>
  </sheetData>
  <mergeCells count="8">
    <mergeCell ref="B2:E2"/>
    <mergeCell ref="B3:E3"/>
    <mergeCell ref="B4:E4"/>
    <mergeCell ref="A11:O11"/>
    <mergeCell ref="A14:O14"/>
    <mergeCell ref="A18:O18"/>
    <mergeCell ref="A21:O21"/>
    <mergeCell ref="A23:O23"/>
  </mergeCells>
  <dataValidations count="3">
    <dataValidation type="list" allowBlank="1" showErrorMessage="1" errorTitle="Select a test status" error="Use the status dropdown." sqref="F12 F13 F15 F16 F17 F19 F20 F22 F24">
      <formula1>"NotRun,Passed,Failed,Blocked,Skipped"</formula1>
    </dataValidation>
    <dataValidation type="list" allowBlank="1" showErrorMessage="1" errorTitle="Select a test status" error="Use the status dropdown." sqref="I12 I13 I15 I16 I17 I19 I20 I22 I24">
      <formula1>"NotRun,Passed,Failed,Blocked,Skipped"</formula1>
    </dataValidation>
    <dataValidation type="list" allowBlank="1" showErrorMessage="1" errorTitle="Select a test status" error="Use the status dropdown." sqref="L12 L13 L15 L16 L17 L19 L20 L22 L24">
      <formula1>"NotRun,Passed,Failed,Blocked,Skipped"</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topLeftCell="A1" zoomScale="70" showGridLines="0">
      <pane xSplit="2" ySplit="10" topLeftCell="C11" activePane="bottomRight" state="frozen"/>
      <selection pane="bottomRight" activeCell="A1" sqref="A1"/>
    </sheetView>
  </sheetViews>
  <sheetFormatPr customHeight="1" defaultColWidth="12.63" defaultRowHeight="15.0" outlineLevelCol="1" outlineLevelRow="1"/>
  <cols>
    <col customWidth="1" min="1" max="1" width="17.0"/>
    <col customWidth="1" min="2" max="2" width="34.5"/>
    <col customWidth="1" min="3" max="3" width="34.13"/>
    <col customWidth="1" min="4" max="4" width="43.75"/>
    <col customWidth="1" min="5" max="5" width="28.38"/>
    <col customWidth="1" min="6" max="6" width="9.38"/>
    <col customWidth="1" min="7" max="7" width="10.38" outlineLevel="1"/>
    <col customWidth="1" min="8" max="9" width="9.38"/>
    <col customWidth="1" min="10" max="10" width="10.38" outlineLevel="1"/>
    <col customWidth="1" min="11" max="12" width="9.38"/>
    <col customWidth="1" min="13" max="13" width="10.38" outlineLevel="1"/>
    <col customWidth="1" min="14" max="14" width="9.38"/>
    <col customWidth="1" min="15" max="15" width="24"/>
    <col customWidth="1" hidden="1" min="16" max="16" width="7.63"/>
    <col customWidth="1" min="17" max="25" width="9.0"/>
  </cols>
  <sheetData>
    <row r="1" ht="12.75" customHeight="1">
      <c r="A1" s="108"/>
      <c r="B1" s="108"/>
      <c r="C1" s="108"/>
      <c r="D1" s="108"/>
      <c r="E1" s="108"/>
      <c r="F1" s="108"/>
      <c r="G1" s="108"/>
      <c r="H1" s="108"/>
      <c r="I1" s="108"/>
      <c r="J1" s="108"/>
      <c r="K1" s="108"/>
      <c r="L1" s="108"/>
      <c r="M1" s="108"/>
      <c r="N1" s="108"/>
      <c r="O1" s="108"/>
      <c r="P1" s="45"/>
      <c r="Q1" s="45"/>
      <c r="R1" s="45"/>
      <c r="S1" s="45"/>
      <c r="T1" s="45"/>
      <c r="U1" s="45"/>
      <c r="V1" s="45"/>
      <c r="W1" s="45"/>
      <c r="X1" s="45"/>
      <c r="Y1" s="109"/>
    </row>
    <row r="2" ht="15.0" customHeight="1">
      <c r="A2" s="110" t="str">
        <v>Feature</v>
      </c>
      <c r="B2" s="111" t="str">
        <v>Access and Recovery</v>
      </c>
      <c r="C2" s="5"/>
      <c r="D2" s="5"/>
      <c r="E2" s="112"/>
      <c r="F2" s="108"/>
      <c r="G2" s="108"/>
      <c r="H2" s="108"/>
      <c r="I2" s="108"/>
      <c r="J2" s="108"/>
      <c r="K2" s="108"/>
      <c r="L2" s="108"/>
      <c r="M2" s="108"/>
      <c r="N2" s="108"/>
      <c r="O2" s="108"/>
      <c r="P2" s="113" t="str">
        <v>Passed</v>
      </c>
      <c r="Q2" s="113"/>
      <c r="R2" s="113"/>
      <c r="S2" s="113"/>
      <c r="T2" s="113"/>
      <c r="U2" s="113"/>
      <c r="V2" s="113"/>
      <c r="W2" s="113"/>
      <c r="X2" s="113"/>
      <c r="Y2" s="114"/>
    </row>
    <row r="3" ht="52" customHeight="1">
      <c r="A3" s="110" t="str">
        <v>Test requirement</v>
      </c>
      <c r="B3" s="111" t="str">
        <v>Manual integration: perform the browser steps and compare saved data or recipient screens. Check prerequisites before execution.</v>
      </c>
      <c r="C3" s="5"/>
      <c r="D3" s="5"/>
      <c r="E3" s="112"/>
      <c r="F3" s="108"/>
      <c r="G3" s="108"/>
      <c r="H3" s="108"/>
      <c r="I3" s="108"/>
      <c r="J3" s="108"/>
      <c r="K3" s="108"/>
      <c r="L3" s="108"/>
      <c r="M3" s="108"/>
      <c r="N3" s="108"/>
      <c r="O3" s="108"/>
      <c r="P3" s="113" t="str">
        <v>Failed</v>
      </c>
      <c r="Q3" s="113"/>
      <c r="R3" s="113"/>
      <c r="S3" s="113"/>
      <c r="T3" s="113"/>
      <c r="U3" s="113"/>
      <c r="V3" s="113"/>
      <c r="W3" s="113"/>
      <c r="X3" s="113"/>
      <c r="Y3" s="114"/>
    </row>
    <row r="4" ht="18.0" customHeight="1">
      <c r="A4" s="110" t="str">
        <v>Number of TCs</v>
      </c>
      <c r="B4" s="111" t="n">
        <v>6</v>
      </c>
      <c r="C4" s="5"/>
      <c r="D4" s="5"/>
      <c r="E4" s="112"/>
      <c r="F4" s="108"/>
      <c r="G4" s="108"/>
      <c r="H4" s="108"/>
      <c r="I4" s="108"/>
      <c r="J4" s="108"/>
      <c r="K4" s="108"/>
      <c r="L4" s="108"/>
      <c r="M4" s="108"/>
      <c r="N4" s="108"/>
      <c r="O4" s="108"/>
      <c r="P4" s="113" t="str">
        <v>NotRun</v>
      </c>
      <c r="Q4" s="113"/>
      <c r="R4" s="113"/>
      <c r="S4" s="113"/>
      <c r="T4" s="113"/>
      <c r="U4" s="113"/>
      <c r="V4" s="113"/>
      <c r="W4" s="113"/>
      <c r="X4" s="113"/>
      <c r="Y4" s="114"/>
    </row>
    <row r="5" ht="19.5" customHeight="1">
      <c r="A5" s="115" t="str">
        <v>Testing Round</v>
      </c>
      <c r="B5" s="115" t="str">
        <v>Passed</v>
      </c>
      <c r="C5" s="115" t="str">
        <v>Failed</v>
      </c>
      <c r="D5" s="115" t="str">
        <v>Pending</v>
      </c>
      <c r="E5" s="115" t="str">
        <v>N/A</v>
      </c>
      <c r="F5" s="108"/>
      <c r="G5" s="108"/>
      <c r="H5" s="108"/>
      <c r="I5" s="108"/>
      <c r="J5" s="108"/>
      <c r="K5" s="108"/>
      <c r="L5" s="108"/>
      <c r="M5" s="108"/>
      <c r="N5" s="108"/>
      <c r="O5" s="108"/>
      <c r="P5" s="113" t="str">
        <v>Skipped</v>
      </c>
      <c r="Q5" s="113"/>
      <c r="R5" s="113"/>
      <c r="S5" s="113"/>
      <c r="T5" s="113"/>
      <c r="U5" s="113"/>
      <c r="V5" s="113"/>
      <c r="W5" s="113"/>
      <c r="X5" s="113"/>
      <c r="Y5" s="114"/>
    </row>
    <row r="6" ht="15.0" customHeight="1">
      <c r="A6" s="116" t="str">
        <v>Round 1</v>
      </c>
      <c r="B6" s="115" t="n">
        <f>COUNTIF(F12:F19,"Passed")</f>
        <v>0</v>
      </c>
      <c r="C6" s="115" t="n">
        <f>COUNTIF(F12:F19,"Failed")</f>
        <v>0</v>
      </c>
      <c r="D6" s="115" t="n">
        <f>B4-B6-C6-E6</f>
        <v>6</v>
      </c>
      <c r="E6" s="115" t="n">
        <f>COUNTIF(F12:F19,"Skipped")</f>
        <v>0</v>
      </c>
      <c r="F6" s="108"/>
      <c r="G6" s="108"/>
      <c r="H6" s="108"/>
      <c r="I6" s="108"/>
      <c r="J6" s="108"/>
      <c r="K6" s="108"/>
      <c r="L6" s="108"/>
      <c r="M6" s="108"/>
      <c r="N6" s="108"/>
      <c r="O6" s="108"/>
      <c r="P6" s="113"/>
      <c r="Q6" s="113"/>
      <c r="R6" s="113"/>
      <c r="S6" s="113"/>
      <c r="T6" s="113"/>
      <c r="U6" s="113"/>
      <c r="V6" s="113"/>
      <c r="W6" s="113"/>
      <c r="X6" s="113"/>
      <c r="Y6" s="114"/>
    </row>
    <row r="7" ht="15.0" customHeight="1">
      <c r="A7" s="116" t="str">
        <v>Round 2</v>
      </c>
      <c r="B7" s="115" t="n">
        <f>COUNTIF(I12:I19,"Passed")</f>
        <v>0</v>
      </c>
      <c r="C7" s="115" t="n">
        <f>COUNTIF(I12:I19,"Failed")</f>
        <v>0</v>
      </c>
      <c r="D7" s="115" t="n">
        <f>B4-B7-C7-E7</f>
        <v>6</v>
      </c>
      <c r="E7" s="115" t="n">
        <f>COUNTIF(I12:I19,"Skipped")</f>
        <v>0</v>
      </c>
      <c r="F7" s="108"/>
      <c r="G7" s="108"/>
      <c r="H7" s="108"/>
      <c r="I7" s="108"/>
      <c r="J7" s="108"/>
      <c r="K7" s="108"/>
      <c r="L7" s="108"/>
      <c r="M7" s="108"/>
      <c r="N7" s="108"/>
      <c r="O7" s="108"/>
      <c r="P7" s="113"/>
      <c r="Q7" s="113"/>
      <c r="R7" s="113"/>
      <c r="S7" s="113"/>
      <c r="T7" s="113"/>
      <c r="U7" s="113"/>
      <c r="V7" s="113"/>
      <c r="W7" s="113"/>
      <c r="X7" s="113"/>
      <c r="Y7" s="114"/>
    </row>
    <row r="8" ht="15.0" customHeight="1">
      <c r="A8" s="116" t="str">
        <v>Round 3</v>
      </c>
      <c r="B8" s="115" t="n">
        <f>COUNTIF(L12:L19,"Passed")</f>
        <v>0</v>
      </c>
      <c r="C8" s="115" t="n">
        <f>COUNTIF(L12:L19,"Failed")</f>
        <v>0</v>
      </c>
      <c r="D8" s="115" t="n">
        <f>B4-B8-C8-E8</f>
        <v>6</v>
      </c>
      <c r="E8" s="115" t="n">
        <f>COUNTIF(L12:L19,"Skipped")</f>
        <v>0</v>
      </c>
      <c r="F8" s="108"/>
      <c r="G8" s="108"/>
      <c r="H8" s="108"/>
      <c r="I8" s="108"/>
      <c r="J8" s="108"/>
      <c r="K8" s="108"/>
      <c r="L8" s="108"/>
      <c r="M8" s="108"/>
      <c r="N8" s="108"/>
      <c r="O8" s="108"/>
      <c r="P8" s="113"/>
      <c r="Q8" s="113"/>
      <c r="R8" s="113"/>
      <c r="S8" s="113"/>
      <c r="T8" s="113"/>
      <c r="U8" s="113"/>
      <c r="V8" s="113"/>
      <c r="W8" s="113"/>
      <c r="X8" s="113"/>
      <c r="Y8" s="114"/>
    </row>
    <row r="9" ht="15.0" customHeight="1">
      <c r="A9" s="108"/>
      <c r="B9" s="108"/>
      <c r="C9" s="108"/>
      <c r="D9" s="108"/>
      <c r="E9" s="108"/>
      <c r="F9" s="108"/>
      <c r="G9" s="108"/>
      <c r="H9" s="108"/>
      <c r="I9" s="108"/>
      <c r="J9" s="108"/>
      <c r="K9" s="108"/>
      <c r="L9" s="108"/>
      <c r="M9" s="108"/>
      <c r="N9" s="108"/>
      <c r="O9" s="108"/>
      <c r="P9" s="113"/>
      <c r="Q9" s="113"/>
      <c r="R9" s="113"/>
      <c r="S9" s="113"/>
      <c r="T9" s="113"/>
      <c r="U9" s="113"/>
      <c r="V9" s="113"/>
      <c r="W9" s="113"/>
      <c r="X9" s="113"/>
      <c r="Y9" s="114"/>
    </row>
    <row r="10" ht="42" customHeight="1">
      <c r="A10" s="117" t="str">
        <v>Test Case ID</v>
      </c>
      <c r="B10" s="117" t="str">
        <v>Test Case Description</v>
      </c>
      <c r="C10" s="117" t="str">
        <v>Test Case Procedure</v>
      </c>
      <c r="D10" s="117" t="str">
        <v>Expected Results</v>
      </c>
      <c r="E10" s="117" t="str">
        <v>Pre-conditions</v>
      </c>
      <c r="F10" s="117" t="str">
        <v>Round 1</v>
      </c>
      <c r="G10" s="117" t="str">
        <v>Test date</v>
      </c>
      <c r="H10" s="117" t="str">
        <v>Tester</v>
      </c>
      <c r="I10" s="117" t="str">
        <v>Round 2</v>
      </c>
      <c r="J10" s="117" t="str">
        <v>Test date</v>
      </c>
      <c r="K10" s="117" t="str">
        <v>Tester</v>
      </c>
      <c r="L10" s="117" t="str">
        <v>Round 3</v>
      </c>
      <c r="M10" s="117" t="str">
        <v>Test date</v>
      </c>
      <c r="N10" s="117" t="str">
        <v>Tester</v>
      </c>
      <c r="O10" s="117" t="str">
        <v>Actual result / Evidence / Defect</v>
      </c>
      <c r="P10" s="118"/>
      <c r="Q10" s="113"/>
      <c r="R10" s="113"/>
      <c r="S10" s="113"/>
      <c r="T10" s="113"/>
      <c r="U10" s="113"/>
      <c r="V10" s="113"/>
      <c r="W10" s="113"/>
      <c r="X10" s="113"/>
      <c r="Y10" s="113"/>
    </row>
    <row r="11" ht="24" customHeight="1">
      <c r="A11" s="119" t="str">
        <v>Access and Recovery - Network recovery</v>
      </c>
      <c r="B11" s="119"/>
      <c r="C11" s="119"/>
      <c r="D11" s="119"/>
      <c r="E11" s="119"/>
      <c r="F11" s="119"/>
      <c r="G11" s="119"/>
      <c r="H11" s="119"/>
      <c r="I11" s="119"/>
      <c r="J11" s="119"/>
      <c r="K11" s="119"/>
      <c r="L11" s="119"/>
      <c r="M11" s="119"/>
      <c r="N11" s="119"/>
      <c r="O11" s="150"/>
      <c r="P11" s="124"/>
      <c r="Q11" s="113"/>
      <c r="R11" s="113"/>
      <c r="S11" s="113"/>
      <c r="T11" s="113"/>
      <c r="U11" s="113"/>
      <c r="V11" s="113"/>
      <c r="W11" s="113"/>
      <c r="X11" s="113"/>
      <c r="Y11" s="113"/>
    </row>
    <row r="12" ht="118.39999999999999" customHeight="1">
      <c r="A12" s="121" t="str">
        <v>ACCESS_IT01</v>
      </c>
      <c r="B12" s="121" t="str">
        <v>Login failure can be retried after network recovery</v>
      </c>
      <c r="C12" s="121" t="str">
        <v>1. Set browser network to Offline.
2. Enter valid credentials and click "Đăng nhập bằng mật khẩu" and observe error.
3. Restore Online and click "Đăng nhập bằng mật khẩu" again.</v>
      </c>
      <c r="D12" s="121" t="str">
        <v>1. Failed attempt does not open a false signed-in session.
2. Retry succeeds when connectivity returns.</v>
      </c>
      <c r="E12" s="121" t="str">
        <v>Signed out; known valid credentials; browser Offline/Online control available.</v>
      </c>
      <c r="F12" s="121" t="str">
        <v>NotRun</v>
      </c>
      <c r="G12" s="122" t="str"/>
      <c r="H12" s="121" t="str"/>
      <c r="I12" s="121" t="str"/>
      <c r="J12" s="122" t="str"/>
      <c r="K12" s="121" t="str"/>
      <c r="L12" s="121" t="str"/>
      <c r="M12" s="122" t="str"/>
      <c r="N12" s="121" t="str"/>
      <c r="O12" s="123" t="str"/>
      <c r="P12" s="124"/>
      <c r="Q12" s="113"/>
      <c r="R12" s="113"/>
      <c r="S12" s="113"/>
      <c r="T12" s="113"/>
      <c r="U12" s="113"/>
      <c r="V12" s="113"/>
      <c r="W12" s="113"/>
      <c r="X12" s="113"/>
      <c r="Y12" s="113"/>
    </row>
    <row r="13" ht="148.79999999999998" customHeight="1">
      <c r="A13" s="121" t="str">
        <v>ACCESS_IT02</v>
      </c>
      <c r="B13" s="121" t="str">
        <v>Failed create retains entered form values</v>
      </c>
      <c r="C13" s="121" t="str">
        <v>1. Enter unique title, description and valid future schedule.
2. Set browser Offline; attempt to click "Tạo cuộc họp".
3. Inspect form; restore Online.
4. Click "Tạo cuộc họp" once and search the unique title after reload.</v>
      </c>
      <c r="D13" s="121" t="str">
        <v>1. Failure feedback appears and entered values remain.
2. Successful retry creates one meeting with those values.</v>
      </c>
      <c r="E13" s="121" t="str">
        <v>Signed-in controlled user; disposable data; browser developer tools available for manual Offline/Online switching; no application commands required. MeetingCreator user on a new meeting form.</v>
      </c>
      <c r="F13" s="121" t="str">
        <v>NotRun</v>
      </c>
      <c r="G13" s="122" t="str"/>
      <c r="H13" s="121" t="str"/>
      <c r="I13" s="121" t="str"/>
      <c r="J13" s="122" t="str"/>
      <c r="K13" s="121" t="str"/>
      <c r="L13" s="121" t="str"/>
      <c r="M13" s="122" t="str"/>
      <c r="N13" s="121" t="str"/>
      <c r="O13" s="123" t="str"/>
      <c r="P13" s="124"/>
      <c r="Q13" s="113"/>
      <c r="R13" s="113"/>
      <c r="S13" s="113"/>
      <c r="T13" s="113"/>
      <c r="U13" s="113"/>
      <c r="V13" s="113"/>
      <c r="W13" s="113"/>
      <c r="X13" s="113"/>
      <c r="Y13" s="113"/>
    </row>
    <row r="14" ht="133.6" customHeight="1">
      <c r="A14" s="121" t="str">
        <v>ACCESS_IT03</v>
      </c>
      <c r="B14" s="121" t="str">
        <v>Notification read failure does not falsely complete</v>
      </c>
      <c r="C14" s="121" t="str">
        <v>1. Click the "Thông báo" bell; switch Offline.
2. Attempt marking the item read.
3. Restore Online; reload and inspect; then mark it read again.</v>
      </c>
      <c r="D14" s="121" t="str">
        <v>1. Failed attempt shows feedback and does not persist a read state.
2. Successful retry persists read state and correct count.</v>
      </c>
      <c r="E14" s="121" t="str">
        <v>Signed-in controlled user; disposable data; browser developer tools available for manual Offline/Online switching; no application commands required. At least one unread notification; record count and item.</v>
      </c>
      <c r="F14" s="121" t="str">
        <v>NotRun</v>
      </c>
      <c r="G14" s="122" t="str"/>
      <c r="H14" s="121" t="str"/>
      <c r="I14" s="121" t="str"/>
      <c r="J14" s="122" t="str"/>
      <c r="K14" s="121" t="str"/>
      <c r="L14" s="121" t="str"/>
      <c r="M14" s="122" t="str"/>
      <c r="N14" s="121" t="str"/>
      <c r="O14" s="123" t="str"/>
      <c r="P14" s="124"/>
      <c r="Q14" s="113"/>
      <c r="R14" s="113"/>
      <c r="S14" s="113"/>
      <c r="T14" s="113"/>
      <c r="U14" s="113"/>
      <c r="V14" s="113"/>
      <c r="W14" s="113"/>
      <c r="X14" s="113"/>
      <c r="Y14" s="113"/>
    </row>
    <row r="15" ht="24" customHeight="1">
      <c r="A15" s="119" t="str">
        <v>Access and Recovery - Access loss</v>
      </c>
      <c r="B15" s="119"/>
      <c r="C15" s="119"/>
      <c r="D15" s="119"/>
      <c r="E15" s="119"/>
      <c r="F15" s="119"/>
      <c r="G15" s="119"/>
      <c r="H15" s="119"/>
      <c r="I15" s="119"/>
      <c r="J15" s="119"/>
      <c r="K15" s="119"/>
      <c r="L15" s="119"/>
      <c r="M15" s="119"/>
      <c r="N15" s="119"/>
      <c r="O15" s="150"/>
      <c r="P15" s="124"/>
      <c r="Q15" s="113"/>
      <c r="R15" s="113"/>
      <c r="S15" s="113"/>
      <c r="T15" s="113"/>
      <c r="U15" s="113"/>
      <c r="V15" s="113"/>
      <c r="W15" s="113"/>
      <c r="X15" s="113"/>
      <c r="Y15" s="113"/>
    </row>
    <row r="16" ht="164.0" customHeight="1">
      <c r="A16" s="121" t="str">
        <v>ACCESS_IT04</v>
      </c>
      <c r="B16" s="121" t="str">
        <v>Deactivated signed-in user loses protected access</v>
      </c>
      <c r="C16" s="121" t="str">
        <v>1. As admin, click "Vô hiệu hoá" for the target and confirm with "Vô hiệu hoá".
2. As target, reload meeting and Calendar.
3. Try sign-in with target credentials.</v>
      </c>
      <c r="D16" s="121" t="str">
        <v>1. Protected reload fails or returns to authentication.
2. Inactive target cannot sign in or continue reading protected meeting data.</v>
      </c>
      <c r="E16" s="121" t="str">
        <v>Signed-in controlled user; disposable data; browser developer tools available for manual Offline/Online switching; no application commands required. Independent AdminUsers browser; target is not current/final admin and has an open readable meeting.</v>
      </c>
      <c r="F16" s="121" t="str">
        <v>NotRun</v>
      </c>
      <c r="G16" s="122" t="str"/>
      <c r="H16" s="121" t="str"/>
      <c r="I16" s="121" t="str"/>
      <c r="J16" s="122" t="str"/>
      <c r="K16" s="121" t="str"/>
      <c r="L16" s="121" t="str"/>
      <c r="M16" s="122" t="str"/>
      <c r="N16" s="121" t="str"/>
      <c r="O16" s="123" t="str"/>
      <c r="P16" s="124"/>
      <c r="Q16" s="113"/>
      <c r="R16" s="113"/>
      <c r="S16" s="113"/>
      <c r="T16" s="113"/>
      <c r="U16" s="113"/>
      <c r="V16" s="113"/>
      <c r="W16" s="113"/>
      <c r="X16" s="113"/>
      <c r="Y16" s="113"/>
    </row>
    <row r="17" ht="103.19999999999999" customHeight="1">
      <c r="A17" s="121" t="str">
        <v>ACCESS_IT05</v>
      </c>
      <c r="B17" s="121" t="str">
        <v>Unknown meeting URL shows not-found handling</v>
      </c>
      <c r="C17" s="121" t="str">
        <v>1. Open /mgmt/meetings/00000000-0000-0000-0000-000000000001 using a confirmed absent ID.
2. Follow the offered back navigation.</v>
      </c>
      <c r="D17" s="121" t="str">
        <v>1. Not-found page appears without another meeting being substituted.
2. User can return to a permitted page.</v>
      </c>
      <c r="E17" s="121" t="str">
        <v>Signed-in controlled user; disposable data; browser developer tools available for manual Offline/Online switching; no application commands required.</v>
      </c>
      <c r="F17" s="121" t="str">
        <v>NotRun</v>
      </c>
      <c r="G17" s="122" t="str"/>
      <c r="H17" s="121" t="str"/>
      <c r="I17" s="121" t="str"/>
      <c r="J17" s="122" t="str"/>
      <c r="K17" s="121" t="str"/>
      <c r="L17" s="121" t="str"/>
      <c r="M17" s="122" t="str"/>
      <c r="N17" s="121" t="str"/>
      <c r="O17" s="123" t="str"/>
      <c r="P17" s="124"/>
      <c r="Q17" s="113"/>
      <c r="R17" s="113"/>
      <c r="S17" s="113"/>
      <c r="T17" s="113"/>
      <c r="U17" s="113"/>
      <c r="V17" s="113"/>
      <c r="W17" s="113"/>
      <c r="X17" s="113"/>
      <c r="Y17" s="113"/>
    </row>
    <row r="18" ht="24" customHeight="1">
      <c r="A18" s="119" t="str">
        <v>Access and Recovery - Incomplete scope</v>
      </c>
      <c r="B18" s="119"/>
      <c r="C18" s="119"/>
      <c r="D18" s="119"/>
      <c r="E18" s="119"/>
      <c r="F18" s="119"/>
      <c r="G18" s="119"/>
      <c r="H18" s="119"/>
      <c r="I18" s="119"/>
      <c r="J18" s="119"/>
      <c r="K18" s="119"/>
      <c r="L18" s="119"/>
      <c r="M18" s="119"/>
      <c r="N18" s="119"/>
      <c r="O18" s="150"/>
      <c r="P18" s="124"/>
      <c r="Q18" s="113"/>
      <c r="R18" s="113"/>
      <c r="S18" s="113"/>
      <c r="T18" s="113"/>
      <c r="U18" s="113"/>
      <c r="V18" s="113"/>
      <c r="W18" s="113"/>
      <c r="X18" s="113"/>
      <c r="Y18" s="113"/>
    </row>
    <row r="19" ht="133.6" customHeight="1">
      <c r="A19" s="121" t="str">
        <v>ACCESS_IT06</v>
      </c>
      <c r="B19" s="121" t="str">
        <v>Placeholder tabs do not pretend to complete business actions</v>
      </c>
      <c r="C19" s="121" t="str">
        <v>1. Open meeting attendee, agenda, document, recording and minutes tabs.
2. Open "Kho tài liệu".
3. Inspect available controls and explanatory text.</v>
      </c>
      <c r="D19" s="121" t="str">
        <v>1. Current placeholders identify unavailable workflows.
2. No working upload, vote, recording or minutes approval is assumed by this manual suite.</v>
      </c>
      <c r="E19" s="121" t="str">
        <v>Signed-in controlled user; disposable data; browser developer tools available for manual Offline/Online switching; no application commands required. User can open a meeting and personal library.</v>
      </c>
      <c r="F19" s="121" t="str">
        <v>NotRun</v>
      </c>
      <c r="G19" s="122" t="str"/>
      <c r="H19" s="121" t="str"/>
      <c r="I19" s="121" t="str"/>
      <c r="J19" s="122" t="str"/>
      <c r="K19" s="121" t="str"/>
      <c r="L19" s="121" t="str"/>
      <c r="M19" s="122" t="str"/>
      <c r="N19" s="121" t="str"/>
      <c r="O19" s="123" t="str"/>
      <c r="P19" s="124"/>
      <c r="Q19" s="113"/>
      <c r="R19" s="113"/>
      <c r="S19" s="113"/>
      <c r="T19" s="113"/>
      <c r="U19" s="113"/>
      <c r="V19" s="113"/>
      <c r="W19" s="113"/>
      <c r="X19" s="113"/>
      <c r="Y19" s="113"/>
    </row>
  </sheetData>
  <mergeCells count="6">
    <mergeCell ref="B2:E2"/>
    <mergeCell ref="B3:E3"/>
    <mergeCell ref="B4:E4"/>
    <mergeCell ref="A11:O11"/>
    <mergeCell ref="A15:O15"/>
    <mergeCell ref="A18:O18"/>
  </mergeCells>
  <dataValidations count="3">
    <dataValidation type="list" allowBlank="1" showErrorMessage="1" errorTitle="Select a test status" error="Use the status dropdown." sqref="F12 F13 F14 F16 F17 F19">
      <formula1>"NotRun,Passed,Failed,Blocked,Skipped"</formula1>
    </dataValidation>
    <dataValidation type="list" allowBlank="1" showErrorMessage="1" errorTitle="Select a test status" error="Use the status dropdown." sqref="I12 I13 I14 I16 I17 I19">
      <formula1>"NotRun,Passed,Failed,Blocked,Skipped"</formula1>
    </dataValidation>
    <dataValidation type="list" allowBlank="1" showErrorMessage="1" errorTitle="Select a test status" error="Use the status dropdown." sqref="L12 L13 L14 L16 L17 L19">
      <formula1>"NotRun,Passed,Failed,Blocked,Skipped"</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2020-03-17T17:34:29Z</dcterms:created>
  <dc:creator>TrustCabinet SEP490-G116</dc:creator>
</cp:coreProperties>
</file>