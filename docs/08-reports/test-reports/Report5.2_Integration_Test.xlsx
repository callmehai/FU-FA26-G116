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name="Cover" sheetId="1" r:id="sheet1"/>
    <sheet name="Test Cases" sheetId="2" r:id="sheet2"/>
    <sheet name="Test Statistics" sheetId="3" r:id="sheet3"/>
    <sheet name="Agenda" sheetId="4" r:id="sheet4"/>
    <sheet name="Attendance" sheetId="5" r:id="sheet5"/>
    <sheet name="Authentication" sheetId="6" r:id="sheet6"/>
    <sheet name="Calendar" sheetId="7" r:id="sheet7"/>
    <sheet name="Library" sheetId="8" r:id="sheet8"/>
    <sheet name="Meeting documents" sheetId="9" r:id="sheet9"/>
    <sheet name="Meeting room" sheetId="10" r:id="sheet10"/>
    <sheet name="Meetings" sheetId="11" r:id="sheet11"/>
    <sheet name="Notifications" sheetId="12" r:id="sheet12"/>
    <sheet name="Participants" sheetId="13" r:id="sheet13"/>
    <sheet name="Recordings" sheetId="14" r:id="sheet14"/>
    <sheet name="Roles" sheetId="15" r:id="sheet15"/>
    <sheet name="Users" sheetId="16" r:id="sheet16"/>
    <sheet name="Voice ID" sheetId="17" r:id="sheet17"/>
  </sheets>
  <calcPr fullCalcOnLoad="1" forceFullCalc="1"/>
</workbook>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mmm\-yy"/>
    <numFmt numFmtId="166" formatCode="dd&quot;/&quot;mm&quot;/&quot;yyyy"/>
  </numFmts>
  <fonts count="30">
    <font>
      <sz val="11.0"/>
      <color rgb="FF000000"/>
      <name val="Times New Roman"/>
    </font>
    <font>
      <sz val="10.0"/>
      <color theme="1"/>
      <name val="Times New Roman"/>
    </font>
    <font>
      <b/>
      <sz val="26.0"/>
      <color rgb="FFFF0000"/>
      <name val="Times New Roman"/>
    </font>
    <font>
      <b/>
      <sz val="20.0"/>
      <color rgb="FF000000"/>
      <name val="Times New Roman"/>
    </font>
    <font/>
    <font>
      <b/>
      <sz val="10.0"/>
      <color rgb="FF993300"/>
      <name val="Times New Roman"/>
    </font>
    <font>
      <i/>
      <sz val="10.0"/>
      <color rgb="FF008000"/>
      <name val="Times New Roman"/>
    </font>
    <font>
      <b/>
      <sz val="10.0"/>
      <color theme="1"/>
      <name val="Times New Roman"/>
    </font>
    <font>
      <i/>
      <color theme="1"/>
      <name val="Times New Roman"/>
    </font>
    <font>
      <i/>
      <sz val="10.0"/>
      <color theme="1"/>
      <name val="Times New Roman"/>
    </font>
    <font>
      <b/>
      <sz val="10.0"/>
      <color rgb="FFFFFFFF"/>
      <name val="Times New Roman"/>
    </font>
    <font>
      <sz val="12.0"/>
      <color theme="1"/>
      <name val="Times New Roman"/>
    </font>
    <font>
      <sz val="11.0"/>
      <color theme="1"/>
      <name val="Times New Roman"/>
    </font>
    <font>
      <b/>
      <sz val="10.0"/>
      <color rgb="FF000000"/>
      <name val="Times New Roman"/>
    </font>
    <font>
      <b/>
      <sz val="10.0"/>
      <color rgb="FFFF0000"/>
      <name val="Times New Roman"/>
    </font>
    <font>
      <color theme="1"/>
      <name val="Times New Roman"/>
    </font>
    <font>
      <u/>
      <sz val="11.0"/>
      <color rgb="FF0000FF"/>
      <name val="Times New Roman"/>
    </font>
    <font>
      <u/>
      <sz val="10.0"/>
      <color rgb="FF0000FF"/>
      <name val="Times New Roman"/>
    </font>
    <font>
      <i/>
      <sz val="10.0"/>
      <color rgb="FF000000"/>
      <name val="Times New Roman"/>
    </font>
    <font>
      <u/>
      <sz val="11.0"/>
      <color rgb="FF0000FF"/>
      <name val="Times New Roman"/>
    </font>
    <font>
      <sz val="10.0"/>
      <color rgb="FFFFFFFF"/>
      <name val="Times New Roman"/>
    </font>
    <font>
      <b/>
      <sz val="10.0"/>
      <color rgb="FF0000FF"/>
      <name val="Times New Roman"/>
    </font>
    <font>
      <sz val="10.0"/>
      <color rgb="FF000000"/>
      <name val="Times New Roman"/>
    </font>
    <font>
      <sz val="11.0"/>
      <color rgb="FF000000"/>
      <name val="Times New Roman"/>
    </font>
    <font>
      <b/>
      <sz val="11.0"/>
      <color theme="1"/>
      <name val="Times New Roman"/>
    </font>
    <font>
      <b/>
      <sz val="11.0"/>
      <color rgb="FFFFFFFF"/>
      <name val="Times New Roman"/>
    </font>
    <font>
      <color theme="1"/>
      <name val="Times New Roman"/>
    </font>
    <font>
      <sz val="10.0"/>
      <color rgb="FFFF0000"/>
      <name val="Times New Roman"/>
    </font>
    <font>
      <color theme="1"/>
      <name val="Times New Roman"/>
    </font>
    <font>
      <sz val="11.0"/>
      <color theme="1"/>
      <name val="Times New Roman"/>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36">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right/>
      <top/>
    </border>
    <border>
      <right/>
      <top style="thin">
        <color rgb="FF000000"/>
      </top>
      <bottom style="thin">
        <color rgb="FF000000"/>
      </bottom>
    </border>
    <border>
      <right/>
      <top/>
      <bottom/>
    </border>
    <border>
      <left/>
      <right/>
      <bottom/>
    </border>
    <border>
      <left style="thin">
        <color rgb="FF000000"/>
      </left>
      <right style="hair">
        <color rgb="FF000000"/>
      </right>
      <top style="thin">
        <color rgb="FF000000"/>
      </top>
    </border>
    <border>
      <left style="hair">
        <color rgb="FF000000"/>
      </left>
      <right style="hair">
        <color rgb="FF000000"/>
      </right>
      <top style="thin">
        <color rgb="FF000000"/>
      </top>
    </border>
    <border>
      <left style="hair">
        <color rgb="FF000000"/>
      </left>
      <right/>
      <top style="thin">
        <color rgb="FF000000"/>
      </top>
    </border>
    <border>
      <left style="hair">
        <color rgb="FF000000"/>
      </left>
      <right style="thin">
        <color rgb="FF000000"/>
      </right>
      <top style="thin">
        <color rgb="FF000000"/>
      </top>
    </border>
    <border>
      <left/>
      <top/>
      <bottom/>
    </border>
    <border>
      <top/>
      <bottom/>
    </border>
    <border>
      <left style="hair">
        <color rgb="FF000000"/>
      </left>
      <right/>
      <top style="thin">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thin">
        <color rgb="FF000000"/>
      </left>
      <right/>
      <top/>
      <bottom/>
    </border>
    <border>
      <left/>
      <right style="thin">
        <color rgb="FF000000"/>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right style="medium">
        <color rgb="FF000000"/>
      </right>
      <top style="thin">
        <color rgb="FF000000"/>
      </top>
      <bottom style="thin">
        <color rgb="FF000000"/>
      </bottom>
    </border>
    <border>
      <left style="thin">
        <color rgb="FF000000"/>
      </left>
      <top style="thin">
        <color rgb="FF000000"/>
      </top>
      <bottom/>
    </border>
    <border>
      <top style="thin">
        <color rgb="FF000000"/>
      </top>
      <bottom/>
    </border>
    <border>
      <right/>
      <top style="thin">
        <color rgb="FF000000"/>
      </top>
      <bottom/>
    </border>
    <border>
      <left style="thin">
        <color rgb="FF000000"/>
      </left>
      <top style="thin">
        <color rgb="FF000000"/>
      </top>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vertical="bottom"/>
    </xf>
    <xf borderId="3" fillId="0" fontId="1" numFmtId="0" xfId="0" applyAlignment="1" applyBorder="1" applyFont="1">
      <alignment readingOrder="0" shrinkToFit="0" vertical="bottom" wrapText="0"/>
    </xf>
    <xf borderId="3" fillId="0" fontId="9" numFmtId="164" xfId="0" applyAlignment="1" applyBorder="1" applyFont="1" applyNumberFormat="1">
      <alignment horizontal="left" readingOrder="0" shrinkToFit="0" vertical="bottom" wrapText="0"/>
    </xf>
    <xf borderId="5" fillId="2" fontId="7" numFmtId="0" xfId="0" applyAlignment="1" applyBorder="1" applyFont="1">
      <alignment vertical="center"/>
    </xf>
    <xf borderId="1" fillId="0" fontId="9" numFmtId="0" xfId="0" applyAlignment="1" applyBorder="1" applyFont="1">
      <alignment horizontal="left" readingOrder="0" vertical="center"/>
    </xf>
    <xf borderId="3" fillId="0" fontId="9" numFmtId="0" xfId="0" applyAlignment="1" applyBorder="1" applyFont="1">
      <alignment horizontal="left" readingOrder="0"/>
    </xf>
    <xf borderId="0" fillId="0" fontId="7" numFmtId="0" xfId="0" applyFont="1"/>
    <xf borderId="0" fillId="0" fontId="5" numFmtId="0" xfId="0" applyAlignment="1" applyFont="1">
      <alignment horizontal="left"/>
    </xf>
    <xf borderId="0" fillId="0" fontId="7" numFmtId="0" xfId="0" applyAlignment="1" applyFont="1">
      <alignment horizontal="left"/>
    </xf>
    <xf borderId="6" fillId="3" fontId="10" numFmtId="165" xfId="0" applyAlignment="1" applyBorder="1" applyFill="1" applyFont="1" applyNumberFormat="1">
      <alignment horizontal="center" vertical="center"/>
    </xf>
    <xf borderId="7" fillId="3" fontId="10" numFmtId="0" xfId="0" applyAlignment="1" applyBorder="1" applyFont="1">
      <alignment horizontal="center" vertical="center"/>
    </xf>
    <xf borderId="8" fillId="3" fontId="10" numFmtId="0" xfId="0" applyAlignment="1" applyBorder="1" applyFont="1">
      <alignment horizontal="center" vertical="center"/>
    </xf>
    <xf borderId="0" fillId="0" fontId="1" numFmtId="0" xfId="0" applyAlignment="1" applyFont="1">
      <alignment vertical="center"/>
    </xf>
    <xf borderId="9" fillId="0" fontId="11" numFmtId="165" xfId="0" applyAlignment="1" applyBorder="1" applyFont="1" applyNumberFormat="1">
      <alignment horizontal="right" readingOrder="0"/>
    </xf>
    <xf borderId="10" fillId="0" fontId="11" numFmtId="49" xfId="0" applyAlignment="1" applyBorder="1" applyFont="1" applyNumberFormat="1">
      <alignment horizontal="center"/>
    </xf>
    <xf borderId="10" fillId="0" fontId="12" numFmtId="0" xfId="0" applyBorder="1" applyFont="1"/>
    <xf borderId="10" fillId="0" fontId="11" numFmtId="0" xfId="0" applyAlignment="1" applyBorder="1" applyFont="1">
      <alignment horizontal="center"/>
    </xf>
    <xf borderId="10" fillId="0" fontId="11" numFmtId="15" xfId="0" applyAlignment="1" applyBorder="1" applyFont="1" applyNumberFormat="1">
      <alignment shrinkToFit="0" wrapText="1"/>
    </xf>
    <xf borderId="11" fillId="0" fontId="9" numFmtId="0" xfId="0" applyAlignment="1" applyBorder="1" applyFont="1">
      <alignment shrinkToFit="0" vertical="top" wrapText="1"/>
    </xf>
    <xf borderId="0" fillId="0" fontId="1" numFmtId="0" xfId="0" applyAlignment="1" applyFont="1">
      <alignment vertical="top"/>
    </xf>
    <xf borderId="9" fillId="0" fontId="11" numFmtId="0" xfId="0" applyAlignment="1" applyBorder="1" applyFont="1">
      <alignment horizontal="right" readingOrder="0"/>
    </xf>
    <xf borderId="10" fillId="0" fontId="11" numFmtId="0" xfId="0" applyAlignment="1" applyBorder="1" applyFont="1">
      <alignment readingOrder="0" shrinkToFit="0" wrapText="1"/>
    </xf>
    <xf borderId="11" fillId="0" fontId="1" numFmtId="0" xfId="0" applyAlignment="1" applyBorder="1" applyFont="1">
      <alignment vertical="top"/>
    </xf>
    <xf borderId="10" fillId="0" fontId="1" numFmtId="0" xfId="0" applyAlignment="1" applyBorder="1" applyFont="1">
      <alignment vertical="top"/>
    </xf>
    <xf borderId="4" fillId="2" fontId="1" numFmtId="1" xfId="0" applyBorder="1" applyFont="1" applyNumberFormat="1"/>
    <xf borderId="4" fillId="2" fontId="1" numFmtId="0" xfId="0" applyAlignment="1" applyBorder="1" applyFont="1">
      <alignment horizontal="left"/>
    </xf>
    <xf borderId="4" fillId="2" fontId="3" numFmtId="0" xfId="0" applyAlignment="1" applyBorder="1" applyFont="1">
      <alignment horizontal="left"/>
    </xf>
    <xf borderId="4" fillId="2" fontId="13" numFmtId="0" xfId="0" applyAlignment="1" applyBorder="1" applyFont="1">
      <alignment horizontal="left"/>
    </xf>
    <xf borderId="12" fillId="2" fontId="14" numFmtId="0" xfId="0" applyAlignment="1" applyBorder="1" applyFont="1">
      <alignment horizontal="left"/>
    </xf>
    <xf borderId="12" fillId="2" fontId="1" numFmtId="0" xfId="0" applyAlignment="1" applyBorder="1" applyFont="1">
      <alignment horizontal="left"/>
    </xf>
    <xf borderId="1" fillId="2" fontId="5" numFmtId="1" xfId="0" applyBorder="1" applyFont="1" applyNumberFormat="1"/>
    <xf borderId="13" fillId="0" fontId="4" numFmtId="0" xfId="0" applyBorder="1" applyFont="1"/>
    <xf borderId="14" fillId="2" fontId="1" numFmtId="0" xfId="0" applyBorder="1" applyFont="1"/>
    <xf borderId="4" fillId="2" fontId="1" numFmtId="0" xfId="0" applyAlignment="1" applyBorder="1" applyFont="1">
      <alignment shrinkToFit="0" wrapText="1"/>
    </xf>
    <xf borderId="1" fillId="2" fontId="5" numFmtId="1" xfId="0" applyAlignment="1" applyBorder="1" applyFont="1" applyNumberFormat="1">
      <alignment shrinkToFit="0" vertical="center" wrapText="1"/>
    </xf>
    <xf borderId="1" fillId="2" fontId="11" numFmtId="0" xfId="0" applyAlignment="1" applyBorder="1" applyFont="1">
      <alignment readingOrder="0" shrinkToFit="0" vertical="top" wrapText="1"/>
    </xf>
    <xf borderId="14" fillId="2" fontId="1" numFmtId="0" xfId="0" applyAlignment="1" applyBorder="1" applyFont="1">
      <alignment shrinkToFit="0" wrapText="1"/>
    </xf>
    <xf borderId="4" fillId="2" fontId="5" numFmtId="1" xfId="0" applyBorder="1" applyFont="1" applyNumberFormat="1"/>
    <xf borderId="15" fillId="2" fontId="1" numFmtId="0" xfId="0" applyBorder="1" applyFont="1"/>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7" numFmtId="0" xfId="0" applyAlignment="1" applyBorder="1" applyFont="1">
      <alignment horizontal="center"/>
    </xf>
    <xf borderId="16" fillId="4" fontId="10" numFmtId="1" xfId="0" applyAlignment="1" applyBorder="1" applyFill="1" applyFont="1" applyNumberFormat="1">
      <alignment horizontal="center" shrinkToFit="0" vertical="center" wrapText="1"/>
    </xf>
    <xf borderId="17" fillId="4" fontId="10" numFmtId="0" xfId="0" applyAlignment="1" applyBorder="1" applyFont="1">
      <alignment horizontal="center" shrinkToFit="0" vertical="center" wrapText="1"/>
    </xf>
    <xf borderId="18" fillId="4" fontId="10" numFmtId="0" xfId="0" applyAlignment="1" applyBorder="1" applyFont="1">
      <alignment horizontal="center" shrinkToFit="0" vertical="center" wrapText="1"/>
    </xf>
    <xf borderId="19" fillId="4" fontId="10" numFmtId="0" xfId="0" applyAlignment="1" applyBorder="1" applyFont="1">
      <alignment horizontal="center" shrinkToFit="0" vertical="center" wrapText="1"/>
    </xf>
    <xf borderId="20" fillId="2" fontId="1" numFmtId="0" xfId="0" applyBorder="1" applyFont="1"/>
    <xf borderId="5" fillId="2" fontId="1" numFmtId="1" xfId="0" applyAlignment="1" applyBorder="1" applyFont="1" applyNumberFormat="1">
      <alignment horizontal="left" shrinkToFit="0" vertical="center" wrapText="1"/>
    </xf>
    <xf borderId="5" fillId="0" fontId="15" numFmtId="49" xfId="0" applyAlignment="1" applyBorder="1" applyFont="1" applyNumberFormat="1">
      <alignment shrinkToFit="0" wrapText="1"/>
    </xf>
    <xf borderId="5" fillId="2" fontId="16" numFmtId="0" xfId="0" applyAlignment="1" applyBorder="1" applyFont="1">
      <alignment horizontal="left" readingOrder="0" shrinkToFit="0" vertical="center" wrapText="1"/>
    </xf>
    <xf borderId="5" fillId="2" fontId="17" numFmtId="0" xfId="0" applyAlignment="1" applyBorder="1" applyFont="1">
      <alignment horizontal="left" shrinkToFit="0" vertical="center" wrapText="1"/>
    </xf>
    <xf borderId="5" fillId="2" fontId="1" numFmtId="0" xfId="0" applyAlignment="1" applyBorder="1" applyFont="1">
      <alignment horizontal="left" shrinkToFit="0" vertical="center" wrapText="1"/>
    </xf>
    <xf borderId="5" fillId="0" fontId="15" numFmtId="49" xfId="0" applyAlignment="1" applyBorder="1" applyFont="1" applyNumberFormat="1">
      <alignment readingOrder="0" shrinkToFit="0" wrapText="1"/>
    </xf>
    <xf borderId="15" fillId="2" fontId="1" numFmtId="1" xfId="0" applyBorder="1" applyFont="1" applyNumberFormat="1"/>
    <xf borderId="15" fillId="2" fontId="1" numFmtId="0" xfId="0" applyAlignment="1" applyBorder="1" applyFont="1">
      <alignment horizontal="left"/>
    </xf>
    <xf borderId="20" fillId="2" fontId="3" numFmtId="0" xfId="0" applyAlignment="1" applyBorder="1" applyFont="1">
      <alignment horizontal="center"/>
    </xf>
    <xf borderId="21" fillId="0" fontId="4" numFmtId="0" xfId="0" applyBorder="1" applyFont="1"/>
    <xf borderId="14" fillId="0" fontId="4" numFmtId="0" xfId="0" applyBorder="1" applyFont="1"/>
    <xf borderId="4" fillId="2" fontId="7" numFmtId="0" xfId="0" applyBorder="1" applyFont="1"/>
    <xf borderId="12" fillId="2" fontId="1" numFmtId="0" xfId="0" applyBorder="1" applyFont="1"/>
    <xf borderId="4" fillId="2" fontId="1" numFmtId="165" xfId="0" applyBorder="1" applyFont="1" applyNumberFormat="1"/>
    <xf borderId="5" fillId="2" fontId="5" numFmtId="0" xfId="0" applyAlignment="1" applyBorder="1" applyFont="1">
      <alignment horizontal="left" vertical="center"/>
    </xf>
    <xf borderId="5" fillId="2" fontId="5" numFmtId="0" xfId="0" applyAlignment="1" applyBorder="1" applyFont="1">
      <alignment vertical="center"/>
    </xf>
    <xf borderId="1" fillId="2" fontId="18" numFmtId="0" xfId="0" applyAlignment="1" applyBorder="1" applyFont="1">
      <alignment horizontal="left"/>
    </xf>
    <xf borderId="1" fillId="2" fontId="5" numFmtId="0" xfId="0" applyAlignment="1" applyBorder="1" applyFont="1">
      <alignment horizontal="left"/>
    </xf>
    <xf borderId="2" fillId="0" fontId="9" numFmtId="164" xfId="0" applyAlignment="1" applyBorder="1" applyFont="1" applyNumberFormat="1">
      <alignment horizontal="left" readingOrder="0" shrinkToFit="0" vertical="bottom" wrapText="0"/>
    </xf>
    <xf borderId="1" fillId="2" fontId="6" numFmtId="0" xfId="0" applyAlignment="1" applyBorder="1" applyFont="1">
      <alignment vertical="top"/>
    </xf>
    <xf borderId="4" fillId="2" fontId="5" numFmtId="0" xfId="0" applyBorder="1" applyFont="1"/>
    <xf borderId="4" fillId="2" fontId="6" numFmtId="0" xfId="0" applyBorder="1" applyFont="1"/>
    <xf borderId="6" fillId="3" fontId="10" numFmtId="0" xfId="0" applyAlignment="1" applyBorder="1" applyFont="1">
      <alignment horizontal="center"/>
    </xf>
    <xf borderId="7" fillId="3" fontId="10" numFmtId="0" xfId="0" applyAlignment="1" applyBorder="1" applyFont="1">
      <alignment horizontal="center"/>
    </xf>
    <xf borderId="7" fillId="3" fontId="10" numFmtId="0" xfId="0" applyAlignment="1" applyBorder="1" applyFont="1">
      <alignment horizontal="center" shrinkToFit="0" wrapText="1"/>
    </xf>
    <xf borderId="22" fillId="3" fontId="10" numFmtId="0" xfId="0" applyAlignment="1" applyBorder="1" applyFont="1">
      <alignment horizontal="center"/>
    </xf>
    <xf borderId="8" fillId="3" fontId="10" numFmtId="0" xfId="0" applyAlignment="1" applyBorder="1" applyFont="1">
      <alignment horizontal="center" shrinkToFit="0" wrapText="1"/>
    </xf>
    <xf borderId="9" fillId="2" fontId="1" numFmtId="0" xfId="0" applyAlignment="1" applyBorder="1" applyFont="1">
      <alignment horizontal="center"/>
    </xf>
    <xf borderId="10" fillId="2" fontId="19" numFmtId="0" xfId="0" applyAlignment="1" applyBorder="1" applyFont="1">
      <alignment horizontal="left" readingOrder="0" shrinkToFit="0" vertical="center" wrapText="1"/>
    </xf>
    <xf borderId="10" fillId="2" fontId="15" numFmtId="0" xfId="0" applyAlignment="1" applyBorder="1" applyFont="1">
      <alignment horizontal="center" vertical="bottom"/>
    </xf>
    <xf borderId="10" fillId="2" fontId="15" numFmtId="0" xfId="0" applyAlignment="1" applyBorder="1" applyFont="1">
      <alignment horizontal="center" readingOrder="0" vertical="bottom"/>
    </xf>
    <xf borderId="11" fillId="2" fontId="15" numFmtId="0" xfId="0" applyAlignment="1" applyBorder="1" applyFont="1">
      <alignment horizontal="center" vertical="bottom"/>
    </xf>
    <xf borderId="23" fillId="3" fontId="20" numFmtId="0" xfId="0" applyAlignment="1" applyBorder="1" applyFont="1">
      <alignment horizontal="center"/>
    </xf>
    <xf borderId="24" fillId="3" fontId="10" numFmtId="0" xfId="0" applyBorder="1" applyFont="1"/>
    <xf borderId="24" fillId="3" fontId="20" numFmtId="0" xfId="0" applyAlignment="1" applyBorder="1" applyFont="1">
      <alignment horizontal="center"/>
    </xf>
    <xf borderId="25" fillId="3" fontId="20" numFmtId="0" xfId="0" applyAlignment="1" applyBorder="1" applyFont="1">
      <alignment horizontal="center"/>
    </xf>
    <xf borderId="26" fillId="2" fontId="1"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27" fillId="2" fontId="1" numFmtId="9" xfId="0" applyAlignment="1" applyBorder="1" applyFont="1" applyNumberFormat="1">
      <alignment horizontal="center"/>
    </xf>
    <xf borderId="26" fillId="2" fontId="1" numFmtId="0" xfId="0" applyBorder="1" applyFont="1"/>
    <xf borderId="4" fillId="2" fontId="21" numFmtId="2" xfId="0" applyAlignment="1" applyBorder="1" applyFont="1" applyNumberFormat="1">
      <alignment horizontal="right" shrinkToFit="0" wrapText="1"/>
    </xf>
    <xf borderId="27" fillId="2" fontId="22" numFmtId="0" xfId="0" applyAlignment="1" applyBorder="1" applyFont="1">
      <alignment horizontal="center" shrinkToFit="0" wrapText="1"/>
    </xf>
    <xf borderId="28" fillId="2" fontId="1" numFmtId="0" xfId="0" applyBorder="1" applyFont="1"/>
    <xf borderId="29" fillId="2" fontId="5" numFmtId="0" xfId="0" applyAlignment="1" applyBorder="1" applyFont="1">
      <alignment horizontal="left"/>
    </xf>
    <xf borderId="29" fillId="2" fontId="1" numFmtId="0" xfId="0" applyBorder="1" applyFont="1"/>
    <xf borderId="29" fillId="2" fontId="21" numFmtId="2" xfId="0" applyAlignment="1" applyBorder="1" applyFont="1" applyNumberFormat="1">
      <alignment horizontal="right" shrinkToFit="0" wrapText="1"/>
    </xf>
    <xf borderId="30" fillId="2" fontId="22" numFmtId="0" xfId="0" applyAlignment="1" applyBorder="1" applyFont="1">
      <alignment horizontal="center" shrinkToFit="0" wrapText="1"/>
    </xf>
    <xf borderId="0" fillId="0" fontId="23" numFmtId="0" xfId="0" applyAlignment="1" applyFont="1">
      <alignment shrinkToFit="0" vertical="bottom" wrapText="1"/>
    </xf>
    <xf borderId="0" fillId="2" fontId="1" numFmtId="0" xfId="0" applyAlignment="1" applyFont="1">
      <alignment shrinkToFit="0" wrapText="1"/>
    </xf>
    <xf borderId="5" fillId="0" fontId="24" numFmtId="0" xfId="0" applyAlignment="1" applyBorder="1" applyFont="1">
      <alignment readingOrder="0" shrinkToFit="0" vertical="bottom" wrapText="1"/>
    </xf>
    <xf borderId="1" fillId="0" fontId="24" numFmtId="0" xfId="0" applyAlignment="1" applyBorder="1" applyFont="1">
      <alignment horizontal="left" readingOrder="0" shrinkToFit="0" wrapText="1"/>
    </xf>
    <xf borderId="31" fillId="0" fontId="4" numFmtId="0" xfId="0" applyBorder="1" applyFont="1"/>
    <xf borderId="4" fillId="2" fontId="22" numFmtId="0" xfId="0" applyAlignment="1" applyBorder="1" applyFont="1">
      <alignment shrinkToFit="0" wrapText="1"/>
    </xf>
    <xf borderId="0" fillId="2" fontId="22" numFmtId="0" xfId="0" applyAlignment="1" applyFont="1">
      <alignment shrinkToFit="0" wrapText="1"/>
    </xf>
    <xf borderId="5" fillId="0" fontId="24" numFmtId="0" xfId="0" applyAlignment="1" applyBorder="1" applyFont="1">
      <alignment horizontal="center" readingOrder="0" shrinkToFit="0" wrapText="1"/>
    </xf>
    <xf borderId="5" fillId="0" fontId="24" numFmtId="0" xfId="0" applyAlignment="1" applyBorder="1" applyFont="1">
      <alignment horizontal="left" readingOrder="0" shrinkToFit="0" wrapText="1"/>
    </xf>
    <xf borderId="5" fillId="5" fontId="25" numFmtId="0" xfId="0" applyAlignment="1" applyBorder="1" applyFill="1" applyFont="1">
      <alignment horizontal="center" readingOrder="0" shrinkToFit="0" wrapText="1"/>
    </xf>
    <xf borderId="4" fillId="2" fontId="14" numFmtId="0" xfId="0" applyAlignment="1" applyBorder="1" applyFont="1">
      <alignment horizontal="center" shrinkToFit="0" vertical="center" wrapText="1"/>
    </xf>
    <xf borderId="1" fillId="6" fontId="24" numFmtId="0" xfId="0" applyAlignment="1" applyBorder="1" applyFill="1" applyFont="1">
      <alignment horizontal="left" readingOrder="0" shrinkToFit="0" wrapText="1"/>
    </xf>
    <xf borderId="14" fillId="2" fontId="14" numFmtId="0" xfId="0" applyAlignment="1" applyBorder="1" applyFont="1">
      <alignment horizontal="left" shrinkToFit="0" vertical="center" wrapText="1"/>
    </xf>
    <xf borderId="5" fillId="0" fontId="26" numFmtId="0" xfId="0" applyAlignment="1" applyBorder="1" applyFont="1">
      <alignment horizontal="left" readingOrder="0" shrinkToFit="0" vertical="top" wrapText="1"/>
    </xf>
    <xf borderId="5" fillId="0" fontId="26" numFmtId="164" xfId="0" applyAlignment="1" applyBorder="1" applyFont="1" applyNumberFormat="1">
      <alignment horizontal="left" readingOrder="0" shrinkToFit="0" vertical="top" wrapText="1"/>
    </xf>
    <xf borderId="5" fillId="0" fontId="26" numFmtId="166" xfId="0" applyAlignment="1" applyBorder="1" applyFont="1" applyNumberFormat="1">
      <alignment horizontal="left" shrinkToFit="0" vertical="top" wrapText="1"/>
    </xf>
    <xf borderId="4" fillId="2" fontId="14" numFmtId="0" xfId="0" applyAlignment="1" applyBorder="1" applyFont="1">
      <alignment horizontal="left" shrinkToFit="0" vertical="center" wrapText="1"/>
    </xf>
    <xf borderId="5" fillId="0" fontId="26" numFmtId="0" xfId="0" applyAlignment="1" applyBorder="1" applyFont="1">
      <alignment horizontal="left" shrinkToFit="0" vertical="top" wrapText="1"/>
    </xf>
    <xf borderId="4" fillId="2" fontId="27" numFmtId="0" xfId="0" applyAlignment="1" applyBorder="1" applyFont="1">
      <alignment shrinkToFit="0" vertical="top" wrapText="1"/>
    </xf>
    <xf borderId="4" fillId="2" fontId="22" numFmtId="0" xfId="0" applyAlignment="1" applyBorder="1" applyFont="1">
      <alignment shrinkToFit="0" vertical="top" wrapText="1"/>
    </xf>
    <xf borderId="5" fillId="0" fontId="26" numFmtId="0" xfId="0" applyAlignment="1" applyBorder="1" applyFont="1">
      <alignment horizontal="left" shrinkToFit="0" vertical="top" wrapText="1"/>
    </xf>
    <xf borderId="14" fillId="2" fontId="27" numFmtId="0" xfId="0" applyAlignment="1" applyBorder="1" applyFont="1">
      <alignment shrinkToFit="0" vertical="top" wrapText="1"/>
    </xf>
    <xf borderId="4" fillId="2" fontId="27" numFmtId="0" xfId="0" applyAlignment="1" applyBorder="1" applyFont="1">
      <alignment shrinkToFit="0" wrapText="1"/>
    </xf>
    <xf borderId="14" fillId="2" fontId="27" numFmtId="0" xfId="0" applyAlignment="1" applyBorder="1" applyFont="1">
      <alignment shrinkToFit="0" wrapText="1"/>
    </xf>
    <xf borderId="5" fillId="0" fontId="26" numFmtId="0" xfId="0" applyAlignment="1" applyBorder="1" applyFont="1">
      <alignment horizontal="left" shrinkToFit="0" vertical="top" wrapText="1"/>
    </xf>
    <xf borderId="0" fillId="0" fontId="28" numFmtId="0" xfId="0" applyAlignment="1" applyFont="1">
      <alignment shrinkToFit="0" wrapText="1"/>
    </xf>
    <xf borderId="0" fillId="0" fontId="23" numFmtId="0" xfId="0" applyAlignment="1" applyFont="1">
      <alignment shrinkToFit="0" vertical="bottom" wrapText="1"/>
    </xf>
    <xf borderId="32" fillId="0" fontId="24" numFmtId="0" xfId="0" applyAlignment="1" applyBorder="1" applyFont="1">
      <alignment horizontal="left" readingOrder="0" shrinkToFit="0" wrapText="1"/>
    </xf>
    <xf borderId="33" fillId="0" fontId="4" numFmtId="0" xfId="0" applyBorder="1" applyFont="1"/>
    <xf borderId="34" fillId="0" fontId="4" numFmtId="0" xfId="0" applyBorder="1" applyFont="1"/>
    <xf borderId="0" fillId="2" fontId="1" numFmtId="0" xfId="0" applyFont="1"/>
    <xf borderId="0" fillId="0" fontId="23" numFmtId="0" xfId="0" applyAlignment="1" applyFont="1">
      <alignment shrinkToFit="0" vertical="bottom" wrapText="1"/>
    </xf>
    <xf borderId="0" fillId="0" fontId="23" numFmtId="164" xfId="0" applyAlignment="1" applyFont="1" applyNumberFormat="1">
      <alignment shrinkToFit="0" vertical="bottom" wrapText="1"/>
    </xf>
    <xf borderId="4" fillId="2" fontId="27" numFmtId="0" xfId="0" applyBorder="1" applyFont="1"/>
    <xf borderId="4" fillId="2" fontId="22" numFmtId="0" xfId="0" applyBorder="1" applyFont="1"/>
    <xf borderId="0" fillId="2" fontId="22" numFmtId="0" xfId="0" applyFont="1"/>
    <xf borderId="5" fillId="0" fontId="29" numFmtId="0" xfId="0" applyAlignment="1" applyBorder="1" applyFont="1">
      <alignment readingOrder="0" shrinkToFit="0" vertical="top" wrapText="1"/>
    </xf>
    <xf borderId="5" fillId="0" fontId="29" numFmtId="0" xfId="0" applyAlignment="1" applyBorder="1" applyFont="1">
      <alignment shrinkToFit="0" vertical="top" wrapText="1"/>
    </xf>
    <xf borderId="5" fillId="0" fontId="29" numFmtId="164" xfId="0" applyAlignment="1" applyBorder="1" applyFont="1" applyNumberFormat="1">
      <alignment shrinkToFit="0" vertical="top" wrapText="1"/>
    </xf>
    <xf borderId="5" fillId="0" fontId="12" numFmtId="0" xfId="0" applyAlignment="1" applyBorder="1" applyFont="1">
      <alignment vertical="top"/>
    </xf>
    <xf borderId="5" fillId="0" fontId="29" numFmtId="164" xfId="0" applyAlignment="1" applyBorder="1" applyFont="1" applyNumberFormat="1">
      <alignment horizontal="right" shrinkToFit="0" vertical="top" wrapText="1"/>
    </xf>
    <xf borderId="5" fillId="0" fontId="12" numFmtId="0" xfId="0" applyAlignment="1" applyBorder="1" applyFont="1">
      <alignment vertical="top"/>
    </xf>
    <xf borderId="32" fillId="6" fontId="24" numFmtId="0" xfId="0" applyAlignment="1" applyBorder="1" applyFont="1">
      <alignment horizontal="left" readingOrder="0" shrinkToFit="0" wrapText="1"/>
    </xf>
    <xf borderId="5" fillId="0" fontId="12" numFmtId="0" xfId="0" applyAlignment="1" applyBorder="1" applyFont="1">
      <alignment vertical="top"/>
    </xf>
    <xf borderId="4" fillId="2" fontId="12" numFmtId="0" xfId="0" applyAlignment="1" applyBorder="1" applyFont="1">
      <alignment vertical="bottom"/>
    </xf>
    <xf borderId="0" fillId="2" fontId="12" numFmtId="0" xfId="0" applyAlignment="1" applyFont="1">
      <alignment vertical="bottom"/>
    </xf>
    <xf borderId="4" fillId="2" fontId="1" numFmtId="0" xfId="0" applyAlignment="1" applyBorder="1" applyFont="1">
      <alignment horizontal="center" shrinkToFit="0" wrapText="1"/>
    </xf>
    <xf borderId="4" fillId="2" fontId="27" numFmtId="0" xfId="0" applyAlignment="1" applyBorder="1" applyFont="1">
      <alignment horizontal="center" shrinkToFit="0" wrapText="1"/>
    </xf>
    <xf borderId="14" fillId="2" fontId="22" numFmtId="0" xfId="0" applyAlignment="1" applyBorder="1" applyFont="1">
      <alignment shrinkToFit="0" wrapText="1"/>
    </xf>
    <xf borderId="3" fillId="0" fontId="29" numFmtId="0" xfId="0" applyAlignment="1" applyBorder="1" applyFont="1">
      <alignment readingOrder="0" shrinkToFit="0" vertical="top" wrapText="1"/>
    </xf>
    <xf borderId="3" fillId="0" fontId="12" numFmtId="0" xfId="0" applyAlignment="1" applyBorder="1" applyFont="1">
      <alignment vertical="top"/>
    </xf>
    <xf borderId="35" fillId="0" fontId="26" numFmtId="0" xfId="0" applyAlignment="1" applyBorder="1" applyFont="1">
      <alignment horizontal="left" shrinkToFit="0" vertical="top" wrapText="1"/>
    </xf>
    <xf borderId="35" fillId="0" fontId="12" numFmtId="0" xfId="0" applyAlignment="1" applyBorder="1" applyFont="1">
      <alignment vertical="top"/>
    </xf>
    <xf borderId="5" fillId="0" fontId="26" numFmtId="0" xfId="0" applyAlignment="1" applyBorder="1" applyFont="1">
      <alignment horizontal="left" readingOrder="0" vertical="top"/>
    </xf>
    <xf borderId="5" fillId="0" fontId="24" numFmtId="0" xfId="0" applyAlignment="1" applyBorder="1" applyFont="1">
      <alignment readingOrder="0" shrinkToFit="0" vertical="bottom" wrapText="0"/>
    </xf>
    <xf borderId="1" fillId="0" fontId="24" numFmtId="0" xfId="0" applyAlignment="1" applyBorder="1" applyFont="1">
      <alignment horizontal="left" readingOrder="0"/>
    </xf>
    <xf borderId="5" fillId="0" fontId="24" numFmtId="0" xfId="0" applyAlignment="1" applyBorder="1" applyFont="1">
      <alignment horizontal="center"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styles" Type="http://schemas.openxmlformats.org/officeDocument/2006/relationships/styles" Target="styles.xml"/><Relationship Id="theme" Type="http://schemas.openxmlformats.org/officeDocument/2006/relationships/theme" Target="theme/theme1.xml"/><Relationship Id="sheet1" Type="http://schemas.openxmlformats.org/officeDocument/2006/relationships/worksheet" Target="worksheets/sheet1.xml"/><Relationship Id="sheet2" Type="http://schemas.openxmlformats.org/officeDocument/2006/relationships/worksheet" Target="worksheets/sheet2.xml"/><Relationship Id="sheet3" Type="http://schemas.openxmlformats.org/officeDocument/2006/relationships/worksheet" Target="worksheets/sheet3.xml"/><Relationship Id="sheet4" Type="http://schemas.openxmlformats.org/officeDocument/2006/relationships/worksheet" Target="worksheets/sheet4.xml"/><Relationship Id="sheet5" Type="http://schemas.openxmlformats.org/officeDocument/2006/relationships/worksheet" Target="worksheets/sheet5.xml"/><Relationship Id="sheet6" Type="http://schemas.openxmlformats.org/officeDocument/2006/relationships/worksheet" Target="worksheets/sheet6.xml"/><Relationship Id="sheet7" Type="http://schemas.openxmlformats.org/officeDocument/2006/relationships/worksheet" Target="worksheets/sheet7.xml"/><Relationship Id="sheet8" Type="http://schemas.openxmlformats.org/officeDocument/2006/relationships/worksheet" Target="worksheets/sheet8.xml"/><Relationship Id="sheet9" Type="http://schemas.openxmlformats.org/officeDocument/2006/relationships/worksheet" Target="worksheets/sheet9.xml"/><Relationship Id="sheet10" Type="http://schemas.openxmlformats.org/officeDocument/2006/relationships/worksheet" Target="worksheets/sheet10.xml"/><Relationship Id="sheet11" Type="http://schemas.openxmlformats.org/officeDocument/2006/relationships/worksheet" Target="worksheets/sheet11.xml"/><Relationship Id="sheet12" Type="http://schemas.openxmlformats.org/officeDocument/2006/relationships/worksheet" Target="worksheets/sheet12.xml"/><Relationship Id="sheet13" Type="http://schemas.openxmlformats.org/officeDocument/2006/relationships/worksheet" Target="worksheets/sheet13.xml"/><Relationship Id="sheet14" Type="http://schemas.openxmlformats.org/officeDocument/2006/relationships/worksheet" Target="worksheets/sheet14.xml"/><Relationship Id="sheet15" Type="http://schemas.openxmlformats.org/officeDocument/2006/relationships/worksheet" Target="worksheets/sheet15.xml"/><Relationship Id="sheet16" Type="http://schemas.openxmlformats.org/officeDocument/2006/relationships/worksheet" Target="worksheets/sheet16.xml"/><Relationship Id="sheet17" Type="http://schemas.openxmlformats.org/officeDocument/2006/relationships/worksheet" Target="worksheets/sheet1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1419225" cy="5143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topLeftCell="A1"/>
  </sheetViews>
  <sheetFormatPr customHeight="1" defaultColWidth="12.63" defaultRowHeight="15.0"/>
  <cols>
    <col customWidth="1" min="1" max="1" width="18.63"/>
    <col customWidth="1" min="2" max="2" width="10.0"/>
    <col customWidth="1" min="3" max="3" width="14.38"/>
    <col customWidth="1" min="4" max="4" width="11.5"/>
    <col customWidth="1" min="5" max="5" width="75.88"/>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tr">
        <v>INTEGRATION TEST DOCUMENT</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tr">
        <v>Project Name</v>
      </c>
      <c r="B4" s="12" t="str">
        <v>TrustCabinet</v>
      </c>
      <c r="C4" s="5"/>
      <c r="D4" s="6"/>
      <c r="E4" s="11" t="str">
        <v>Creator</v>
      </c>
      <c r="F4" s="13" t="str">
        <v>TrustCabinet Team</v>
      </c>
      <c r="G4" s="2"/>
      <c r="H4" s="2"/>
      <c r="I4" s="2"/>
      <c r="J4" s="2"/>
      <c r="K4" s="2"/>
      <c r="L4" s="2"/>
      <c r="M4" s="2"/>
      <c r="N4" s="2"/>
      <c r="O4" s="2"/>
      <c r="P4" s="2"/>
      <c r="Q4" s="2"/>
      <c r="R4" s="2"/>
      <c r="S4" s="2"/>
      <c r="T4" s="2"/>
      <c r="U4" s="2"/>
      <c r="V4" s="2"/>
      <c r="W4" s="2"/>
      <c r="X4" s="2"/>
      <c r="Y4" s="2"/>
      <c r="Z4" s="2"/>
    </row>
    <row r="5" ht="14.25" customHeight="1">
      <c r="A5" s="11" t="str">
        <v>Project Code</v>
      </c>
      <c r="B5" s="12" t="str">
        <v>SEP490-G116</v>
      </c>
      <c r="C5" s="5"/>
      <c r="D5" s="6"/>
      <c r="E5" s="11" t="str">
        <v>Issue Date</v>
      </c>
      <c r="F5" s="14" t="str">
        <v>2026-10-30</v>
      </c>
      <c r="G5" s="2"/>
      <c r="H5" s="2"/>
      <c r="I5" s="2"/>
      <c r="J5" s="2"/>
      <c r="K5" s="2"/>
      <c r="L5" s="2"/>
      <c r="M5" s="2"/>
      <c r="N5" s="2"/>
      <c r="O5" s="2"/>
      <c r="P5" s="2"/>
      <c r="Q5" s="2"/>
      <c r="R5" s="2"/>
      <c r="S5" s="2"/>
      <c r="T5" s="2"/>
      <c r="U5" s="2"/>
      <c r="V5" s="2"/>
      <c r="W5" s="2"/>
      <c r="X5" s="2"/>
      <c r="Y5" s="2"/>
      <c r="Z5" s="2"/>
    </row>
    <row r="6" ht="15.75" customHeight="1">
      <c r="A6" s="15" t="str">
        <v>Document Code</v>
      </c>
      <c r="B6" s="16" t="str">
        <f>B5&amp;"_"&amp;B2&amp;"_v"&amp;F6</f>
        <v>SEP490-G116_INTEGRATION TEST DOCUMENT_v1.1</v>
      </c>
      <c r="C6" s="5"/>
      <c r="D6" s="6"/>
      <c r="E6" s="11" t="str">
        <v>Version</v>
      </c>
      <c r="F6" s="17" t="str">
        <v>1.1</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tr">
        <v>Record of change</v>
      </c>
      <c r="B9" s="2"/>
      <c r="C9" s="2"/>
      <c r="D9" s="2"/>
      <c r="E9" s="2"/>
      <c r="F9" s="2"/>
      <c r="G9" s="2"/>
      <c r="H9" s="2"/>
      <c r="I9" s="2"/>
      <c r="J9" s="2"/>
      <c r="K9" s="2"/>
      <c r="L9" s="2"/>
      <c r="M9" s="2"/>
      <c r="N9" s="2"/>
      <c r="O9" s="2"/>
      <c r="P9" s="2"/>
      <c r="Q9" s="2"/>
      <c r="R9" s="2"/>
      <c r="S9" s="2"/>
      <c r="T9" s="2"/>
      <c r="U9" s="2"/>
      <c r="V9" s="2"/>
      <c r="W9" s="2"/>
      <c r="X9" s="2"/>
      <c r="Y9" s="2"/>
      <c r="Z9" s="2"/>
    </row>
    <row r="10" ht="12.75" customHeight="1">
      <c r="A10" s="21" t="str">
        <v>Effective Date</v>
      </c>
      <c r="B10" s="22" t="str">
        <v>Version</v>
      </c>
      <c r="C10" s="22" t="str">
        <v>Change Item</v>
      </c>
      <c r="D10" s="22" t="str">
        <v>*A,D,M</v>
      </c>
      <c r="E10" s="22" t="str">
        <v>Change description</v>
      </c>
      <c r="F10" s="23" t="str">
        <v>Reference</v>
      </c>
      <c r="G10" s="24"/>
      <c r="H10" s="24"/>
      <c r="I10" s="24"/>
      <c r="J10" s="24"/>
      <c r="K10" s="24"/>
      <c r="L10" s="24"/>
      <c r="M10" s="24"/>
      <c r="N10" s="24"/>
      <c r="O10" s="24"/>
      <c r="P10" s="24"/>
      <c r="Q10" s="24"/>
      <c r="R10" s="24"/>
      <c r="S10" s="24"/>
      <c r="T10" s="24"/>
      <c r="U10" s="24"/>
      <c r="V10" s="24"/>
      <c r="W10" s="24"/>
      <c r="X10" s="24"/>
      <c r="Y10" s="24"/>
      <c r="Z10" s="24"/>
    </row>
    <row r="11" ht="26.25" customHeight="1">
      <c r="A11" s="25" t="str">
        <v>2026-10-23</v>
      </c>
      <c r="B11" s="26" t="str">
        <v>1.0</v>
      </c>
      <c r="C11" s="27" t="str">
        <v>Report 5</v>
      </c>
      <c r="D11" s="28" t="str">
        <v>A</v>
      </c>
      <c r="E11" s="29" t="str">
        <v>Generate test documents from source</v>
      </c>
      <c r="F11" s="30"/>
      <c r="G11" s="31"/>
      <c r="H11" s="31"/>
      <c r="I11" s="31"/>
      <c r="J11" s="31"/>
      <c r="K11" s="31"/>
      <c r="L11" s="31"/>
      <c r="M11" s="31"/>
      <c r="N11" s="31"/>
      <c r="O11" s="31"/>
      <c r="P11" s="31"/>
      <c r="Q11" s="31"/>
      <c r="R11" s="31"/>
      <c r="S11" s="31"/>
      <c r="T11" s="31"/>
      <c r="U11" s="31"/>
      <c r="V11" s="31"/>
      <c r="W11" s="31"/>
      <c r="X11" s="31"/>
      <c r="Y11" s="31"/>
      <c r="Z11" s="31"/>
    </row>
    <row r="12" ht="21.75" customHeight="1">
      <c r="A12" s="32" t="str">
        <v>2026-10-30</v>
      </c>
      <c r="B12" s="26" t="str">
        <v>1.1</v>
      </c>
      <c r="C12" s="27" t="str">
        <v>Test cases</v>
      </c>
      <c r="D12" s="28" t="str">
        <v>M</v>
      </c>
      <c r="E12" s="33" t="str">
        <v>Regenerate: 1129 xUnit methods</v>
      </c>
      <c r="F12" s="34" t="str"/>
      <c r="G12" s="31"/>
      <c r="H12" s="31"/>
      <c r="I12" s="31"/>
      <c r="J12" s="31"/>
      <c r="K12" s="31"/>
      <c r="L12" s="31"/>
      <c r="M12" s="31"/>
      <c r="N12" s="31"/>
      <c r="O12" s="31"/>
      <c r="P12" s="31"/>
      <c r="Q12" s="31"/>
      <c r="R12" s="31"/>
      <c r="S12" s="31"/>
      <c r="T12" s="31"/>
      <c r="U12" s="31"/>
      <c r="V12" s="31"/>
      <c r="W12" s="31"/>
      <c r="X12" s="31"/>
      <c r="Y12" s="31"/>
      <c r="Z12" s="31"/>
    </row>
    <row r="13" ht="19.5" customHeight="1">
      <c r="A13" s="32"/>
      <c r="B13" s="26"/>
      <c r="C13" s="27"/>
      <c r="D13" s="28"/>
      <c r="E13" s="33"/>
      <c r="F13" s="34"/>
      <c r="G13" s="31"/>
      <c r="H13" s="31"/>
      <c r="I13" s="31"/>
      <c r="J13" s="31"/>
      <c r="K13" s="31"/>
      <c r="L13" s="31"/>
      <c r="M13" s="31"/>
      <c r="N13" s="31"/>
      <c r="O13" s="31"/>
      <c r="P13" s="31"/>
      <c r="Q13" s="31"/>
      <c r="R13" s="31"/>
      <c r="S13" s="31"/>
      <c r="T13" s="31"/>
      <c r="U13" s="31"/>
      <c r="V13" s="31"/>
      <c r="W13" s="31"/>
      <c r="X13" s="31"/>
      <c r="Y13" s="31"/>
      <c r="Z13" s="31"/>
    </row>
    <row r="14" ht="21.75" customHeight="1">
      <c r="A14" s="32"/>
      <c r="B14" s="26"/>
      <c r="C14" s="27"/>
      <c r="D14" s="28"/>
      <c r="E14" s="33"/>
      <c r="F14" s="34"/>
      <c r="G14" s="31"/>
      <c r="H14" s="31"/>
      <c r="I14" s="31"/>
      <c r="J14" s="31"/>
      <c r="K14" s="31"/>
      <c r="L14" s="31"/>
      <c r="M14" s="31"/>
      <c r="N14" s="31"/>
      <c r="O14" s="31"/>
      <c r="P14" s="31"/>
      <c r="Q14" s="31"/>
      <c r="R14" s="31"/>
      <c r="S14" s="31"/>
      <c r="T14" s="31"/>
      <c r="U14" s="31"/>
      <c r="V14" s="31"/>
      <c r="W14" s="31"/>
      <c r="X14" s="31"/>
      <c r="Y14" s="31"/>
      <c r="Z14" s="31"/>
    </row>
    <row r="15" ht="19.5" customHeight="1">
      <c r="A15" s="32"/>
      <c r="B15" s="26"/>
      <c r="C15" s="27"/>
      <c r="D15" s="28"/>
      <c r="E15" s="33"/>
      <c r="F15" s="34"/>
      <c r="G15" s="31"/>
      <c r="H15" s="31"/>
      <c r="I15" s="31"/>
      <c r="J15" s="31"/>
      <c r="K15" s="31"/>
      <c r="L15" s="31"/>
      <c r="M15" s="31"/>
      <c r="N15" s="31"/>
      <c r="O15" s="31"/>
      <c r="P15" s="31"/>
      <c r="Q15" s="31"/>
      <c r="R15" s="31"/>
      <c r="S15" s="31"/>
      <c r="T15" s="31"/>
      <c r="U15" s="31"/>
      <c r="V15" s="31"/>
      <c r="W15" s="31"/>
      <c r="X15" s="31"/>
      <c r="Y15" s="31"/>
      <c r="Z15" s="31"/>
    </row>
    <row r="16" ht="21.75" customHeight="1">
      <c r="A16" s="32"/>
      <c r="B16" s="26"/>
      <c r="C16" s="35"/>
      <c r="D16" s="28"/>
      <c r="E16" s="33"/>
      <c r="F16" s="34"/>
      <c r="G16" s="31"/>
      <c r="H16" s="31"/>
      <c r="I16" s="31"/>
      <c r="J16" s="31"/>
      <c r="K16" s="31"/>
      <c r="L16" s="31"/>
      <c r="M16" s="31"/>
      <c r="N16" s="31"/>
      <c r="O16" s="31"/>
      <c r="P16" s="31"/>
      <c r="Q16" s="31"/>
      <c r="R16" s="31"/>
      <c r="S16" s="31"/>
      <c r="T16" s="31"/>
      <c r="U16" s="31"/>
      <c r="V16" s="31"/>
      <c r="W16" s="31"/>
      <c r="X16" s="31"/>
      <c r="Y16" s="31"/>
      <c r="Z16" s="31"/>
    </row>
    <row r="17" ht="12.75" customHeight="1">
      <c r="A17" s="1"/>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1.38"/>
    <col customWidth="1" min="2" max="2" width="8.13"/>
    <col customWidth="1" min="3" max="3" width="38.13"/>
    <col customWidth="1" min="4" max="4" width="24.5"/>
    <col customWidth="1" min="5" max="5" width="28.13"/>
    <col customWidth="1" min="6" max="6" width="30.63"/>
    <col customWidth="1" min="7" max="26" width="9.0"/>
  </cols>
  <sheetData>
    <row r="1" ht="12.75" customHeight="1">
      <c r="A1" s="10"/>
      <c r="B1" s="36"/>
      <c r="C1" s="37"/>
      <c r="D1" s="38" t="str">
        <v>TEST CASE LIST</v>
      </c>
      <c r="E1" s="39"/>
      <c r="F1" s="37"/>
      <c r="G1" s="10"/>
      <c r="H1" s="10"/>
      <c r="I1" s="10"/>
      <c r="J1" s="10"/>
      <c r="K1" s="10"/>
      <c r="L1" s="10"/>
      <c r="M1" s="10"/>
      <c r="N1" s="10"/>
      <c r="O1" s="10"/>
      <c r="P1" s="10"/>
      <c r="Q1" s="10"/>
      <c r="R1" s="10"/>
      <c r="S1" s="10"/>
      <c r="T1" s="10"/>
      <c r="U1" s="10"/>
      <c r="V1" s="10"/>
      <c r="W1" s="10"/>
      <c r="X1" s="10"/>
      <c r="Y1" s="10"/>
      <c r="Z1" s="10"/>
    </row>
    <row r="2" ht="13.5" customHeight="1">
      <c r="A2" s="10"/>
      <c r="B2" s="36"/>
      <c r="C2" s="37"/>
      <c r="D2" s="40"/>
      <c r="E2" s="40"/>
      <c r="F2" s="41"/>
      <c r="G2" s="10"/>
      <c r="H2" s="10"/>
      <c r="I2" s="10"/>
      <c r="J2" s="10"/>
      <c r="K2" s="10"/>
      <c r="L2" s="10"/>
      <c r="M2" s="10"/>
      <c r="N2" s="10"/>
      <c r="O2" s="10"/>
      <c r="P2" s="10"/>
      <c r="Q2" s="10"/>
      <c r="R2" s="10"/>
      <c r="S2" s="10"/>
      <c r="T2" s="10"/>
      <c r="U2" s="10"/>
      <c r="V2" s="10"/>
      <c r="W2" s="10"/>
      <c r="X2" s="10"/>
      <c r="Y2" s="10"/>
      <c r="Z2" s="10"/>
    </row>
    <row r="3" ht="12.75" customHeight="1">
      <c r="A3" s="10"/>
      <c r="B3" s="42" t="str">
        <v>Project Name</v>
      </c>
      <c r="C3" s="43"/>
      <c r="D3" s="12" t="str">
        <v>TrustCabinet</v>
      </c>
      <c r="E3" s="5"/>
      <c r="F3" s="6"/>
      <c r="G3" s="44"/>
      <c r="H3" s="10"/>
      <c r="I3" s="10"/>
      <c r="J3" s="10"/>
      <c r="K3" s="10"/>
      <c r="L3" s="10"/>
      <c r="M3" s="10"/>
      <c r="N3" s="10"/>
      <c r="O3" s="10"/>
      <c r="P3" s="10"/>
      <c r="Q3" s="10"/>
      <c r="R3" s="10"/>
      <c r="S3" s="10"/>
      <c r="T3" s="10"/>
      <c r="U3" s="10"/>
      <c r="V3" s="10"/>
      <c r="W3" s="10"/>
      <c r="X3" s="10"/>
      <c r="Y3" s="10"/>
      <c r="Z3" s="10"/>
    </row>
    <row r="4" ht="12.75" customHeight="1">
      <c r="A4" s="10"/>
      <c r="B4" s="42" t="str">
        <v>Project Code</v>
      </c>
      <c r="C4" s="43"/>
      <c r="D4" s="12" t="str">
        <v>SEP490-G116</v>
      </c>
      <c r="E4" s="5"/>
      <c r="F4" s="6"/>
      <c r="G4" s="44"/>
      <c r="H4" s="10"/>
      <c r="I4" s="10"/>
      <c r="J4" s="10"/>
      <c r="K4" s="10"/>
      <c r="L4" s="10"/>
      <c r="M4" s="10"/>
      <c r="N4" s="10"/>
      <c r="O4" s="10"/>
      <c r="P4" s="10"/>
      <c r="Q4" s="10"/>
      <c r="R4" s="10"/>
      <c r="S4" s="10"/>
      <c r="T4" s="10"/>
      <c r="U4" s="10"/>
      <c r="V4" s="10"/>
      <c r="W4" s="10"/>
      <c r="X4" s="10"/>
      <c r="Y4" s="10"/>
      <c r="Z4" s="10"/>
    </row>
    <row r="5" ht="65" customHeight="1">
      <c r="A5" s="45"/>
      <c r="B5" s="46" t="str">
        <v>Test Environment Setup Description</v>
      </c>
      <c r="C5" s="6"/>
      <c r="D5" s="47" t="str">
        <v>.NET 10 / xUnit; PostgreSQL / Redis; Chrome / Edge for manual UI workflows.</v>
      </c>
      <c r="E5" s="5"/>
      <c r="F5" s="6"/>
      <c r="G5" s="48"/>
      <c r="H5" s="45"/>
      <c r="I5" s="45"/>
      <c r="J5" s="45"/>
      <c r="K5" s="45"/>
      <c r="L5" s="45"/>
      <c r="M5" s="45"/>
      <c r="N5" s="45"/>
      <c r="O5" s="45"/>
      <c r="P5" s="45"/>
      <c r="Q5" s="45"/>
      <c r="R5" s="45"/>
      <c r="S5" s="45"/>
      <c r="T5" s="45"/>
      <c r="U5" s="45"/>
      <c r="V5" s="45"/>
      <c r="W5" s="45"/>
      <c r="X5" s="45"/>
      <c r="Y5" s="45"/>
      <c r="Z5" s="45"/>
    </row>
    <row r="6" ht="12.75" customHeight="1">
      <c r="A6" s="10"/>
      <c r="B6" s="49"/>
      <c r="C6" s="10"/>
      <c r="D6" s="50"/>
      <c r="E6" s="50"/>
      <c r="F6" s="50"/>
      <c r="G6" s="10"/>
      <c r="H6" s="10"/>
      <c r="I6" s="10"/>
      <c r="J6" s="10"/>
      <c r="K6" s="10"/>
      <c r="L6" s="10"/>
      <c r="M6" s="10"/>
      <c r="N6" s="10"/>
      <c r="O6" s="10"/>
      <c r="P6" s="10"/>
      <c r="Q6" s="10"/>
      <c r="R6" s="10"/>
      <c r="S6" s="10"/>
      <c r="T6" s="10"/>
      <c r="U6" s="10"/>
      <c r="V6" s="10"/>
      <c r="W6" s="10"/>
      <c r="X6" s="10"/>
      <c r="Y6" s="10"/>
      <c r="Z6" s="10"/>
    </row>
    <row r="7" ht="12.75" customHeight="1">
      <c r="A7" s="51"/>
      <c r="B7" s="52"/>
      <c r="C7" s="53"/>
      <c r="D7" s="53"/>
      <c r="E7" s="53"/>
      <c r="F7" s="53"/>
      <c r="G7" s="51"/>
      <c r="H7" s="51"/>
      <c r="I7" s="51"/>
      <c r="J7" s="51"/>
      <c r="K7" s="51"/>
      <c r="L7" s="51"/>
      <c r="M7" s="51"/>
      <c r="N7" s="51"/>
      <c r="O7" s="51"/>
      <c r="P7" s="51"/>
      <c r="Q7" s="51"/>
      <c r="R7" s="51"/>
      <c r="S7" s="51"/>
      <c r="T7" s="51"/>
      <c r="U7" s="51"/>
      <c r="V7" s="51"/>
      <c r="W7" s="51"/>
      <c r="X7" s="51"/>
      <c r="Y7" s="51"/>
      <c r="Z7" s="51"/>
    </row>
    <row r="8" ht="21.0" customHeight="1">
      <c r="A8" s="54"/>
      <c r="B8" s="55" t="str">
        <v>No</v>
      </c>
      <c r="C8" s="56" t="str">
        <v>Function Name</v>
      </c>
      <c r="D8" s="56" t="str">
        <v>Sheet Name</v>
      </c>
      <c r="E8" s="57" t="str">
        <v>Description</v>
      </c>
      <c r="F8" s="58" t="str">
        <v>Pre-Condition</v>
      </c>
      <c r="G8" s="54"/>
      <c r="H8" s="54"/>
      <c r="I8" s="54"/>
      <c r="J8" s="54"/>
      <c r="K8" s="54"/>
      <c r="L8" s="54"/>
      <c r="M8" s="54"/>
      <c r="N8" s="54"/>
      <c r="O8" s="54"/>
      <c r="P8" s="54"/>
      <c r="Q8" s="54"/>
      <c r="R8" s="54"/>
      <c r="S8" s="54"/>
      <c r="T8" s="54"/>
      <c r="U8" s="54"/>
      <c r="V8" s="54"/>
      <c r="W8" s="54"/>
      <c r="X8" s="54"/>
      <c r="Y8" s="54"/>
      <c r="Z8" s="54"/>
    </row>
    <row r="9" ht="40" customHeight="1">
      <c r="A9" s="59"/>
      <c r="B9" s="60" t="n">
        <v>1</v>
      </c>
      <c r="C9" s="61" t="str">
        <v>Agenda</v>
      </c>
      <c r="D9" s="62" t="str">
        <v>Agenda</v>
      </c>
      <c r="E9" s="63" t="str">
        <v>7 definitions / scenarios</v>
      </c>
      <c r="F9" s="64" t="str">
        <v>See the Pre-conditions of each case.</v>
      </c>
      <c r="G9" s="44"/>
      <c r="H9" s="10"/>
      <c r="I9" s="10"/>
      <c r="J9" s="10"/>
      <c r="K9" s="10"/>
      <c r="L9" s="10"/>
      <c r="M9" s="10"/>
      <c r="N9" s="10"/>
      <c r="O9" s="10"/>
      <c r="P9" s="10"/>
      <c r="Q9" s="10"/>
      <c r="R9" s="10"/>
      <c r="S9" s="10"/>
      <c r="T9" s="10"/>
      <c r="U9" s="10"/>
      <c r="V9" s="10"/>
      <c r="W9" s="10"/>
      <c r="X9" s="10"/>
      <c r="Y9" s="10"/>
      <c r="Z9" s="10"/>
    </row>
    <row r="10" ht="40" customHeight="1">
      <c r="A10" s="59"/>
      <c r="B10" s="60" t="n">
        <v>2</v>
      </c>
      <c r="C10" s="61" t="str">
        <v>Attendance</v>
      </c>
      <c r="D10" s="62" t="str">
        <v>Attendance</v>
      </c>
      <c r="E10" s="63" t="str">
        <v>3 definitions / scenarios</v>
      </c>
      <c r="F10" s="64" t="str">
        <v>See the Pre-conditions of each case.</v>
      </c>
      <c r="G10" s="44"/>
      <c r="H10" s="10"/>
      <c r="I10" s="10"/>
      <c r="J10" s="10"/>
      <c r="K10" s="10"/>
      <c r="L10" s="10"/>
      <c r="M10" s="10"/>
      <c r="N10" s="10"/>
      <c r="O10" s="10"/>
      <c r="P10" s="10"/>
      <c r="Q10" s="10"/>
      <c r="R10" s="10"/>
      <c r="S10" s="10"/>
      <c r="T10" s="10"/>
      <c r="U10" s="10"/>
      <c r="V10" s="10"/>
      <c r="W10" s="10"/>
      <c r="X10" s="10"/>
      <c r="Y10" s="10"/>
      <c r="Z10" s="10"/>
    </row>
    <row r="11" ht="40" customHeight="1">
      <c r="A11" s="59"/>
      <c r="B11" s="60" t="n">
        <v>3</v>
      </c>
      <c r="C11" s="61" t="str">
        <v>Authentication</v>
      </c>
      <c r="D11" s="62" t="str">
        <v>Authentication</v>
      </c>
      <c r="E11" s="63" t="str">
        <v>10 definitions / scenarios</v>
      </c>
      <c r="F11" s="64" t="str">
        <v>See the Pre-conditions of each case.</v>
      </c>
      <c r="G11" s="44"/>
      <c r="H11" s="10"/>
      <c r="I11" s="10"/>
      <c r="J11" s="10"/>
      <c r="K11" s="10"/>
      <c r="L11" s="10"/>
      <c r="M11" s="10"/>
      <c r="N11" s="10"/>
      <c r="O11" s="10"/>
      <c r="P11" s="10"/>
      <c r="Q11" s="10"/>
      <c r="R11" s="10"/>
      <c r="S11" s="10"/>
      <c r="T11" s="10"/>
      <c r="U11" s="10"/>
      <c r="V11" s="10"/>
      <c r="W11" s="10"/>
      <c r="X11" s="10"/>
      <c r="Y11" s="10"/>
      <c r="Z11" s="10"/>
    </row>
    <row r="12" ht="40" customHeight="1">
      <c r="A12" s="59"/>
      <c r="B12" s="60" t="n">
        <v>4</v>
      </c>
      <c r="C12" s="61" t="str">
        <v>Calendar</v>
      </c>
      <c r="D12" s="62" t="str">
        <v>Calendar</v>
      </c>
      <c r="E12" s="63" t="str">
        <v>3 definitions / scenarios</v>
      </c>
      <c r="F12" s="64" t="str">
        <v>See the Pre-conditions of each case.</v>
      </c>
      <c r="G12" s="44"/>
      <c r="H12" s="10"/>
      <c r="I12" s="10"/>
      <c r="J12" s="10"/>
      <c r="K12" s="10"/>
      <c r="L12" s="10"/>
      <c r="M12" s="10"/>
      <c r="N12" s="10"/>
      <c r="O12" s="10"/>
      <c r="P12" s="10"/>
      <c r="Q12" s="10"/>
      <c r="R12" s="10"/>
      <c r="S12" s="10"/>
      <c r="T12" s="10"/>
      <c r="U12" s="10"/>
      <c r="V12" s="10"/>
      <c r="W12" s="10"/>
      <c r="X12" s="10"/>
      <c r="Y12" s="10"/>
      <c r="Z12" s="10"/>
    </row>
    <row r="13" ht="40" customHeight="1">
      <c r="A13" s="59"/>
      <c r="B13" s="60" t="n">
        <v>5</v>
      </c>
      <c r="C13" s="61" t="str">
        <v>Library</v>
      </c>
      <c r="D13" s="62" t="str">
        <v>Library</v>
      </c>
      <c r="E13" s="63" t="str">
        <v>4 definitions / scenarios</v>
      </c>
      <c r="F13" s="64" t="str">
        <v>See the Pre-conditions of each case.</v>
      </c>
      <c r="G13" s="44"/>
      <c r="H13" s="10"/>
      <c r="I13" s="10"/>
      <c r="J13" s="10"/>
      <c r="K13" s="10"/>
      <c r="L13" s="10"/>
      <c r="M13" s="10"/>
      <c r="N13" s="10"/>
      <c r="O13" s="10"/>
      <c r="P13" s="10"/>
      <c r="Q13" s="10"/>
      <c r="R13" s="10"/>
      <c r="S13" s="10"/>
      <c r="T13" s="10"/>
      <c r="U13" s="10"/>
      <c r="V13" s="10"/>
      <c r="W13" s="10"/>
      <c r="X13" s="10"/>
      <c r="Y13" s="10"/>
      <c r="Z13" s="10"/>
    </row>
    <row r="14" ht="40" customHeight="1">
      <c r="A14" s="59"/>
      <c r="B14" s="60" t="n">
        <v>6</v>
      </c>
      <c r="C14" s="61" t="str">
        <v>Meeting documents</v>
      </c>
      <c r="D14" s="62" t="str">
        <v>Meeting documents</v>
      </c>
      <c r="E14" s="63" t="str">
        <v>6 definitions / scenarios</v>
      </c>
      <c r="F14" s="64" t="str">
        <v>See the Pre-conditions of each case.</v>
      </c>
      <c r="G14" s="44"/>
      <c r="H14" s="10"/>
      <c r="I14" s="10"/>
      <c r="J14" s="10"/>
      <c r="K14" s="10"/>
      <c r="L14" s="10"/>
      <c r="M14" s="10"/>
      <c r="N14" s="10"/>
      <c r="O14" s="10"/>
      <c r="P14" s="10"/>
      <c r="Q14" s="10"/>
      <c r="R14" s="10"/>
      <c r="S14" s="10"/>
      <c r="T14" s="10"/>
      <c r="U14" s="10"/>
      <c r="V14" s="10"/>
      <c r="W14" s="10"/>
      <c r="X14" s="10"/>
      <c r="Y14" s="10"/>
      <c r="Z14" s="10"/>
    </row>
    <row r="15" ht="40" customHeight="1">
      <c r="A15" s="59"/>
      <c r="B15" s="60" t="n">
        <v>7</v>
      </c>
      <c r="C15" s="61" t="str">
        <v>Meeting room</v>
      </c>
      <c r="D15" s="62" t="str">
        <v>Meeting room</v>
      </c>
      <c r="E15" s="63" t="str">
        <v>4 definitions / scenarios</v>
      </c>
      <c r="F15" s="64" t="str">
        <v>See the Pre-conditions of each case.</v>
      </c>
      <c r="G15" s="44"/>
      <c r="H15" s="10"/>
      <c r="I15" s="10"/>
      <c r="J15" s="10"/>
      <c r="K15" s="10"/>
      <c r="L15" s="10"/>
      <c r="M15" s="10"/>
      <c r="N15" s="10"/>
      <c r="O15" s="10"/>
      <c r="P15" s="10"/>
      <c r="Q15" s="10"/>
      <c r="R15" s="10"/>
      <c r="S15" s="10"/>
      <c r="T15" s="10"/>
      <c r="U15" s="10"/>
      <c r="V15" s="10"/>
      <c r="W15" s="10"/>
      <c r="X15" s="10"/>
      <c r="Y15" s="10"/>
      <c r="Z15" s="10"/>
    </row>
    <row r="16" ht="40" customHeight="1">
      <c r="A16" s="59"/>
      <c r="B16" s="60" t="n">
        <v>8</v>
      </c>
      <c r="C16" s="61" t="str">
        <v>Meetings</v>
      </c>
      <c r="D16" s="62" t="str">
        <v>Meetings</v>
      </c>
      <c r="E16" s="63" t="str">
        <v>18 definitions / scenarios</v>
      </c>
      <c r="F16" s="64" t="str">
        <v>See the Pre-conditions of each case.</v>
      </c>
      <c r="G16" s="44"/>
      <c r="H16" s="10"/>
      <c r="I16" s="10"/>
      <c r="J16" s="10"/>
      <c r="K16" s="10"/>
      <c r="L16" s="10"/>
      <c r="M16" s="10"/>
      <c r="N16" s="10"/>
      <c r="O16" s="10"/>
      <c r="P16" s="10"/>
      <c r="Q16" s="10"/>
      <c r="R16" s="10"/>
      <c r="S16" s="10"/>
      <c r="T16" s="10"/>
      <c r="U16" s="10"/>
      <c r="V16" s="10"/>
      <c r="W16" s="10"/>
      <c r="X16" s="10"/>
      <c r="Y16" s="10"/>
      <c r="Z16" s="10"/>
    </row>
    <row r="17" ht="40" customHeight="1">
      <c r="A17" s="59"/>
      <c r="B17" s="60" t="n">
        <v>9</v>
      </c>
      <c r="C17" s="61" t="str">
        <v>Notifications</v>
      </c>
      <c r="D17" s="62" t="str">
        <v>Notifications</v>
      </c>
      <c r="E17" s="63" t="str">
        <v>3 definitions / scenarios</v>
      </c>
      <c r="F17" s="64" t="str">
        <v>See the Pre-conditions of each case.</v>
      </c>
      <c r="G17" s="44"/>
      <c r="H17" s="10"/>
      <c r="I17" s="10"/>
      <c r="J17" s="10"/>
      <c r="K17" s="10"/>
      <c r="L17" s="10"/>
      <c r="M17" s="10"/>
      <c r="N17" s="10"/>
      <c r="O17" s="10"/>
      <c r="P17" s="10"/>
      <c r="Q17" s="10"/>
      <c r="R17" s="10"/>
      <c r="S17" s="10"/>
      <c r="T17" s="10"/>
      <c r="U17" s="10"/>
      <c r="V17" s="10"/>
      <c r="W17" s="10"/>
      <c r="X17" s="10"/>
      <c r="Y17" s="10"/>
      <c r="Z17" s="10"/>
    </row>
    <row r="18" ht="40" customHeight="1">
      <c r="A18" s="59"/>
      <c r="B18" s="60" t="n">
        <v>10</v>
      </c>
      <c r="C18" s="61" t="str">
        <v>Participants</v>
      </c>
      <c r="D18" s="62" t="str">
        <v>Participants</v>
      </c>
      <c r="E18" s="63" t="str">
        <v>7 definitions / scenarios</v>
      </c>
      <c r="F18" s="64" t="str">
        <v>See the Pre-conditions of each case.</v>
      </c>
      <c r="G18" s="44"/>
      <c r="H18" s="10"/>
      <c r="I18" s="10"/>
      <c r="J18" s="10"/>
      <c r="K18" s="10"/>
      <c r="L18" s="10"/>
      <c r="M18" s="10"/>
      <c r="N18" s="10"/>
      <c r="O18" s="10"/>
      <c r="P18" s="10"/>
      <c r="Q18" s="10"/>
      <c r="R18" s="10"/>
      <c r="S18" s="10"/>
      <c r="T18" s="10"/>
      <c r="U18" s="10"/>
      <c r="V18" s="10"/>
      <c r="W18" s="10"/>
      <c r="X18" s="10"/>
      <c r="Y18" s="10"/>
      <c r="Z18" s="10"/>
    </row>
    <row r="19" ht="40" customHeight="1">
      <c r="A19" s="59"/>
      <c r="B19" s="60" t="n">
        <v>11</v>
      </c>
      <c r="C19" s="61" t="str">
        <v>Recordings</v>
      </c>
      <c r="D19" s="62" t="str">
        <v>Recordings</v>
      </c>
      <c r="E19" s="63" t="str">
        <v>7 definitions / scenarios</v>
      </c>
      <c r="F19" s="64" t="str">
        <v>See the Pre-conditions of each case.</v>
      </c>
      <c r="G19" s="44"/>
      <c r="H19" s="10"/>
      <c r="I19" s="10"/>
      <c r="J19" s="10"/>
      <c r="K19" s="10"/>
      <c r="L19" s="10"/>
      <c r="M19" s="10"/>
      <c r="N19" s="10"/>
      <c r="O19" s="10"/>
      <c r="P19" s="10"/>
      <c r="Q19" s="10"/>
      <c r="R19" s="10"/>
      <c r="S19" s="10"/>
      <c r="T19" s="10"/>
      <c r="U19" s="10"/>
      <c r="V19" s="10"/>
      <c r="W19" s="10"/>
      <c r="X19" s="10"/>
      <c r="Y19" s="10"/>
      <c r="Z19" s="10"/>
    </row>
    <row r="20" ht="40" customHeight="1">
      <c r="A20" s="59"/>
      <c r="B20" s="60" t="n">
        <v>12</v>
      </c>
      <c r="C20" s="61" t="str">
        <v>Roles</v>
      </c>
      <c r="D20" s="62" t="str">
        <v>Roles</v>
      </c>
      <c r="E20" s="63" t="str">
        <v>5 definitions / scenarios</v>
      </c>
      <c r="F20" s="64" t="str">
        <v>See the Pre-conditions of each case.</v>
      </c>
      <c r="G20" s="44"/>
      <c r="H20" s="10"/>
      <c r="I20" s="10"/>
      <c r="J20" s="10"/>
      <c r="K20" s="10"/>
      <c r="L20" s="10"/>
      <c r="M20" s="10"/>
      <c r="N20" s="10"/>
      <c r="O20" s="10"/>
      <c r="P20" s="10"/>
      <c r="Q20" s="10"/>
      <c r="R20" s="10"/>
      <c r="S20" s="10"/>
      <c r="T20" s="10"/>
      <c r="U20" s="10"/>
      <c r="V20" s="10"/>
      <c r="W20" s="10"/>
      <c r="X20" s="10"/>
      <c r="Y20" s="10"/>
      <c r="Z20" s="10"/>
    </row>
    <row r="21" ht="40" customHeight="1">
      <c r="A21" s="59"/>
      <c r="B21" s="60" t="n">
        <v>13</v>
      </c>
      <c r="C21" s="61" t="str">
        <v>Users</v>
      </c>
      <c r="D21" s="62" t="str">
        <v>Users</v>
      </c>
      <c r="E21" s="63" t="str">
        <v>8 definitions / scenarios</v>
      </c>
      <c r="F21" s="64" t="str">
        <v>See the Pre-conditions of each case.</v>
      </c>
      <c r="G21" s="44"/>
      <c r="H21" s="10"/>
      <c r="I21" s="10"/>
      <c r="J21" s="10"/>
      <c r="K21" s="10"/>
      <c r="L21" s="10"/>
      <c r="M21" s="10"/>
      <c r="N21" s="10"/>
      <c r="O21" s="10"/>
      <c r="P21" s="10"/>
      <c r="Q21" s="10"/>
      <c r="R21" s="10"/>
      <c r="S21" s="10"/>
      <c r="T21" s="10"/>
      <c r="U21" s="10"/>
      <c r="V21" s="10"/>
      <c r="W21" s="10"/>
      <c r="X21" s="10"/>
      <c r="Y21" s="10"/>
      <c r="Z21" s="10"/>
    </row>
    <row r="22" ht="40" customHeight="1">
      <c r="A22" s="59"/>
      <c r="B22" s="60" t="n">
        <v>14</v>
      </c>
      <c r="C22" s="61" t="str">
        <v>Voice ID</v>
      </c>
      <c r="D22" s="62" t="str">
        <v>Voice ID</v>
      </c>
      <c r="E22" s="63" t="str">
        <v>4 definitions / scenarios</v>
      </c>
      <c r="F22" s="64" t="str">
        <v>See the Pre-conditions of each case.</v>
      </c>
      <c r="G22" s="44"/>
      <c r="H22" s="10"/>
      <c r="I22" s="10"/>
      <c r="J22" s="10"/>
      <c r="K22" s="10"/>
      <c r="L22" s="10"/>
      <c r="M22" s="10"/>
      <c r="N22" s="10"/>
      <c r="O22" s="10"/>
      <c r="P22" s="10"/>
      <c r="Q22" s="10"/>
      <c r="R22" s="10"/>
      <c r="S22" s="10"/>
      <c r="T22" s="10"/>
      <c r="U22" s="10"/>
      <c r="V22" s="10"/>
      <c r="W22" s="10"/>
      <c r="X22" s="10"/>
      <c r="Y22" s="10"/>
      <c r="Z22" s="10"/>
    </row>
  </sheetData>
  <mergeCells count="6">
    <mergeCell ref="B3:C3"/>
    <mergeCell ref="D3:F3"/>
    <mergeCell ref="B4:C4"/>
    <mergeCell ref="D4:F4"/>
    <mergeCell ref="B5:C5"/>
    <mergeCell ref="D5:F5"/>
  </mergeCells>
  <hyperlinks>
    <hyperlink ref="D9" location="'Agenda'!A1" display="Agenda"/>
    <hyperlink ref="D10" location="'Attendance'!A1" display="Attendance"/>
    <hyperlink ref="D11" location="'Authentication'!A1" display="Authentication"/>
    <hyperlink ref="D12" location="'Calendar'!A1" display="Calendar"/>
    <hyperlink ref="D13" location="'Library'!A1" display="Library"/>
    <hyperlink ref="D14" location="'Meeting documents'!A1" display="Meeting documents"/>
    <hyperlink ref="D15" location="'Meeting room'!A1" display="Meeting room"/>
    <hyperlink ref="D16" location="'Meetings'!A1" display="Meetings"/>
    <hyperlink ref="D17" location="'Notifications'!A1" display="Notifications"/>
    <hyperlink ref="D18" location="'Participants'!A1" display="Participants"/>
    <hyperlink ref="D19" location="'Recordings'!A1" display="Recordings"/>
    <hyperlink ref="D20" location="'Roles'!A1" display="Roles"/>
    <hyperlink ref="D21" location="'Users'!A1" display="Users"/>
    <hyperlink ref="D22" location="'Voice ID'!A1" display="Voice ID"/>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4.5"/>
    <col customWidth="1" min="2" max="2" width="18.38"/>
    <col customWidth="1" min="3" max="3" width="19.38"/>
    <col customWidth="1" min="4" max="6" width="11.63"/>
    <col customWidth="1" min="7" max="7" width="9.0"/>
    <col customWidth="1" min="8" max="8" width="35.5"/>
    <col customWidth="1" min="9" max="26" width="9.0"/>
  </cols>
  <sheetData>
    <row r="1" ht="25.5" customHeight="1">
      <c r="A1" s="10"/>
      <c r="B1" s="68" t="str">
        <v>TEST STATISTICS</v>
      </c>
      <c r="C1" s="69"/>
      <c r="D1" s="69"/>
      <c r="E1" s="69"/>
      <c r="F1" s="69"/>
      <c r="G1" s="69"/>
      <c r="H1" s="70"/>
      <c r="I1" s="10"/>
      <c r="J1" s="10"/>
      <c r="K1" s="10"/>
      <c r="L1" s="10"/>
      <c r="M1" s="10"/>
      <c r="N1" s="10"/>
      <c r="O1" s="10"/>
      <c r="P1" s="10"/>
      <c r="Q1" s="10"/>
      <c r="R1" s="10"/>
      <c r="S1" s="10"/>
      <c r="T1" s="10"/>
      <c r="U1" s="10"/>
      <c r="V1" s="10"/>
      <c r="W1" s="10"/>
      <c r="X1" s="10"/>
      <c r="Y1" s="10"/>
      <c r="Z1" s="10"/>
    </row>
    <row r="2" ht="14.25" customHeight="1">
      <c r="A2" s="71"/>
      <c r="B2" s="71"/>
      <c r="C2" s="72"/>
      <c r="D2" s="72"/>
      <c r="E2" s="72"/>
      <c r="F2" s="72"/>
      <c r="G2" s="10"/>
      <c r="H2" s="73"/>
      <c r="I2" s="10"/>
      <c r="J2" s="10"/>
      <c r="K2" s="10"/>
      <c r="L2" s="10"/>
      <c r="M2" s="10"/>
      <c r="N2" s="10"/>
      <c r="O2" s="10"/>
      <c r="P2" s="10"/>
      <c r="Q2" s="10"/>
      <c r="R2" s="10"/>
      <c r="S2" s="10"/>
      <c r="T2" s="10"/>
      <c r="U2" s="10"/>
      <c r="V2" s="10"/>
      <c r="W2" s="10"/>
      <c r="X2" s="10"/>
      <c r="Y2" s="10"/>
      <c r="Z2" s="10"/>
    </row>
    <row r="3" ht="12.0" customHeight="1">
      <c r="A3" s="10"/>
      <c r="B3" s="74" t="str">
        <v>Project Name</v>
      </c>
      <c r="C3" s="12" t="str">
        <v>TrustCabinet</v>
      </c>
      <c r="D3" s="5"/>
      <c r="E3" s="5"/>
      <c r="F3" s="5"/>
      <c r="G3" s="5"/>
      <c r="H3" s="6"/>
      <c r="I3" s="10"/>
      <c r="J3" s="10"/>
      <c r="K3" s="10"/>
      <c r="L3" s="10"/>
      <c r="M3" s="10"/>
      <c r="N3" s="10"/>
      <c r="O3" s="10"/>
      <c r="P3" s="10"/>
      <c r="Q3" s="10"/>
      <c r="R3" s="10"/>
      <c r="S3" s="10"/>
      <c r="T3" s="10"/>
      <c r="U3" s="10"/>
      <c r="V3" s="10"/>
      <c r="W3" s="10"/>
      <c r="X3" s="10"/>
      <c r="Y3" s="10"/>
      <c r="Z3" s="10"/>
    </row>
    <row r="4" ht="12.0" customHeight="1">
      <c r="A4" s="10"/>
      <c r="B4" s="74" t="str">
        <v>Project Code</v>
      </c>
      <c r="C4" s="12" t="str">
        <v>SEP490-G116</v>
      </c>
      <c r="D4" s="5"/>
      <c r="E4" s="5"/>
      <c r="F4" s="5"/>
      <c r="G4" s="5"/>
      <c r="H4" s="6"/>
      <c r="I4" s="10"/>
      <c r="J4" s="10"/>
      <c r="K4" s="10"/>
      <c r="L4" s="10"/>
      <c r="M4" s="10"/>
      <c r="N4" s="10"/>
      <c r="O4" s="10"/>
      <c r="P4" s="10"/>
      <c r="Q4" s="10"/>
      <c r="R4" s="10"/>
      <c r="S4" s="10"/>
      <c r="T4" s="10"/>
      <c r="U4" s="10"/>
      <c r="V4" s="10"/>
      <c r="W4" s="10"/>
      <c r="X4" s="10"/>
      <c r="Y4" s="10"/>
      <c r="Z4" s="10"/>
    </row>
    <row r="5" ht="12.0" customHeight="1">
      <c r="A5" s="10"/>
      <c r="B5" s="75" t="str">
        <v>Document Code</v>
      </c>
      <c r="C5" s="76" t="str">
        <v>SEP490-G116_Test_Report_v1</v>
      </c>
      <c r="D5" s="6"/>
      <c r="E5" s="77" t="str">
        <v>Issue Date</v>
      </c>
      <c r="F5" s="6"/>
      <c r="G5" s="78" t="str">
        <v>2026-10-30</v>
      </c>
      <c r="H5" s="6"/>
      <c r="I5" s="10"/>
      <c r="J5" s="10"/>
      <c r="K5" s="10"/>
      <c r="L5" s="10"/>
      <c r="M5" s="10"/>
      <c r="N5" s="10"/>
      <c r="O5" s="10"/>
      <c r="P5" s="10"/>
      <c r="Q5" s="10"/>
      <c r="R5" s="10"/>
      <c r="S5" s="10"/>
      <c r="T5" s="10"/>
      <c r="U5" s="10"/>
      <c r="V5" s="10"/>
      <c r="W5" s="10"/>
      <c r="X5" s="10"/>
      <c r="Y5" s="10"/>
      <c r="Z5" s="10"/>
    </row>
    <row r="6" ht="21.75" customHeight="1">
      <c r="A6" s="71"/>
      <c r="B6" s="75" t="str">
        <v>Notes</v>
      </c>
      <c r="C6" s="79" t="str"/>
      <c r="D6" s="5"/>
      <c r="E6" s="5"/>
      <c r="F6" s="5"/>
      <c r="G6" s="5"/>
      <c r="H6" s="6"/>
      <c r="I6" s="10"/>
      <c r="J6" s="10"/>
      <c r="K6" s="10"/>
      <c r="L6" s="10"/>
      <c r="M6" s="10"/>
      <c r="N6" s="10"/>
      <c r="O6" s="10"/>
      <c r="P6" s="10"/>
      <c r="Q6" s="10"/>
      <c r="R6" s="10"/>
      <c r="S6" s="10"/>
      <c r="T6" s="10"/>
      <c r="U6" s="10"/>
      <c r="V6" s="10"/>
      <c r="W6" s="10"/>
      <c r="X6" s="10"/>
      <c r="Y6" s="10"/>
      <c r="Z6" s="10"/>
    </row>
    <row r="7" ht="14.25" customHeight="1">
      <c r="A7" s="71"/>
      <c r="B7" s="80"/>
      <c r="C7" s="81"/>
      <c r="D7" s="10"/>
      <c r="E7" s="10"/>
      <c r="F7" s="10"/>
      <c r="G7" s="10"/>
      <c r="H7" s="73"/>
      <c r="I7" s="10"/>
      <c r="J7" s="10"/>
      <c r="K7" s="10"/>
      <c r="L7" s="10"/>
      <c r="M7" s="10"/>
      <c r="N7" s="10"/>
      <c r="O7" s="10"/>
      <c r="P7" s="10"/>
      <c r="Q7" s="10"/>
      <c r="R7" s="10"/>
      <c r="S7" s="10"/>
      <c r="T7" s="10"/>
      <c r="U7" s="10"/>
      <c r="V7" s="10"/>
      <c r="W7" s="10"/>
      <c r="X7" s="10"/>
      <c r="Y7" s="10"/>
      <c r="Z7" s="10"/>
    </row>
    <row r="8" ht="12.75" customHeight="1">
      <c r="A8" s="10"/>
      <c r="B8" s="80"/>
      <c r="C8" s="81"/>
      <c r="D8" s="10"/>
      <c r="E8" s="10"/>
      <c r="F8" s="10"/>
      <c r="G8" s="10"/>
      <c r="H8" s="73"/>
      <c r="I8" s="10"/>
      <c r="J8" s="10"/>
      <c r="K8" s="10"/>
      <c r="L8" s="10"/>
      <c r="M8" s="10"/>
      <c r="N8" s="10"/>
      <c r="O8" s="10"/>
      <c r="P8" s="10"/>
      <c r="Q8" s="10"/>
      <c r="R8" s="10"/>
      <c r="S8" s="10"/>
      <c r="T8" s="10"/>
      <c r="U8" s="10"/>
      <c r="V8" s="10"/>
      <c r="W8" s="10"/>
      <c r="X8" s="10"/>
      <c r="Y8" s="10"/>
      <c r="Z8" s="10"/>
    </row>
    <row r="9" ht="12.75" customHeight="1">
      <c r="A9" s="10"/>
      <c r="B9" s="72"/>
      <c r="C9" s="72"/>
      <c r="D9" s="72"/>
      <c r="E9" s="72"/>
      <c r="F9" s="72"/>
      <c r="G9" s="72"/>
      <c r="H9" s="72"/>
      <c r="I9" s="10"/>
      <c r="J9" s="10"/>
      <c r="K9" s="10"/>
      <c r="L9" s="10"/>
      <c r="M9" s="10"/>
      <c r="N9" s="10"/>
      <c r="O9" s="10"/>
      <c r="P9" s="10"/>
      <c r="Q9" s="10"/>
      <c r="R9" s="10"/>
      <c r="S9" s="10"/>
      <c r="T9" s="10"/>
      <c r="U9" s="10"/>
      <c r="V9" s="10"/>
      <c r="W9" s="10"/>
      <c r="X9" s="10"/>
      <c r="Y9" s="10"/>
      <c r="Z9" s="10"/>
    </row>
    <row r="10" ht="12.75" customHeight="1">
      <c r="A10" s="59"/>
      <c r="B10" s="82" t="str">
        <v>No</v>
      </c>
      <c r="C10" s="83" t="str">
        <v>Module code</v>
      </c>
      <c r="D10" s="84" t="str">
        <v>Passed</v>
      </c>
      <c r="E10" s="83" t="str">
        <v>Failed</v>
      </c>
      <c r="F10" s="83" t="str">
        <v>Pending</v>
      </c>
      <c r="G10" s="85" t="str">
        <v>N/A</v>
      </c>
      <c r="H10" s="86" t="str">
        <v>Number of  test cases</v>
      </c>
      <c r="I10" s="44"/>
      <c r="J10" s="10"/>
      <c r="K10" s="10"/>
      <c r="L10" s="10"/>
      <c r="M10" s="10"/>
      <c r="N10" s="10"/>
      <c r="O10" s="10"/>
      <c r="P10" s="10"/>
      <c r="Q10" s="10"/>
      <c r="R10" s="10"/>
      <c r="S10" s="10"/>
      <c r="T10" s="10"/>
      <c r="U10" s="10"/>
      <c r="V10" s="10"/>
      <c r="W10" s="10"/>
      <c r="X10" s="10"/>
      <c r="Y10" s="10"/>
      <c r="Z10" s="10"/>
    </row>
    <row r="11" ht="45" customHeight="1">
      <c r="A11" s="59"/>
      <c r="B11" s="87" t="n">
        <v>1</v>
      </c>
      <c r="C11" s="88" t="str">
        <v>Agenda</v>
      </c>
      <c r="D11" s="89" t="n">
        <f>'Agenda'!B6</f>
        <v>0</v>
      </c>
      <c r="E11" s="90" t="n">
        <f>'Agenda'!C6</f>
        <v>0</v>
      </c>
      <c r="F11" s="89" t="n">
        <f>'Agenda'!D6</f>
        <v>7</v>
      </c>
      <c r="G11" s="89" t="n">
        <f>'Agenda'!E6</f>
        <v>0</v>
      </c>
      <c r="H11" s="91" t="n">
        <f>'Agenda'!B4</f>
        <v>7</v>
      </c>
      <c r="I11" s="44"/>
      <c r="J11" s="10"/>
      <c r="K11" s="10"/>
      <c r="L11" s="10"/>
      <c r="M11" s="10"/>
      <c r="N11" s="10"/>
      <c r="O11" s="10"/>
      <c r="P11" s="10"/>
      <c r="Q11" s="10"/>
      <c r="R11" s="10"/>
      <c r="S11" s="10"/>
      <c r="T11" s="10"/>
      <c r="U11" s="10"/>
      <c r="V11" s="10"/>
      <c r="W11" s="10"/>
      <c r="X11" s="10"/>
      <c r="Y11" s="10"/>
      <c r="Z11" s="10"/>
    </row>
    <row r="12" ht="45" customHeight="1">
      <c r="A12" s="59"/>
      <c r="B12" s="87" t="n">
        <v>2</v>
      </c>
      <c r="C12" s="88" t="str">
        <v>Attendance</v>
      </c>
      <c r="D12" s="89" t="n">
        <f>'Attendance'!B6</f>
        <v>0</v>
      </c>
      <c r="E12" s="90" t="n">
        <f>'Attendance'!C6</f>
        <v>0</v>
      </c>
      <c r="F12" s="89" t="n">
        <f>'Attendance'!D6</f>
        <v>3</v>
      </c>
      <c r="G12" s="89" t="n">
        <f>'Attendance'!E6</f>
        <v>0</v>
      </c>
      <c r="H12" s="91" t="n">
        <f>'Attendance'!B4</f>
        <v>3</v>
      </c>
      <c r="I12" s="44"/>
      <c r="J12" s="10"/>
      <c r="K12" s="10"/>
      <c r="L12" s="10"/>
      <c r="M12" s="10"/>
      <c r="N12" s="10"/>
      <c r="O12" s="10"/>
      <c r="P12" s="10"/>
      <c r="Q12" s="10"/>
      <c r="R12" s="10"/>
      <c r="S12" s="10"/>
      <c r="T12" s="10"/>
      <c r="U12" s="10"/>
      <c r="V12" s="10"/>
      <c r="W12" s="10"/>
      <c r="X12" s="10"/>
      <c r="Y12" s="10"/>
      <c r="Z12" s="10"/>
    </row>
    <row r="13" ht="45" customHeight="1">
      <c r="A13" s="59"/>
      <c r="B13" s="87" t="n">
        <v>3</v>
      </c>
      <c r="C13" s="88" t="str">
        <v>Authentication</v>
      </c>
      <c r="D13" s="89" t="n">
        <f>'Authentication'!B6</f>
        <v>0</v>
      </c>
      <c r="E13" s="90" t="n">
        <f>'Authentication'!C6</f>
        <v>0</v>
      </c>
      <c r="F13" s="89" t="n">
        <f>'Authentication'!D6</f>
        <v>10</v>
      </c>
      <c r="G13" s="89" t="n">
        <f>'Authentication'!E6</f>
        <v>0</v>
      </c>
      <c r="H13" s="91" t="n">
        <f>'Authentication'!B4</f>
        <v>10</v>
      </c>
      <c r="I13" s="44"/>
      <c r="J13" s="10"/>
      <c r="K13" s="10"/>
      <c r="L13" s="10"/>
      <c r="M13" s="10"/>
      <c r="N13" s="10"/>
      <c r="O13" s="10"/>
      <c r="P13" s="10"/>
      <c r="Q13" s="10"/>
      <c r="R13" s="10"/>
      <c r="S13" s="10"/>
      <c r="T13" s="10"/>
      <c r="U13" s="10"/>
      <c r="V13" s="10"/>
      <c r="W13" s="10"/>
      <c r="X13" s="10"/>
      <c r="Y13" s="10"/>
      <c r="Z13" s="10"/>
    </row>
    <row r="14" ht="45" customHeight="1">
      <c r="A14" s="59"/>
      <c r="B14" s="87" t="n">
        <v>4</v>
      </c>
      <c r="C14" s="88" t="str">
        <v>Calendar</v>
      </c>
      <c r="D14" s="89" t="n">
        <f>'Calendar'!B6</f>
        <v>0</v>
      </c>
      <c r="E14" s="90" t="n">
        <f>'Calendar'!C6</f>
        <v>0</v>
      </c>
      <c r="F14" s="89" t="n">
        <f>'Calendar'!D6</f>
        <v>3</v>
      </c>
      <c r="G14" s="89" t="n">
        <f>'Calendar'!E6</f>
        <v>0</v>
      </c>
      <c r="H14" s="91" t="n">
        <f>'Calendar'!B4</f>
        <v>3</v>
      </c>
      <c r="I14" s="44"/>
      <c r="J14" s="10"/>
      <c r="K14" s="10"/>
      <c r="L14" s="10"/>
      <c r="M14" s="10"/>
      <c r="N14" s="10"/>
      <c r="O14" s="10"/>
      <c r="P14" s="10"/>
      <c r="Q14" s="10"/>
      <c r="R14" s="10"/>
      <c r="S14" s="10"/>
      <c r="T14" s="10"/>
      <c r="U14" s="10"/>
      <c r="V14" s="10"/>
      <c r="W14" s="10"/>
      <c r="X14" s="10"/>
      <c r="Y14" s="10"/>
      <c r="Z14" s="10"/>
    </row>
    <row r="15" ht="45" customHeight="1">
      <c r="A15" s="59"/>
      <c r="B15" s="87" t="n">
        <v>5</v>
      </c>
      <c r="C15" s="88" t="str">
        <v>Library</v>
      </c>
      <c r="D15" s="89" t="n">
        <f>'Library'!B6</f>
        <v>0</v>
      </c>
      <c r="E15" s="90" t="n">
        <f>'Library'!C6</f>
        <v>0</v>
      </c>
      <c r="F15" s="89" t="n">
        <f>'Library'!D6</f>
        <v>4</v>
      </c>
      <c r="G15" s="89" t="n">
        <f>'Library'!E6</f>
        <v>0</v>
      </c>
      <c r="H15" s="91" t="n">
        <f>'Library'!B4</f>
        <v>4</v>
      </c>
      <c r="I15" s="44"/>
      <c r="J15" s="10"/>
      <c r="K15" s="10"/>
      <c r="L15" s="10"/>
      <c r="M15" s="10"/>
      <c r="N15" s="10"/>
      <c r="O15" s="10"/>
      <c r="P15" s="10"/>
      <c r="Q15" s="10"/>
      <c r="R15" s="10"/>
      <c r="S15" s="10"/>
      <c r="T15" s="10"/>
      <c r="U15" s="10"/>
      <c r="V15" s="10"/>
      <c r="W15" s="10"/>
      <c r="X15" s="10"/>
      <c r="Y15" s="10"/>
      <c r="Z15" s="10"/>
    </row>
    <row r="16" ht="45" customHeight="1">
      <c r="A16" s="59"/>
      <c r="B16" s="87" t="n">
        <v>6</v>
      </c>
      <c r="C16" s="88" t="str">
        <v>Meeting documents</v>
      </c>
      <c r="D16" s="89" t="n">
        <f>'Meeting documents'!B6</f>
        <v>0</v>
      </c>
      <c r="E16" s="90" t="n">
        <f>'Meeting documents'!C6</f>
        <v>0</v>
      </c>
      <c r="F16" s="89" t="n">
        <f>'Meeting documents'!D6</f>
        <v>6</v>
      </c>
      <c r="G16" s="89" t="n">
        <f>'Meeting documents'!E6</f>
        <v>0</v>
      </c>
      <c r="H16" s="91" t="n">
        <f>'Meeting documents'!B4</f>
        <v>6</v>
      </c>
      <c r="I16" s="44"/>
      <c r="J16" s="10"/>
      <c r="K16" s="10"/>
      <c r="L16" s="10"/>
      <c r="M16" s="10"/>
      <c r="N16" s="10"/>
      <c r="O16" s="10"/>
      <c r="P16" s="10"/>
      <c r="Q16" s="10"/>
      <c r="R16" s="10"/>
      <c r="S16" s="10"/>
      <c r="T16" s="10"/>
      <c r="U16" s="10"/>
      <c r="V16" s="10"/>
      <c r="W16" s="10"/>
      <c r="X16" s="10"/>
      <c r="Y16" s="10"/>
      <c r="Z16" s="10"/>
    </row>
    <row r="17" ht="45" customHeight="1">
      <c r="A17" s="59"/>
      <c r="B17" s="87" t="n">
        <v>7</v>
      </c>
      <c r="C17" s="88" t="str">
        <v>Meeting room</v>
      </c>
      <c r="D17" s="89" t="n">
        <f>'Meeting room'!B6</f>
        <v>0</v>
      </c>
      <c r="E17" s="90" t="n">
        <f>'Meeting room'!C6</f>
        <v>0</v>
      </c>
      <c r="F17" s="89" t="n">
        <f>'Meeting room'!D6</f>
        <v>4</v>
      </c>
      <c r="G17" s="89" t="n">
        <f>'Meeting room'!E6</f>
        <v>0</v>
      </c>
      <c r="H17" s="91" t="n">
        <f>'Meeting room'!B4</f>
        <v>4</v>
      </c>
      <c r="I17" s="44"/>
      <c r="J17" s="10"/>
      <c r="K17" s="10"/>
      <c r="L17" s="10"/>
      <c r="M17" s="10"/>
      <c r="N17" s="10"/>
      <c r="O17" s="10"/>
      <c r="P17" s="10"/>
      <c r="Q17" s="10"/>
      <c r="R17" s="10"/>
      <c r="S17" s="10"/>
      <c r="T17" s="10"/>
      <c r="U17" s="10"/>
      <c r="V17" s="10"/>
      <c r="W17" s="10"/>
      <c r="X17" s="10"/>
      <c r="Y17" s="10"/>
      <c r="Z17" s="10"/>
    </row>
    <row r="18" ht="45" customHeight="1">
      <c r="A18" s="59"/>
      <c r="B18" s="87" t="n">
        <v>8</v>
      </c>
      <c r="C18" s="88" t="str">
        <v>Meetings</v>
      </c>
      <c r="D18" s="89" t="n">
        <f>'Meetings'!B6</f>
        <v>0</v>
      </c>
      <c r="E18" s="90" t="n">
        <f>'Meetings'!C6</f>
        <v>0</v>
      </c>
      <c r="F18" s="89" t="n">
        <f>'Meetings'!D6</f>
        <v>18</v>
      </c>
      <c r="G18" s="89" t="n">
        <f>'Meetings'!E6</f>
        <v>0</v>
      </c>
      <c r="H18" s="91" t="n">
        <f>'Meetings'!B4</f>
        <v>18</v>
      </c>
      <c r="I18" s="44"/>
      <c r="J18" s="10"/>
      <c r="K18" s="10"/>
      <c r="L18" s="10"/>
      <c r="M18" s="10"/>
      <c r="N18" s="10"/>
      <c r="O18" s="10"/>
      <c r="P18" s="10"/>
      <c r="Q18" s="10"/>
      <c r="R18" s="10"/>
      <c r="S18" s="10"/>
      <c r="T18" s="10"/>
      <c r="U18" s="10"/>
      <c r="V18" s="10"/>
      <c r="W18" s="10"/>
      <c r="X18" s="10"/>
      <c r="Y18" s="10"/>
      <c r="Z18" s="10"/>
    </row>
    <row r="19" ht="45" customHeight="1">
      <c r="A19" s="59"/>
      <c r="B19" s="87" t="n">
        <v>9</v>
      </c>
      <c r="C19" s="88" t="str">
        <v>Notifications</v>
      </c>
      <c r="D19" s="89" t="n">
        <f>'Notifications'!B6</f>
        <v>0</v>
      </c>
      <c r="E19" s="90" t="n">
        <f>'Notifications'!C6</f>
        <v>0</v>
      </c>
      <c r="F19" s="89" t="n">
        <f>'Notifications'!D6</f>
        <v>3</v>
      </c>
      <c r="G19" s="89" t="n">
        <f>'Notifications'!E6</f>
        <v>0</v>
      </c>
      <c r="H19" s="91" t="n">
        <f>'Notifications'!B4</f>
        <v>3</v>
      </c>
      <c r="I19" s="44"/>
      <c r="J19" s="10"/>
      <c r="K19" s="10"/>
      <c r="L19" s="10"/>
      <c r="M19" s="10"/>
      <c r="N19" s="10"/>
      <c r="O19" s="10"/>
      <c r="P19" s="10"/>
      <c r="Q19" s="10"/>
      <c r="R19" s="10"/>
      <c r="S19" s="10"/>
      <c r="T19" s="10"/>
      <c r="U19" s="10"/>
      <c r="V19" s="10"/>
      <c r="W19" s="10"/>
      <c r="X19" s="10"/>
      <c r="Y19" s="10"/>
      <c r="Z19" s="10"/>
    </row>
    <row r="20" ht="45" customHeight="1">
      <c r="A20" s="59"/>
      <c r="B20" s="87" t="n">
        <v>10</v>
      </c>
      <c r="C20" s="88" t="str">
        <v>Participants</v>
      </c>
      <c r="D20" s="89" t="n">
        <f>'Participants'!B6</f>
        <v>0</v>
      </c>
      <c r="E20" s="90" t="n">
        <f>'Participants'!C6</f>
        <v>0</v>
      </c>
      <c r="F20" s="89" t="n">
        <f>'Participants'!D6</f>
        <v>7</v>
      </c>
      <c r="G20" s="89" t="n">
        <f>'Participants'!E6</f>
        <v>0</v>
      </c>
      <c r="H20" s="91" t="n">
        <f>'Participants'!B4</f>
        <v>7</v>
      </c>
      <c r="I20" s="44"/>
      <c r="J20" s="10"/>
      <c r="K20" s="10"/>
      <c r="L20" s="10"/>
      <c r="M20" s="10"/>
      <c r="N20" s="10"/>
      <c r="O20" s="10"/>
      <c r="P20" s="10"/>
      <c r="Q20" s="10"/>
      <c r="R20" s="10"/>
      <c r="S20" s="10"/>
      <c r="T20" s="10"/>
      <c r="U20" s="10"/>
      <c r="V20" s="10"/>
      <c r="W20" s="10"/>
      <c r="X20" s="10"/>
      <c r="Y20" s="10"/>
      <c r="Z20" s="10"/>
    </row>
    <row r="21" ht="45" customHeight="1">
      <c r="A21" s="59"/>
      <c r="B21" s="87" t="n">
        <v>11</v>
      </c>
      <c r="C21" s="88" t="str">
        <v>Recordings</v>
      </c>
      <c r="D21" s="89" t="n">
        <f>'Recordings'!B6</f>
        <v>0</v>
      </c>
      <c r="E21" s="90" t="n">
        <f>'Recordings'!C6</f>
        <v>0</v>
      </c>
      <c r="F21" s="89" t="n">
        <f>'Recordings'!D6</f>
        <v>7</v>
      </c>
      <c r="G21" s="89" t="n">
        <f>'Recordings'!E6</f>
        <v>0</v>
      </c>
      <c r="H21" s="91" t="n">
        <f>'Recordings'!B4</f>
        <v>7</v>
      </c>
      <c r="I21" s="44"/>
      <c r="J21" s="10"/>
      <c r="K21" s="10"/>
      <c r="L21" s="10"/>
      <c r="M21" s="10"/>
      <c r="N21" s="10"/>
      <c r="O21" s="10"/>
      <c r="P21" s="10"/>
      <c r="Q21" s="10"/>
      <c r="R21" s="10"/>
      <c r="S21" s="10"/>
      <c r="T21" s="10"/>
      <c r="U21" s="10"/>
      <c r="V21" s="10"/>
      <c r="W21" s="10"/>
      <c r="X21" s="10"/>
      <c r="Y21" s="10"/>
      <c r="Z21" s="10"/>
    </row>
    <row r="22" ht="45" customHeight="1">
      <c r="A22" s="59"/>
      <c r="B22" s="87" t="n">
        <v>12</v>
      </c>
      <c r="C22" s="88" t="str">
        <v>Roles</v>
      </c>
      <c r="D22" s="89" t="n">
        <f>'Roles'!B6</f>
        <v>0</v>
      </c>
      <c r="E22" s="90" t="n">
        <f>'Roles'!C6</f>
        <v>0</v>
      </c>
      <c r="F22" s="89" t="n">
        <f>'Roles'!D6</f>
        <v>5</v>
      </c>
      <c r="G22" s="89" t="n">
        <f>'Roles'!E6</f>
        <v>0</v>
      </c>
      <c r="H22" s="91" t="n">
        <f>'Roles'!B4</f>
        <v>5</v>
      </c>
      <c r="I22" s="44"/>
      <c r="J22" s="10"/>
      <c r="K22" s="10"/>
      <c r="L22" s="10"/>
      <c r="M22" s="10"/>
      <c r="N22" s="10"/>
      <c r="O22" s="10"/>
      <c r="P22" s="10"/>
      <c r="Q22" s="10"/>
      <c r="R22" s="10"/>
      <c r="S22" s="10"/>
      <c r="T22" s="10"/>
      <c r="U22" s="10"/>
      <c r="V22" s="10"/>
      <c r="W22" s="10"/>
      <c r="X22" s="10"/>
      <c r="Y22" s="10"/>
      <c r="Z22" s="10"/>
    </row>
    <row r="23" ht="45" customHeight="1">
      <c r="A23" s="59"/>
      <c r="B23" s="87" t="n">
        <v>13</v>
      </c>
      <c r="C23" s="88" t="str">
        <v>Users</v>
      </c>
      <c r="D23" s="89" t="n">
        <f>'Users'!B6</f>
        <v>0</v>
      </c>
      <c r="E23" s="90" t="n">
        <f>'Users'!C6</f>
        <v>0</v>
      </c>
      <c r="F23" s="89" t="n">
        <f>'Users'!D6</f>
        <v>8</v>
      </c>
      <c r="G23" s="89" t="n">
        <f>'Users'!E6</f>
        <v>0</v>
      </c>
      <c r="H23" s="91" t="n">
        <f>'Users'!B4</f>
        <v>8</v>
      </c>
      <c r="I23" s="44"/>
      <c r="J23" s="10"/>
      <c r="K23" s="10"/>
      <c r="L23" s="10"/>
      <c r="M23" s="10"/>
      <c r="N23" s="10"/>
      <c r="O23" s="10"/>
      <c r="P23" s="10"/>
      <c r="Q23" s="10"/>
      <c r="R23" s="10"/>
      <c r="S23" s="10"/>
      <c r="T23" s="10"/>
      <c r="U23" s="10"/>
      <c r="V23" s="10"/>
      <c r="W23" s="10"/>
      <c r="X23" s="10"/>
      <c r="Y23" s="10"/>
      <c r="Z23" s="10"/>
    </row>
    <row r="24" ht="45" customHeight="1">
      <c r="A24" s="59"/>
      <c r="B24" s="87" t="n">
        <v>14</v>
      </c>
      <c r="C24" s="88" t="str">
        <v>Voice ID</v>
      </c>
      <c r="D24" s="89" t="n">
        <f>'Voice ID'!B6</f>
        <v>0</v>
      </c>
      <c r="E24" s="90" t="n">
        <f>'Voice ID'!C6</f>
        <v>0</v>
      </c>
      <c r="F24" s="89" t="n">
        <f>'Voice ID'!D6</f>
        <v>4</v>
      </c>
      <c r="G24" s="89" t="n">
        <f>'Voice ID'!E6</f>
        <v>0</v>
      </c>
      <c r="H24" s="91" t="n">
        <f>'Voice ID'!B4</f>
        <v>4</v>
      </c>
      <c r="I24" s="44"/>
      <c r="J24" s="10"/>
      <c r="K24" s="10"/>
      <c r="L24" s="10"/>
      <c r="M24" s="10"/>
      <c r="N24" s="10"/>
      <c r="O24" s="10"/>
      <c r="P24" s="10"/>
      <c r="Q24" s="10"/>
      <c r="R24" s="10"/>
      <c r="S24" s="10"/>
      <c r="T24" s="10"/>
      <c r="U24" s="10"/>
      <c r="V24" s="10"/>
      <c r="W24" s="10"/>
      <c r="X24" s="10"/>
      <c r="Y24" s="10"/>
      <c r="Z24" s="10"/>
    </row>
    <row r="25" ht="25" customHeight="1">
      <c r="A25" s="59"/>
      <c r="B25" s="92"/>
      <c r="C25" s="93" t="str">
        <v>Sub total</v>
      </c>
      <c r="D25" s="94" t="n">
        <f>SUM(D11:D24)</f>
        <v>0</v>
      </c>
      <c r="E25" s="94" t="n">
        <f>SUM(E11:E24)</f>
        <v>0</v>
      </c>
      <c r="F25" s="94" t="n">
        <f>SUM(F11:F24)</f>
        <v>89</v>
      </c>
      <c r="G25" s="94" t="n">
        <f>SUM(G11:G24)</f>
        <v>0</v>
      </c>
      <c r="H25" s="95" t="n">
        <f>SUM(H11:H24)</f>
        <v>89</v>
      </c>
      <c r="I25" s="44"/>
      <c r="J25" s="10"/>
      <c r="K25" s="10"/>
      <c r="L25" s="10"/>
      <c r="M25" s="10"/>
      <c r="N25" s="10"/>
      <c r="O25" s="10"/>
      <c r="P25" s="10"/>
      <c r="Q25" s="10"/>
      <c r="R25" s="10"/>
      <c r="S25" s="10"/>
      <c r="T25" s="10"/>
      <c r="U25" s="10"/>
      <c r="V25" s="10"/>
      <c r="W25" s="10"/>
      <c r="X25" s="10"/>
      <c r="Y25" s="10"/>
      <c r="Z25" s="10"/>
    </row>
    <row r="26">
      <c r="A26"/>
      <c r="B26"/>
      <c r="C26"/>
      <c r="D26"/>
      <c r="E26"/>
      <c r="F26"/>
      <c r="G26"/>
      <c r="H26"/>
    </row>
    <row r="27" ht="25" customHeight="1">
      <c r="A27" s="59"/>
      <c r="B27" s="100"/>
      <c r="C27" s="8" t="str">
        <v>Test coverage</v>
      </c>
      <c r="D27" s="10"/>
      <c r="E27" s="101" t="n">
        <f>IFERROR((D25+E25)*100/(H25-G25),0)</f>
        <v>0.0</v>
      </c>
      <c r="F27" s="10" t="str">
        <v>%</v>
      </c>
      <c r="G27" s="10"/>
      <c r="H27" s="102"/>
      <c r="I27" s="44"/>
      <c r="J27" s="10"/>
      <c r="K27" s="10"/>
      <c r="L27" s="10"/>
      <c r="M27" s="10"/>
      <c r="N27" s="10"/>
      <c r="O27" s="10"/>
      <c r="P27" s="10"/>
      <c r="Q27" s="10"/>
      <c r="R27" s="10"/>
      <c r="S27" s="10"/>
      <c r="T27" s="10"/>
      <c r="U27" s="10"/>
      <c r="V27" s="10"/>
      <c r="W27" s="10"/>
      <c r="X27" s="10"/>
      <c r="Y27" s="10"/>
      <c r="Z27" s="10"/>
    </row>
    <row r="28" ht="25" customHeight="1">
      <c r="A28" s="59"/>
      <c r="B28" s="103"/>
      <c r="C28" s="104" t="str">
        <v>Test successful coverage</v>
      </c>
      <c r="D28" s="105"/>
      <c r="E28" s="106" t="n">
        <f>IFERROR(D25*100/(H25-G25),0)</f>
        <v>0.0</v>
      </c>
      <c r="F28" s="105" t="str">
        <v>%</v>
      </c>
      <c r="G28" s="105"/>
      <c r="H28" s="107"/>
      <c r="I28" s="44"/>
      <c r="J28" s="10"/>
      <c r="K28" s="10"/>
      <c r="L28" s="10"/>
      <c r="M28" s="10"/>
      <c r="N28" s="10"/>
      <c r="O28" s="10"/>
      <c r="P28" s="10"/>
      <c r="Q28" s="10"/>
      <c r="R28" s="10"/>
      <c r="S28" s="10"/>
      <c r="T28" s="10"/>
      <c r="U28" s="10"/>
      <c r="V28" s="10"/>
      <c r="W28" s="10"/>
      <c r="X28" s="10"/>
      <c r="Y28" s="10"/>
      <c r="Z28" s="10"/>
    </row>
  </sheetData>
  <mergeCells count="7">
    <mergeCell ref="B1:H1"/>
    <mergeCell ref="C3:H3"/>
    <mergeCell ref="C4:H4"/>
    <mergeCell ref="C5:D5"/>
    <mergeCell ref="E5:F5"/>
    <mergeCell ref="G5:H5"/>
    <mergeCell ref="C6:H6"/>
  </mergeCells>
  <hyperlinks>
    <hyperlink ref="C11" location="'Agenda'!A1" display="Agenda"/>
    <hyperlink ref="C12" location="'Attendance'!A1" display="Attendance"/>
    <hyperlink ref="C13" location="'Authentication'!A1" display="Authentication"/>
    <hyperlink ref="C14" location="'Calendar'!A1" display="Calendar"/>
    <hyperlink ref="C15" location="'Library'!A1" display="Library"/>
    <hyperlink ref="C16" location="'Meeting documents'!A1" display="Meeting documents"/>
    <hyperlink ref="C17" location="'Meeting room'!A1" display="Meeting room"/>
    <hyperlink ref="C18" location="'Meetings'!A1" display="Meetings"/>
    <hyperlink ref="C19" location="'Notifications'!A1" display="Notifications"/>
    <hyperlink ref="C20" location="'Participants'!A1" display="Participants"/>
    <hyperlink ref="C21" location="'Recordings'!A1" display="Recordings"/>
    <hyperlink ref="C22" location="'Roles'!A1" display="Roles"/>
    <hyperlink ref="C23" location="'Users'!A1" display="Users"/>
    <hyperlink ref="C24" location="'Voice ID'!A1" display="Voice ID"/>
  </hyperlinks>
  <printOptions/>
  <pageMargins bottom="0.9840277777777777" footer="0.0" header="0.0" left="0.7479166666666667" right="0.7479166666666667" top="0.9840277777777778"/>
  <pageSetup orientation="landscape"/>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Agenda</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agenda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7</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COUNTIF(F12:F18,"Passed")</f>
        <v>0</v>
      </c>
      <c r="C6" s="115" t="n">
        <f>COUNTIF(F12:F18,"Failed")</f>
        <v>0</v>
      </c>
      <c r="D6" s="115" t="n">
        <f>B4-B6-C6-E6</f>
        <v>7</v>
      </c>
      <c r="E6" s="115" t="n">
        <f>COUNTIF(F12:F18,"Skipped")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COUNTIF(I12:I18,"Passed")</f>
        <v>0</v>
      </c>
      <c r="C7" s="115" t="n">
        <f>COUNTIF(I12:I18,"Failed")</f>
        <v>0</v>
      </c>
      <c r="D7" s="115" t="n">
        <f>B4-B7-C7-E7</f>
        <v>7</v>
      </c>
      <c r="E7" s="115" t="n">
        <f>COUNTIF(I12:I18,"Skipped")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COUNTIF(L12:L18,"Passed")</f>
        <v>0</v>
      </c>
      <c r="C8" s="115" t="n">
        <f>COUNTIF(L12:L18,"Failed")</f>
        <v>0</v>
      </c>
      <c r="D8" s="115" t="n">
        <f>B4-B8-C8-E8</f>
        <v>7</v>
      </c>
      <c r="E8" s="115" t="n">
        <f>COUNTIF(L12:L18,"Skipped")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Nội dung cuộc họp</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67.5" customHeight="1">
      <c r="A12" s="121" t="str">
        <v>AGD_FT01</v>
      </c>
      <c r="B12" s="121" t="str">
        <v>The Secretary builds the agenda: add, edit, reorder and delete items.</v>
      </c>
      <c r="C12" s="121" t="str">
        <v>1. Open tab "Nội dung cuộc họp" and click "Thêm nội dung".
2. Enter Nội dung cần bàn: Dự toán ngân sách năm 2027, choose Người trình bày, click Lưu.
3. Add two more items and drag one to a new position ("Kéo để đổi vị trí").
4. Edit an item ("Sửa"), then delete one ("Xoá nội dung").</v>
      </c>
      <c r="D12" s="121" t="str">
        <v>1. Toasts "Tạo mục nghị sự thành công.", "Sắp xếp mục nghị sự thành công.", "Cập nhật mục nghị sự thành công." and "Xóa mục nghị sự thành công." appear.
2. Without a title: "Vui lòng nhập nội dung cần bàn.".
3. Other participants see the agenda update live.</v>
      </c>
      <c r="E12" s="121" t="str">
        <v>1. A Draft or Published meeting with documents;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AGD_FT02</v>
      </c>
      <c r="B13" s="121" t="str">
        <v>The Chair runs the agenda during the meeting and records conclusions.</v>
      </c>
      <c r="C13" s="121" t="str">
        <v>1. Start the meeting as the Chair.
2. Start the first item, then try to start a second one.
3. Complete the first item.
4. Click "Ghi kết luận", enter a conclusion and click "Lưu kết luận".</v>
      </c>
      <c r="D13" s="121" t="str">
        <v>1. Starting a second item shows "Đã có mục nghị sự đang diễn ra.".
2. The completed item is marked done with actual times.
3. "Lưu kết luận mục nghị sự thành công." appears and the item shows "Đã kết luận".</v>
      </c>
      <c r="E13" s="121" t="str">
        <v>1. A Published meeting with agenda items; chutoa is Chair.</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AGD_FT03</v>
      </c>
      <c r="B14" s="121" t="str">
        <v>An empty agenda guides the Secretary and members only read it.</v>
      </c>
      <c r="C14" s="121" t="str">
        <v>1. As the Secretary, open tab "Nội dung cuộc họp" of a meeting with no item.
2. As thanhvien, open the same tab of the published meeting.</v>
      </c>
      <c r="D14" s="121" t="str">
        <v>1. The Secretary sees "Chưa có nội dung nào" with "Thêm các nội dung cần bàn trong cuộc họp." and "Thêm nội dung".
2. The member sees the items but no add, edit, delete or drag actions.</v>
      </c>
      <c r="E14" s="121" t="str">
        <v>1. A published meeting; thanhvien is invited.</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95.0" customHeight="1">
      <c r="A15" s="121" t="str">
        <v>AGD_FT04</v>
      </c>
      <c r="B15" s="121" t="str">
        <v>Closing the item form with unsaved changes asks first.</v>
      </c>
      <c r="C15" s="121" t="str">
        <v>1. Open "Sửa" on an item, change the title and close the dialog.
2. Choose "Tiếp tục sửa", close again and choose "Bỏ thay đổi".</v>
      </c>
      <c r="D15" s="121" t="str">
        <v>1. "Bỏ thay đổi chưa lưu?" is asked.
2. "Bỏ thay đổi" closes without saving; the item keeps its old title.</v>
      </c>
      <c r="E15" s="121" t="str">
        <v>1. Signed in as the meeting Secretary; the agenda has items.</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60" customHeight="1">
      <c r="A16" s="121" t="str">
        <v>AGD_FT05</v>
      </c>
      <c r="B16" s="121" t="str">
        <v>The agenda is locked once the meeting has ended.</v>
      </c>
      <c r="C16" s="121" t="str">
        <v>1. Open tab "Nội dung cuộc họp" of an ended meeting as its Secretary.</v>
      </c>
      <c r="D16" s="121" t="str">
        <v>1. No add, edit, delete or drag action is offered.
2. Conclusions can still be read.</v>
      </c>
      <c r="E16" s="121" t="str">
        <v>1. An ended meeting with agenda items.</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AGD_FT06</v>
      </c>
      <c r="B17" s="121" t="str">
        <v>A presenter is notified when assigned to an item of a published meeting.</v>
      </c>
      <c r="C17" s="121" t="str">
        <v>1. As the Secretary, edit an item and choose thanhvien as Người trình bày; save.
2. As thanhvien, open the notification bell.</v>
      </c>
      <c r="D17" s="121" t="str">
        <v>1. thanhvien receives a notification about presenting the item.
2. Assigning yourself as presenter does not notify you.</v>
      </c>
      <c r="E17" s="121" t="str">
        <v>1. A published meeting with thanhvien invited.</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196.5" customHeight="1">
      <c r="A18" s="121" t="str">
        <v>AGD_FT07</v>
      </c>
      <c r="B18" s="121" t="str">
        <v>The Chair or Secretary adds documents to an agenda item from its paperclip.</v>
      </c>
      <c r="C18" s="121" t="str">
        <v>1. On an agenda item click the paperclip ("Thêm tài liệu").
2. Choose "Chọn từ tài liệu cuộc họp", tick a document and click "Gắn 1 tài liệu".
3. Open the paperclip again, choose "Tải tệp lên từ máy" and add a PDF; then "Chọn từ kho của tôi" and add a library document.
4. Sign in as thanhvien and open the agenda.</v>
      </c>
      <c r="D18" s="121" t="str">
        <v>1. The dialog "Thêm tài liệu cho mục 1" opens on the chosen source.
2. "Đã gắn tài liệu vào mục nghị sự." appears and the documents show under the item.
3. An uploaded or library document is also added to the meeting's documents.
4. thanhvien sees the documents but no paperclip; after the meeting ends nobody can add documents.</v>
      </c>
      <c r="E18" s="121" t="str">
        <v>1. A Published or InProgress meeting with agenda items and documents; signed in as chutoa or thuky.</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Attendance</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attendance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Điểm danh</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95.0" customHeight="1">
      <c r="A12" s="121" t="str">
        <v>ATT_FT01</v>
      </c>
      <c r="B12" s="121" t="str">
        <v>The Secretary records attendance during the meeting.</v>
      </c>
      <c r="C12" s="121" t="str">
        <v>1. Start the meeting.
2. On the roster, set members to Có mặt or Vắng in the Điểm danh column.
3. Try the same on a meeting that has not started.</v>
      </c>
      <c r="D12" s="121" t="str">
        <v>1. "Lưu điểm danh thành công." appears and each row shows who recorded it and when.
2. On a meeting not in progress: "Chỉ được điểm danh khi cuộc họp đang diễn ra.".</v>
      </c>
      <c r="E12" s="121" t="str">
        <v>1. A meeting with members;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66.0" customHeight="1">
      <c r="A13" s="121" t="str">
        <v>ATT_FT02</v>
      </c>
      <c r="B13" s="121" t="str">
        <v>Members see attendance but cannot change it.</v>
      </c>
      <c r="C13" s="121" t="str">
        <v>1. As thanhvien, open the roster of a meeting in progress.</v>
      </c>
      <c r="D13" s="121" t="str">
        <v>1. The Điểm danh column is visible (Có mặt, Vắng, Chưa điểm danh).
2. No control to change attendance is offered.</v>
      </c>
      <c r="E13" s="121" t="str">
        <v>1. A meeting in progress where thanhvien is invited.</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80.5" customHeight="1">
      <c r="A14" s="121" t="str">
        <v>ATT_FT03</v>
      </c>
      <c r="B14" s="121" t="str">
        <v>Guests are recorded too and the recorder and time are shown.</v>
      </c>
      <c r="C14" s="121" t="str">
        <v>1. As the Secretary, set the guest to Có mặt.
2. Hover the attendance of the guest.</v>
      </c>
      <c r="D14" s="121" t="str">
        <v>1. The guest row (tag Khách) saves like a member.
2. The tooltip shows who recorded it and when, e.g. "Nguyễn Thư Ký điểm danh lúc 09:05 23/10/2026".</v>
      </c>
      <c r="E14" s="121" t="str">
        <v>1. A meeting in progress with a guest invitation.</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Authentication</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authentication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10</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COUNTIF(F12:F24,"Passed")</f>
        <v>0</v>
      </c>
      <c r="C6" s="115" t="n">
        <f>COUNTIF(F12:F24,"Failed")</f>
        <v>0</v>
      </c>
      <c r="D6" s="115" t="n">
        <f>B4-B6-C6-E6</f>
        <v>10</v>
      </c>
      <c r="E6" s="115" t="n">
        <f>COUNTIF(F12:F24,"Skipped")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COUNTIF(I12:I24,"Passed")</f>
        <v>0</v>
      </c>
      <c r="C7" s="115" t="n">
        <f>COUNTIF(I12:I24,"Failed")</f>
        <v>0</v>
      </c>
      <c r="D7" s="115" t="n">
        <f>B4-B7-C7-E7</f>
        <v>10</v>
      </c>
      <c r="E7" s="115" t="n">
        <f>COUNTIF(I12:I24,"Skipped")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COUNTIF(L12:L24,"Passed")</f>
        <v>0</v>
      </c>
      <c r="C8" s="115" t="n">
        <f>COUNTIF(L12:L24,"Failed")</f>
        <v>0</v>
      </c>
      <c r="D8" s="115" t="n">
        <f>B4-B8-C8-E8</f>
        <v>10</v>
      </c>
      <c r="E8" s="115" t="n">
        <f>COUNTIF(L12:L24,"Skipped")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Sign in with password</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AUTH_FT01</v>
      </c>
      <c r="B12" s="121" t="str">
        <v>Sign in succeeds with a valid email and password (happy path).</v>
      </c>
      <c r="C12" s="121" t="str">
        <v>1. Go to /login.
2. Enter Email: thuky@trustcabinet.local.
3. Enter Mật khẩu: TrustCabinet@2026.
4. Click "Đăng nhập bằng mật khẩu".</v>
      </c>
      <c r="D12" s="121" t="str">
        <v>1. The button shows "Đang đăng nhập…" while waiting.
2. The meeting list (Danh sách cuộc họp) opens.
3. The sidebar shows Lịch làm việc, Cuộc họp, Kho tài liệu and Giọng nói của tôi; Người dùng &amp; Quyền is hidden for the Secretary.</v>
      </c>
      <c r="E12" s="121" t="str">
        <v>1. Backend and frontend are running.
2. Account thuky@trustcabinet.local is active.
3. User is not signed in.</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38.5" customHeight="1">
      <c r="A13" s="121" t="str">
        <v>AUTH_FT02</v>
      </c>
      <c r="B13" s="121" t="str">
        <v>Sign in is refused with an empty form, an unknown email or a wrong password.</v>
      </c>
      <c r="C13" s="121" t="str">
        <v>1. Go to /login and click "Đăng nhập bằng mật khẩu" with both fields empty.
2. Enter khong-ton-tai@trustcabinet.local / TrustCabinet@2026 and sign in.
3. Enter thuky@trustcabinet.local / SaiMatKhau@2026 and sign in.</v>
      </c>
      <c r="D13" s="121" t="str">
        <v>1. Empty form: "Vui lòng nhập email và mật khẩu." is shown and no request is sent.
2. Unknown email and wrong password both show "Email hoặc mật khẩu không đúng.".
3. The page stays on /login with the entered email kept.</v>
      </c>
      <c r="E13" s="121" t="str">
        <v>1. Backend and frontend are running.
2. User is not signed in.</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80.5" customHeight="1">
      <c r="A14" s="121" t="str">
        <v>AUTH_FT03</v>
      </c>
      <c r="B14" s="121" t="str">
        <v>A deactivated account cannot sign in.</v>
      </c>
      <c r="C14" s="121" t="str">
        <v>1. Go to /login.
2. Sign in as the deactivated account with its correct password.</v>
      </c>
      <c r="D14" s="121" t="str">
        <v>1. "Tài khoản không khả dụng. Vui lòng liên hệ quản trị viên." is shown.
2. The page stays on /login.</v>
      </c>
      <c r="E14" s="121" t="str">
        <v>1. An account has been deactivated on Người dùng &amp; Quyền.
2. Backend and frontend are running.</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Session</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109.5" customHeight="1">
      <c r="A16" s="121" t="str">
        <v>AUTH_FT04</v>
      </c>
      <c r="B16" s="121" t="str">
        <v>The session survives a page reload and ends on sign-out.</v>
      </c>
      <c r="C16" s="121" t="str">
        <v>1. Sign in as thuky@trustcabinet.local.
2. Reload the page (F5).
3. Click "Đăng xuất" in the sidebar.
4. Open http://localhost:5173/mgmt/meetings again.</v>
      </c>
      <c r="D16" s="121" t="str">
        <v>1. After reload "Đang khôi phục phiên đăng nhập…" appears briefly and the same page returns.
2. After sign-out the login page is shown.
3. The protected page redirects to /login.</v>
      </c>
      <c r="E16" s="121" t="str">
        <v>1. Backend, Redis and frontend are running.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109.5" customHeight="1">
      <c r="A17" s="121" t="str">
        <v>AUTH_FT05</v>
      </c>
      <c r="B17" s="121" t="str">
        <v>A deactivated user is signed out at the next action.</v>
      </c>
      <c r="C17" s="121" t="str">
        <v>1. Sign in as thanhvien@trustcabinet.local in browser A.
2. In browser B, as quantri@trustcabinet.local, deactivate thanhvien.
3. In browser A, reload the meeting list.</v>
      </c>
      <c r="D17" s="121" t="str">
        <v>1. Browser A is sent to the login page.
2. Signing in again shows "Tài khoản không khả dụng. Vui lòng liên hệ quản trị viên.".</v>
      </c>
      <c r="E17" s="121" t="str">
        <v>1. Two browsers (or one normal and one private window).</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24" customHeight="1">
      <c r="A18" s="121" t="str">
        <v>Sign in with Google</v>
      </c>
      <c r="B18" s="121"/>
      <c r="C18" s="121"/>
      <c r="D18" s="121"/>
      <c r="E18" s="121"/>
      <c r="F18" s="121"/>
      <c r="G18" s="122"/>
      <c r="H18" s="121"/>
      <c r="I18" s="121"/>
      <c r="J18" s="122"/>
      <c r="K18" s="121"/>
      <c r="L18" s="121"/>
      <c r="M18" s="122"/>
      <c r="N18" s="121"/>
      <c r="O18" s="123"/>
      <c r="P18" s="124"/>
      <c r="Q18" s="113"/>
      <c r="R18" s="113"/>
      <c r="S18" s="113"/>
      <c r="T18" s="113"/>
      <c r="U18" s="113"/>
      <c r="V18" s="113"/>
      <c r="W18" s="113"/>
      <c r="X18" s="113"/>
      <c r="Y18" s="113"/>
    </row>
    <row r="19" ht="95.0" customHeight="1">
      <c r="A19" s="121" t="str">
        <v>AUTH_FT06</v>
      </c>
      <c r="B19" s="121" t="str">
        <v>Sign in with a provisioned Google account.</v>
      </c>
      <c r="C19" s="121" t="str">
        <v>1. Go to /login.
2. Click the Google sign-in button.
3. Choose the Gmail account whose email an administrator created in TrustCabinet.</v>
      </c>
      <c r="D19" s="121" t="str">
        <v>1. "Đang đăng nhập bằng Google…" is shown, then the meeting list opens.
2. The account is linked to Google; the next Google sign-in works the same.</v>
      </c>
      <c r="E19" s="121" t="str">
        <v>1. Google sign-in is enabled (Authentication:Google:Enabled, ClientId).
2. An active account with that Gmail address exists.</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row r="20" ht="109.5" customHeight="1">
      <c r="A20" s="121" t="str">
        <v>AUTH_FT07</v>
      </c>
      <c r="B20" s="121" t="str">
        <v>A Google account with no TrustCabinet account is refused and no account is created.</v>
      </c>
      <c r="C20" s="121" t="str">
        <v>1. Go to /login.
2. Click the Google sign-in button and choose a Gmail account unknown to TrustCabinet.</v>
      </c>
      <c r="D20" s="121" t="str">
        <v>1. "Tài khoản Google này chưa được cấp quyền truy cập hệ thống." is shown with the hint to choose the registered account or contact the administrator.
2. No new account appears on Người dùng &amp; Quyền.</v>
      </c>
      <c r="E20" s="121" t="str">
        <v>1. Google sign-in is enabled.</v>
      </c>
      <c r="F20" s="121" t="str">
        <v>Pending</v>
      </c>
      <c r="G20" s="122" t="str"/>
      <c r="H20" s="121" t="str"/>
      <c r="I20" s="121" t="str"/>
      <c r="J20" s="122" t="str"/>
      <c r="K20" s="121" t="str"/>
      <c r="L20" s="121" t="str"/>
      <c r="M20" s="122" t="str"/>
      <c r="N20" s="121" t="str"/>
      <c r="O20" s="123" t="str"/>
      <c r="P20" s="124"/>
      <c r="Q20" s="113"/>
      <c r="R20" s="113"/>
      <c r="S20" s="113"/>
      <c r="T20" s="113"/>
      <c r="U20" s="113"/>
      <c r="V20" s="113"/>
      <c r="W20" s="113"/>
      <c r="X20" s="113"/>
      <c r="Y20" s="113"/>
    </row>
    <row r="21" ht="66.0" customHeight="1">
      <c r="A21" s="121" t="str">
        <v>AUTH_FT08</v>
      </c>
      <c r="B21" s="121" t="str">
        <v>Cancelling the Google popup returns to the login page without a session.</v>
      </c>
      <c r="C21" s="121" t="str">
        <v>1. Go to /login.
2. Click the Google sign-in button and close the Google window.</v>
      </c>
      <c r="D21" s="121" t="str">
        <v>1. "Đăng nhập bằng Google không thành công." is shown.
2. The user can sign in with a password or try Google again.</v>
      </c>
      <c r="E21" s="121" t="str">
        <v>1. Google sign-in is enabled.</v>
      </c>
      <c r="F21" s="121" t="str">
        <v>Pending</v>
      </c>
      <c r="G21" s="122" t="str"/>
      <c r="H21" s="121" t="str"/>
      <c r="I21" s="121" t="str"/>
      <c r="J21" s="122" t="str"/>
      <c r="K21" s="121" t="str"/>
      <c r="L21" s="121" t="str"/>
      <c r="M21" s="122" t="str"/>
      <c r="N21" s="121" t="str"/>
      <c r="O21" s="123" t="str"/>
      <c r="P21" s="124"/>
      <c r="Q21" s="113"/>
      <c r="R21" s="113"/>
      <c r="S21" s="113"/>
      <c r="T21" s="113"/>
      <c r="U21" s="113"/>
      <c r="V21" s="113"/>
      <c r="W21" s="113"/>
      <c r="X21" s="113"/>
      <c r="Y21" s="113"/>
    </row>
    <row r="22" ht="24" customHeight="1">
      <c r="A22" s="121" t="str">
        <v>Reset password</v>
      </c>
      <c r="B22" s="121"/>
      <c r="C22" s="121"/>
      <c r="D22" s="121"/>
      <c r="E22" s="121"/>
      <c r="F22" s="121"/>
      <c r="G22" s="122"/>
      <c r="H22" s="121"/>
      <c r="I22" s="121"/>
      <c r="J22" s="122"/>
      <c r="K22" s="121"/>
      <c r="L22" s="121"/>
      <c r="M22" s="122"/>
      <c r="N22" s="121"/>
      <c r="O22" s="123"/>
      <c r="P22" s="124"/>
      <c r="Q22" s="113"/>
      <c r="R22" s="113"/>
      <c r="S22" s="113"/>
      <c r="T22" s="113"/>
      <c r="U22" s="113"/>
      <c r="V22" s="113"/>
      <c r="W22" s="113"/>
      <c r="X22" s="113"/>
      <c r="Y22" s="113"/>
    </row>
    <row r="23" ht="211.0" customHeight="1">
      <c r="A23" s="121" t="str">
        <v>AUTH_FT09</v>
      </c>
      <c r="B23" s="121" t="str">
        <v>An administrator sends a reset link and the user sets a new password with it once.</v>
      </c>
      <c r="C23" s="121" t="str">
        <v>1. As quantri, open Người dùng &amp; Quyền, open the row menu of thanhvien and choose "Gửi liên kết đặt lại mật khẩu", then "Gửi liên kết".
2. Open the email in the SMTP sandbox and click the link.
3. On "Đặt mật khẩu mới", enter and repeat MotMatKhauMoiRatDai@2026 and click "Đặt lại mật khẩu".
4. Sign in with the new password.
5. Open the same link again.</v>
      </c>
      <c r="D23" s="121" t="str">
        <v>1. The toast "Đã gửi email đặt lại mật khẩu." appears.
2. After saving, "Đặt lại mật khẩu thành công. Vui lòng đăng nhập bằng mật khẩu mới." is shown.
3. The new password works and the old one does not.
4. The used link shows "Liên kết này không dùng được nữa.".</v>
      </c>
      <c r="E23" s="121" t="str">
        <v>1. SMTP sandbox (Mailpit) is running.
2. thanhvien@trustcabinet.local is active.</v>
      </c>
      <c r="F23" s="121" t="str">
        <v>Pending</v>
      </c>
      <c r="G23" s="122" t="str"/>
      <c r="H23" s="121" t="str"/>
      <c r="I23" s="121" t="str"/>
      <c r="J23" s="122" t="str"/>
      <c r="K23" s="121" t="str"/>
      <c r="L23" s="121" t="str"/>
      <c r="M23" s="122" t="str"/>
      <c r="N23" s="121" t="str"/>
      <c r="O23" s="123" t="str"/>
      <c r="P23" s="124"/>
      <c r="Q23" s="113"/>
      <c r="R23" s="113"/>
      <c r="S23" s="113"/>
      <c r="T23" s="113"/>
      <c r="U23" s="113"/>
      <c r="V23" s="113"/>
      <c r="W23" s="113"/>
      <c r="X23" s="113"/>
      <c r="Y23" s="113"/>
    </row>
    <row r="24" ht="80.5" customHeight="1">
      <c r="A24" s="121" t="str">
        <v>AUTH_FT10</v>
      </c>
      <c r="B24" s="121" t="str">
        <v>The reset page checks that both passwords match and that it was opened from the email.</v>
      </c>
      <c r="C24" s="121" t="str">
        <v>1. Open /reset-password directly, without a token.
2. Open the emailed link and enter two different passwords.</v>
      </c>
      <c r="D24" s="121" t="str">
        <v>1. Without a token: "Trang này cần được mở từ liên kết trong email.".
2. Different passwords: "Mật khẩu nhập lại không khớp." and nothing is sent.</v>
      </c>
      <c r="E24" s="121" t="str">
        <v>1. A reset link has been emailed to the user.</v>
      </c>
      <c r="F24" s="121" t="str">
        <v>Pending</v>
      </c>
      <c r="G24" s="122" t="str"/>
      <c r="H24" s="121" t="str"/>
      <c r="I24" s="121" t="str"/>
      <c r="J24" s="122" t="str"/>
      <c r="K24" s="121" t="str"/>
      <c r="L24" s="121" t="str"/>
      <c r="M24" s="122" t="str"/>
      <c r="N24" s="121" t="str"/>
      <c r="O24" s="123" t="str"/>
      <c r="P24" s="124"/>
      <c r="Q24" s="113"/>
      <c r="R24" s="113"/>
      <c r="S24" s="113"/>
      <c r="T24" s="113"/>
      <c r="U24" s="113"/>
      <c r="V24" s="113"/>
      <c r="W24" s="113"/>
      <c r="X24" s="113"/>
      <c r="Y24" s="113"/>
    </row>
  </sheetData>
  <mergeCells count="7">
    <mergeCell ref="B2:E2"/>
    <mergeCell ref="B3:E3"/>
    <mergeCell ref="B4:E4"/>
    <mergeCell ref="A11:O11"/>
    <mergeCell ref="A15:O15"/>
    <mergeCell ref="A18:O18"/>
    <mergeCell ref="A22:O22"/>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Calendar</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calendar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Lịch làm việc</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CAL_FT01</v>
      </c>
      <c r="B12" s="121" t="str">
        <v>Switch calendar views and open a meeting.</v>
      </c>
      <c r="C12" s="121" t="str">
        <v>1. Open Lịch làm việc.
2. Switch between Tuần làm việc, Cả tuần, Tháng and Danh sách; click Hôm nay and move between weeks.
3. Click a meeting to see its overview, then open its detail.</v>
      </c>
      <c r="D12" s="121" t="str">
        <v>1. Meetings appear at their local times in each view; today is highlighted.
2. The overview shows time, Hình thức, Địa điểm and Chủ tọa.
3. The correct meeting detail opens.</v>
      </c>
      <c r="E12" s="121" t="str">
        <v>1. The user has meetings across several weeks.</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80.5" customHeight="1">
      <c r="A13" s="121" t="str">
        <v>CAL_FT02</v>
      </c>
      <c r="B13" s="121" t="str">
        <v>Calendar filters by status and sensitivity; restricted meetings stay hidden.</v>
      </c>
      <c r="C13" s="121" t="str">
        <v>1. Open "Bộ lọc", choose a status and Mức độ, tick "Gồm cả cuộc họp nháp".
2. Click "Đặt lại".</v>
      </c>
      <c r="D13" s="121" t="str">
        <v>1. Only matching meetings remain; with none, "Không có cuộc họp nào khớp bộ lọc trong khoảng này.".
2. Meetings the user may not see never appear.</v>
      </c>
      <c r="E13" s="121" t="str">
        <v>1. Meetings in several statuses exist.</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CAL_FT03</v>
      </c>
      <c r="B14" s="121" t="str">
        <v>An invitee answers from the calendar.</v>
      </c>
      <c r="C14" s="121" t="str">
        <v>1. As thanhvien, open a published meeting in the calendar.
2. At "Xác nhận tham dự?" choose to attend.</v>
      </c>
      <c r="D14" s="121" t="str">
        <v>1. The answer is saved and the calendar entry shows it.</v>
      </c>
      <c r="E14" s="121" t="str">
        <v>1. thanhvien is invited to a published meeting that has not been answered.</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Library</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library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COUNTIF(F12:F15,"Passed")</f>
        <v>0</v>
      </c>
      <c r="C6" s="115" t="n">
        <f>COUNTIF(F12:F15,"Failed")</f>
        <v>0</v>
      </c>
      <c r="D6" s="115" t="n">
        <f>B4-B6-C6-E6</f>
        <v>4</v>
      </c>
      <c r="E6" s="115" t="n">
        <f>COUNTIF(F12:F15,"Skipped")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COUNTIF(I12:I15,"Passed")</f>
        <v>0</v>
      </c>
      <c r="C7" s="115" t="n">
        <f>COUNTIF(I12:I15,"Failed")</f>
        <v>0</v>
      </c>
      <c r="D7" s="115" t="n">
        <f>B4-B7-C7-E7</f>
        <v>4</v>
      </c>
      <c r="E7" s="115" t="n">
        <f>COUNTIF(I12:I15,"Skipped")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COUNTIF(L12:L15,"Passed")</f>
        <v>0</v>
      </c>
      <c r="C8" s="115" t="n">
        <f>COUNTIF(L12:L15,"Failed")</f>
        <v>0</v>
      </c>
      <c r="D8" s="115" t="n">
        <f>B4-B8-C8-E8</f>
        <v>4</v>
      </c>
      <c r="E8" s="115" t="n">
        <f>COUNTIF(L12:L15,"Skipped")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Kho tài liệu</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LIB_FT01</v>
      </c>
      <c r="B12" s="121" t="str">
        <v>Create nested folders and upload documents into the personal library.</v>
      </c>
      <c r="C12" s="121" t="str">
        <v>1. Open Kho tài liệu and click "Thư mục mới"; enter Báo cáo and click "Tạo thư mục".
2. Open Báo cáo, create Quý 3 inside it.
3. Click "Tải tài liệu lên" and upload Tờ trình.pdf and Dự thảo.docx.</v>
      </c>
      <c r="D12" s="121" t="str">
        <v>1. "Đã tạo thư mục." appears for each folder.
2. "Đã tải tài liệu lên kho của bạn." appears; the files are listed with Tên, Kích thước and Ngày tạo.
3. "Bộ nhớ tài liệu của cả hệ thống" shows the space used.</v>
      </c>
      <c r="E12" s="121" t="str">
        <v>1. Signed in as any active user; file storage configured.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53.0" customHeight="1">
      <c r="A13" s="121" t="str">
        <v>LIB_FT02</v>
      </c>
      <c r="B13" s="121" t="str">
        <v>Rename, move, search and delete in the library.</v>
      </c>
      <c r="C13" s="121" t="str">
        <v>1. Rename a document ("Đổi tên") and a folder.
2. Move a document with "Chuyển đến…" into another folder.
3. Search "Báo cáo" in "Tìm trong thư mục này…" and filter by file type.
4. Delete an empty folder, then try to delete a folder that still has files.</v>
      </c>
      <c r="D13" s="121" t="str">
        <v>1. "Đã đổi tên thư mục." and "Đã chuyển tài liệu." appear.
2. Search only covers the open folder.
3. The empty folder is deleted; the other shows "Chỉ xoá được thư mục rỗng.".</v>
      </c>
      <c r="E13" s="121" t="str">
        <v>1. The user has folders and documents in the library.</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LIB_FT03</v>
      </c>
      <c r="B14" s="121" t="str">
        <v>Folders nest at most 5 levels and cannot move into themselves.</v>
      </c>
      <c r="C14" s="121" t="str">
        <v>1. Create folders 5 levels deep, then try a sixth.
2. Try to move a folder into its own subfolder.</v>
      </c>
      <c r="D14" s="121" t="str">
        <v>1. The sixth level is refused: "Thư mục chỉ lồng tối đa 5 cấp".
2. The move is refused and nothing changes.</v>
      </c>
      <c r="E14" s="121" t="str">
        <v>1. Signed in as any active user.</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24.0" customHeight="1">
      <c r="A15" s="121" t="str">
        <v>LIB_FT04</v>
      </c>
      <c r="B15" s="121" t="str">
        <v>An administrator reads a deactivated person's library, read-only and logged.</v>
      </c>
      <c r="C15" s="121" t="str">
        <v>1. As quantri, on Người dùng &amp; Quyền open the menu of a deactivated account and choose "Xem kho tài liệu".
2. Open a folder and a document.
3. Try the same for an active account.</v>
      </c>
      <c r="D15" s="121" t="str">
        <v>1. The library opens with "Chỉ xem. Mỗi lần mở thư mục hoặc tài liệu đều được ghi vào nhật ký.".
2. Every open is written to the audit log.
3. For an active account the action is not offered ("Chỉ xem được kho của tài khoản đã vô hiệu hoá").</v>
      </c>
      <c r="E15" s="121" t="str">
        <v>1. A deactivated account with library content.</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 documents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 documents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6</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COUNTIF(F12:F17,"Passed")</f>
        <v>0</v>
      </c>
      <c r="C6" s="115" t="n">
        <f>COUNTIF(F12:F17,"Failed")</f>
        <v>0</v>
      </c>
      <c r="D6" s="115" t="n">
        <f>B4-B6-C6-E6</f>
        <v>6</v>
      </c>
      <c r="E6" s="115" t="n">
        <f>COUNTIF(F12:F17,"Skipped")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COUNTIF(I12:I17,"Passed")</f>
        <v>0</v>
      </c>
      <c r="C7" s="115" t="n">
        <f>COUNTIF(I12:I17,"Failed")</f>
        <v>0</v>
      </c>
      <c r="D7" s="115" t="n">
        <f>B4-B7-C7-E7</f>
        <v>6</v>
      </c>
      <c r="E7" s="115" t="n">
        <f>COUNTIF(I12:I17,"Skipped")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COUNTIF(L12:L17,"Passed")</f>
        <v>0</v>
      </c>
      <c r="C8" s="115" t="n">
        <f>COUNTIF(L12:L17,"Failed")</f>
        <v>0</v>
      </c>
      <c r="D8" s="115" t="n">
        <f>B4-B8-C8-E8</f>
        <v>6</v>
      </c>
      <c r="E8" s="115" t="n">
        <f>COUNTIF(L12:L17,"Skipped")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Tài liệu</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80.5" customHeight="1">
      <c r="A12" s="121" t="str">
        <v>MDOC_FT01</v>
      </c>
      <c r="B12" s="121" t="str">
        <v>Upload meeting documents from the computer.</v>
      </c>
      <c r="C12" s="121" t="str">
        <v>1. Open tab "Tài liệu" and add documents ("Tải từ máy").
2. Drop two PDFs and one DOCX in "Kéo tệp vào đây hoặc bấm để chọn" and confirm.</v>
      </c>
      <c r="D12" s="121" t="str">
        <v>1. The upload tray shows each file; then "Đã thêm tài liệu vào cuộc họp.".
2. The files are listed under Tài liệu chung and copied into the uploader's Kho tài liệu.</v>
      </c>
      <c r="E12" s="121" t="str">
        <v>1. A Published meeting; signed in as its Secretary; file storage configured.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38.5" customHeight="1">
      <c r="A13" s="121" t="str">
        <v>MDOC_FT02</v>
      </c>
      <c r="B13" s="121" t="str">
        <v>Upload limits and wrong file types are refused.</v>
      </c>
      <c r="C13" s="121" t="str">
        <v>1. Try to add a PNG renamed to .pdf.
2. Try to add 11 files at once.
3. Try a PDF larger than 50 MB.</v>
      </c>
      <c r="D13" s="121" t="str">
        <v>1. The wrong type is refused with "Hãy chọn tệp PDF hoặc DOCX hợp lệ, mỗi tệp không quá 50 MB." and nothing is added.
2. 11 files: "Mỗi lần tải tối đa 10 tệp, tổng dung lượng không quá 200 MB.".
3. The large file is refused naming the 50 MB limit.</v>
      </c>
      <c r="E13" s="121" t="str">
        <v>1. Signed in as the meeting Secretary.</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MDOC_FT03</v>
      </c>
      <c r="B14" s="121" t="str">
        <v>Attach documents to an agenda item and remove them.</v>
      </c>
      <c r="C14" s="121" t="str">
        <v>1. Under an agenda item click "Thêm tài liệu cho mục này" and pick a meeting document.
2. Use "Gỡ khỏi mục này".
3. Use "Gỡ khỏi cuộc họp" on a general document.</v>
      </c>
      <c r="D14" s="121" t="str">
        <v>1. "Đã gắn tài liệu vào mục nghị sự." then "Đã gỡ tài liệu khỏi mục nghị sự." appear.
2. A document removed from the meeting disappears from every list.</v>
      </c>
      <c r="E14" s="121" t="str">
        <v>1. A meeting with agenda items and documents; signed in as Chair or Secretary.</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38.5" customHeight="1">
      <c r="A15" s="121" t="str">
        <v>MDOC_FT04</v>
      </c>
      <c r="B15" s="121" t="str">
        <v>Read a document and comment on a page.</v>
      </c>
      <c r="C15" s="121" t="str">
        <v>1. As thanhvien, open a PDF from tab Tài liệu.
2. Zoom in and out ("Phóng to", "Thu nhỏ").
3. Open Góp ý, tick "Gắn trang", write "Xem lại số liệu" and click "Gửi góp ý"; reply to it.</v>
      </c>
      <c r="D15" s="121" t="str">
        <v>1. The document opens full screen with "‹ Tài liệu" to go back.
2. "Đã gửi góp ý." appears; the comment shows the page number and the reply joins its thread.
3. In a Secret meeting the document can only be viewed ("Cuộc họp Mật: tài liệu chỉ xem trực tuyến, không tải về").</v>
      </c>
      <c r="E15" s="121" t="str">
        <v>1. A Published meeting with a PDF; thanhvien is invited.</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80.5" customHeight="1">
      <c r="A16" s="121" t="str">
        <v>MDOC_FT05</v>
      </c>
      <c r="B16" s="121" t="str">
        <v>Add documents from my library to the meeting.</v>
      </c>
      <c r="C16" s="121" t="str">
        <v>1. In tab Tài liệu, add documents and choose "Từ kho của tôi".
2. Select two library documents and confirm.</v>
      </c>
      <c r="D16" s="121" t="str">
        <v>1. "Đã thêm tài liệu vào cuộc họp." appears.
2. The meeting uses the current names; renaming them later in the library does not rename them in the meeting.</v>
      </c>
      <c r="E16" s="121" t="str">
        <v>1. The Secretary has documents in Kho tài liệu.</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95.0" customHeight="1">
      <c r="A17" s="121" t="str">
        <v>MDOC_FT06</v>
      </c>
      <c r="B17" s="121" t="str">
        <v>Documents of an ended or cancelled meeting stay readable but cannot be changed or commented.</v>
      </c>
      <c r="C17" s="121" t="str">
        <v>1. Open tab Tài liệu of an ended meeting and open a document.
2. Repeat for a cancelled meeting.</v>
      </c>
      <c r="D17" s="121" t="str">
        <v>1. Documents open; add and remove actions are not offered.
2. The comment panel says "Cuộc họp đã kết thúc nên không góp ý thêm được." or "Cuộc họp đã huỷ nên không góp ý thêm được.".</v>
      </c>
      <c r="E17" s="121" t="str">
        <v>1. An ended and a cancelled meeting with documents.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 room</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 room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COUNTIF(F12:F15,"Passed")</f>
        <v>0</v>
      </c>
      <c r="C6" s="115" t="n">
        <f>COUNTIF(F12:F15,"Failed")</f>
        <v>0</v>
      </c>
      <c r="D6" s="115" t="n">
        <f>B4-B6-C6-E6</f>
        <v>4</v>
      </c>
      <c r="E6" s="115" t="n">
        <f>COUNTIF(F12:F15,"Skipped")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COUNTIF(I12:I15,"Passed")</f>
        <v>0</v>
      </c>
      <c r="C7" s="115" t="n">
        <f>COUNTIF(I12:I15,"Failed")</f>
        <v>0</v>
      </c>
      <c r="D7" s="115" t="n">
        <f>B4-B7-C7-E7</f>
        <v>4</v>
      </c>
      <c r="E7" s="115" t="n">
        <f>COUNTIF(I12:I15,"Skipped")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COUNTIF(L12:L15,"Passed")</f>
        <v>0</v>
      </c>
      <c r="C8" s="115" t="n">
        <f>COUNTIF(L12:L15,"Failed")</f>
        <v>0</v>
      </c>
      <c r="D8" s="115" t="n">
        <f>B4-B8-C8-E8</f>
        <v>4</v>
      </c>
      <c r="E8" s="115" t="n">
        <f>COUNTIF(L12:L15,"Skipped")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Phòng họp trực tuyến</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CALL_FT01</v>
      </c>
      <c r="B12" s="121" t="str">
        <v>Join the online meeting room with camera and microphone.</v>
      </c>
      <c r="C12" s="121" t="str">
        <v>1. After the Chair starts an online meeting, click "Vào phòng họp".
2. Check the preview ("Xem trước hình của bạn"), toggle "Tắt micro" / "Bật camera" and click "Vào phòng".
3. Open Người dự, Tin nhắn and Tài liệu in the room.
4. Click "Rời phòng".</v>
      </c>
      <c r="D12" s="121" t="str">
        <v>1. The room opens full screen; other participants appear with their names and "Đang nói" indicators.
2. Chat messages appear for people in the room only.
3. Leaving returns to the meeting page.</v>
      </c>
      <c r="E12" s="121" t="str">
        <v>1. A Published online meeting; LiveKit configured; browser camera and microphone allowed.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CALL_FT02</v>
      </c>
      <c r="B13" s="121" t="str">
        <v>The room is closed before the start and for in-person meetings; only the Chair mutes others.</v>
      </c>
      <c r="C13" s="121" t="str">
        <v>1. Open the room of a meeting that has not started.
2. Open the room of an in-person meeting in progress.
3. In a running room, as a member try to mute someone; as the Chair, mute a member ("Tắt mic").</v>
      </c>
      <c r="D13" s="121" t="str">
        <v>1. Not started: "Phòng họp chỉ mở khi cuộc họp đang diễn ra".
2. In person: the room says the meeting is held in person.
3. Only the Chair has "Tắt mic"; the member's microphone turns off.</v>
      </c>
      <c r="E13" s="121" t="str">
        <v>1. Meetings as described.</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109.5" customHeight="1">
      <c r="A14" s="121" t="str">
        <v>CALL_FT03</v>
      </c>
      <c r="B14" s="121" t="str">
        <v>Share the screen and use the floating window.</v>
      </c>
      <c r="C14" s="121" t="str">
        <v>1. In the room, click "Chia sẻ màn hình" and choose a window.
2. Click "Dừng chia sẻ".
3. Click "Mở cửa sổ nổi", switch to another tab, then "Đóng cửa sổ nổi".</v>
      </c>
      <c r="D14" s="121" t="str">
        <v>1. Others see the shared screen and "Bạn đang trình bày cho mọi người" is shown to you.
2. In the floating window "Bạn vẫn đang trong phòng và có thể làm việc khác ở tab hoặc ứng dụng khác." and the call continues.</v>
      </c>
      <c r="E14" s="121" t="str">
        <v>1. A running online meeting room with two participants.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80.5" customHeight="1">
      <c r="A15" s="121" t="str">
        <v>CALL_FT04</v>
      </c>
      <c r="B15" s="121" t="str">
        <v>Open a meeting document from inside the room.</v>
      </c>
      <c r="C15" s="121" t="str">
        <v>1. In the room, open Tài liệu and click a document.</v>
      </c>
      <c r="D15" s="121" t="str">
        <v>1. The document opens in a new tab ("Mở ở tab mới, bạn vẫn ở trong phòng").
2. The call in the first tab keeps running.</v>
      </c>
      <c r="E15" s="121" t="str">
        <v>1. A running online meeting with documents.</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18</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COUNTIF(F12:F39,"Passed")</f>
        <v>0</v>
      </c>
      <c r="C6" s="115" t="n">
        <f>COUNTIF(F12:F39,"Failed")</f>
        <v>0</v>
      </c>
      <c r="D6" s="115" t="n">
        <f>B4-B6-C6-E6</f>
        <v>18</v>
      </c>
      <c r="E6" s="115" t="n">
        <f>COUNTIF(F12:F39,"Skipped")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COUNTIF(I12:I39,"Passed")</f>
        <v>0</v>
      </c>
      <c r="C7" s="115" t="n">
        <f>COUNTIF(I12:I39,"Failed")</f>
        <v>0</v>
      </c>
      <c r="D7" s="115" t="n">
        <f>B4-B7-C7-E7</f>
        <v>18</v>
      </c>
      <c r="E7" s="115" t="n">
        <f>COUNTIF(I12:I39,"Skipped")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COUNTIF(L12:L39,"Passed")</f>
        <v>0</v>
      </c>
      <c r="C8" s="115" t="n">
        <f>COUNTIF(L12:L39,"Failed")</f>
        <v>0</v>
      </c>
      <c r="D8" s="115" t="n">
        <f>B4-B8-C8-E8</f>
        <v>18</v>
      </c>
      <c r="E8" s="115" t="n">
        <f>COUNTIF(L12:L39,"Skipped")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Danh sách cuộc họp</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MEET_FT01</v>
      </c>
      <c r="B12" s="121" t="str">
        <v>The meeting list shows only meetings the user may see, with search, status filter and paging.</v>
      </c>
      <c r="C12" s="121" t="str">
        <v>1. Sign in as thuky and open Cuộc họp.
2. Type "Giao ban" in "Tìm theo tên cuộc họp…".
3. Click a status in the summary ("Lọc nhanh theo trạng thái"), e.g. Bản nháp.
4. Change the page and the rows per page.
5. Click "Xoá bộ lọc".</v>
      </c>
      <c r="D12" s="121" t="str">
        <v>1. Rows show the name, status badge, Thời điểm and the sensitivity.
2. Search and status narrow the list; with no match "Không có cuộc họp nào khớp bộ lọc.".
3. Meetings of other organizers that thuky is not part of never appear.
4. Clearing returns the full list.</v>
      </c>
      <c r="E12" s="121" t="str">
        <v>1. Several meetings in different statuses exist, some owned by another creator.</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95.0" customHeight="1">
      <c r="A13" s="121" t="str">
        <v>MEET_FT02</v>
      </c>
      <c r="B13" s="121" t="str">
        <v>A member sees an invited meeting only after it is published.</v>
      </c>
      <c r="C13" s="121" t="str">
        <v>1. Sign in as thanhvien and open Cuộc họp.</v>
      </c>
      <c r="D13" s="121" t="str">
        <v>1. Only Published (and later) meetings where thanhvien is invited are listed.
2. With none, "Cuộc họp bạn được mời sẽ hiện ở đây sau khi được công bố." is shown.</v>
      </c>
      <c r="E13" s="121" t="str">
        <v>1. thanhvien is on the roster of one Draft and one Published meeting.</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24" customHeight="1">
      <c r="A14" s="121" t="str">
        <v>Tạo cuộc họp</v>
      </c>
      <c r="B14" s="121"/>
      <c r="C14" s="121"/>
      <c r="D14" s="121"/>
      <c r="E14" s="121"/>
      <c r="F14" s="121"/>
      <c r="G14" s="122"/>
      <c r="H14" s="121"/>
      <c r="I14" s="121"/>
      <c r="J14" s="122"/>
      <c r="K14" s="121"/>
      <c r="L14" s="121"/>
      <c r="M14" s="122"/>
      <c r="N14" s="121"/>
      <c r="O14" s="123"/>
      <c r="P14" s="124"/>
      <c r="Q14" s="113"/>
      <c r="R14" s="113"/>
      <c r="S14" s="113"/>
      <c r="T14" s="113"/>
      <c r="U14" s="113"/>
      <c r="V14" s="113"/>
      <c r="W14" s="113"/>
      <c r="X14" s="113"/>
      <c r="Y14" s="113"/>
    </row>
    <row r="15" ht="182.0" customHeight="1">
      <c r="A15" s="121" t="str">
        <v>MEET_FT03</v>
      </c>
      <c r="B15" s="121" t="str">
        <v>Create a Draft meeting with the required information and a roster.</v>
      </c>
      <c r="C15" s="121" t="str">
        <v>1. Click "Tạo cuộc họp".
2. Enter Tên cuộc họp: Giao ban tuần 40, Ngày họp: tomorrow, Bắt đầu 09:00, Kết thúc 10:00, Hình thức: Trực tiếp, Địa điểm: Phòng họp A — Tầng 4, Mức độ mật: Nội bộ.
3. In "Tìm người dự họp", add chutoa as Chủ tọa and thanhvien as Thành viên.
4. Click "Tạo cuộc họp" in the dialog.</v>
      </c>
      <c r="D15" s="121" t="str">
        <v>1. The toast "Tạo cuộc họp thành công." appears.
2. The meeting detail opens with status Bản nháp and the entered information on Thông tin chung.
3. The meeting is in the list.</v>
      </c>
      <c r="E15" s="121" t="str">
        <v>1. Signed in as thuky@trustcabinet.local (MeetingCreator).</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38.5" customHeight="1">
      <c r="A16" s="121" t="str">
        <v>MEET_FT04</v>
      </c>
      <c r="B16" s="121" t="str">
        <v>The meeting form validates the required fields and the schedule.</v>
      </c>
      <c r="C16" s="121" t="str">
        <v>1. Open "Tạo cuộc họp" and submit it empty.
2. Set the end time before the start time.
3. Set a start time in the past.
4. Correct everything and submit.</v>
      </c>
      <c r="D16" s="121" t="str">
        <v>1. "Tên cuộc họp không được để trống.", "Vui lòng chọn ngày họp." and the time errors appear.
2. "Thời gian kết thúc phải sau thời gian bắt đầu." and "Thời gian bắt đầu phải sau thời điểm hiện tại." are shown.
3. Only the corrected submission creates exactly one meeting.</v>
      </c>
      <c r="E16" s="121" t="str">
        <v>1. Signed in as thuky@trustcabinet.local.</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MEET_FT05</v>
      </c>
      <c r="B17" s="121" t="str">
        <v>Closing the form with unsaved input asks first.</v>
      </c>
      <c r="C17" s="121" t="str">
        <v>1. Open "Tạo cuộc họp", type a title and close the dialog.
2. Click "Tiếp tục soạn", then close again and click "Bỏ cuộc họp".</v>
      </c>
      <c r="D17" s="121" t="str">
        <v>1. "Bỏ cuộc họp đang soạn?" is asked.
2. "Tiếp tục soạn" keeps the input; "Bỏ cuộc họp" closes without creating anything.</v>
      </c>
      <c r="E17" s="121" t="str">
        <v>1. Signed in as thuky@trustcabinet.local.</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24" customHeight="1">
      <c r="A18" s="121" t="str">
        <v>Chỉnh sửa cuộc họp</v>
      </c>
      <c r="B18" s="121"/>
      <c r="C18" s="121"/>
      <c r="D18" s="121"/>
      <c r="E18" s="121"/>
      <c r="F18" s="121"/>
      <c r="G18" s="122"/>
      <c r="H18" s="121"/>
      <c r="I18" s="121"/>
      <c r="J18" s="122"/>
      <c r="K18" s="121"/>
      <c r="L18" s="121"/>
      <c r="M18" s="122"/>
      <c r="N18" s="121"/>
      <c r="O18" s="123"/>
      <c r="P18" s="124"/>
      <c r="Q18" s="113"/>
      <c r="R18" s="113"/>
      <c r="S18" s="113"/>
      <c r="T18" s="113"/>
      <c r="U18" s="113"/>
      <c r="V18" s="113"/>
      <c r="W18" s="113"/>
      <c r="X18" s="113"/>
      <c r="Y18" s="113"/>
    </row>
    <row r="19" ht="95.0" customHeight="1">
      <c r="A19" s="121" t="str">
        <v>MEET_FT06</v>
      </c>
      <c r="B19" s="121" t="str">
        <v>Edit a Draft meeting.</v>
      </c>
      <c r="C19" s="121" t="str">
        <v>1. Open the Draft and click "Chỉnh sửa".
2. Change the title, the time and the location and click "Lưu thay đổi".
3. Reload the page.</v>
      </c>
      <c r="D19" s="121" t="str">
        <v>1. The toast "Cập nhật cuộc họp thành công." appears.
2. Thông tin chung shows the new values after reload.</v>
      </c>
      <c r="E19" s="121" t="str">
        <v>1. thuky owns a Draft meeting.</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row r="20" ht="24" customHeight="1">
      <c r="A20" s="121" t="str">
        <v>Gửi duyệt</v>
      </c>
      <c r="B20" s="121"/>
      <c r="C20" s="121"/>
      <c r="D20" s="121"/>
      <c r="E20" s="121"/>
      <c r="F20" s="121"/>
      <c r="G20" s="122"/>
      <c r="H20" s="121"/>
      <c r="I20" s="121"/>
      <c r="J20" s="122"/>
      <c r="K20" s="121"/>
      <c r="L20" s="121"/>
      <c r="M20" s="122"/>
      <c r="N20" s="121"/>
      <c r="O20" s="123"/>
      <c r="P20" s="124"/>
      <c r="Q20" s="113"/>
      <c r="R20" s="113"/>
      <c r="S20" s="113"/>
      <c r="T20" s="113"/>
      <c r="U20" s="113"/>
      <c r="V20" s="113"/>
      <c r="W20" s="113"/>
      <c r="X20" s="113"/>
      <c r="Y20" s="113"/>
    </row>
    <row r="21" ht="124.0" customHeight="1">
      <c r="A21" s="121" t="str">
        <v>MEET_FT07</v>
      </c>
      <c r="B21" s="121" t="str">
        <v>Submit a Draft for approval to a chosen approver.</v>
      </c>
      <c r="C21" s="121" t="str">
        <v>1. Open the demo Draft "SCRUM-19 — Luồng duyệt và công bố (demo)".
2. Click "Gửi duyệt".
3. In "Chọn người duyệt" choose Trần Chủ Toạ and click "Gửi duyệt".</v>
      </c>
      <c r="D21" s="121" t="str">
        <v>1. A toast confirms the submission.
2. The status becomes Chờ duyệt; the bar shows "Đang chờ duyệt" and the approver.
3. Thông tin chung cannot be edited while waiting ("Trong lúc chờ duyệt, thông tin cuộc họp không sửa được.").
4. chutoa receives a notification.</v>
      </c>
      <c r="E21" s="121" t="str">
        <v>1. Signed in as thuky; chutoa has MeetingApprover.</v>
      </c>
      <c r="F21" s="121" t="str">
        <v>Pending</v>
      </c>
      <c r="G21" s="122" t="str"/>
      <c r="H21" s="121" t="str"/>
      <c r="I21" s="121" t="str"/>
      <c r="J21" s="122" t="str"/>
      <c r="K21" s="121" t="str"/>
      <c r="L21" s="121" t="str"/>
      <c r="M21" s="122" t="str"/>
      <c r="N21" s="121" t="str"/>
      <c r="O21" s="123" t="str"/>
      <c r="P21" s="124"/>
      <c r="Q21" s="113"/>
      <c r="R21" s="113"/>
      <c r="S21" s="113"/>
      <c r="T21" s="113"/>
      <c r="U21" s="113"/>
      <c r="V21" s="113"/>
      <c r="W21" s="113"/>
      <c r="X21" s="113"/>
      <c r="Y21" s="113"/>
    </row>
    <row r="22" ht="80.5" customHeight="1">
      <c r="A22" s="121" t="str">
        <v>MEET_FT08</v>
      </c>
      <c r="B22" s="121" t="str">
        <v>A meeting with missing information cannot be submitted.</v>
      </c>
      <c r="C22" s="121" t="str">
        <v>1. Open a Draft without a Chair (or with a blank title).</v>
      </c>
      <c r="D22" s="121" t="str">
        <v>1. The bar shows "Hoàn thiện thông tin trước khi gửi duyệt" with "Cần hoàn thiện trước khi gửi duyệt:" and the missing items.
2. "Gửi duyệt" is not available.</v>
      </c>
      <c r="E22" s="121" t="str">
        <v>1. thuky owns an incomplete Draft.</v>
      </c>
      <c r="F22" s="121" t="str">
        <v>Pending</v>
      </c>
      <c r="G22" s="122" t="str"/>
      <c r="H22" s="121" t="str"/>
      <c r="I22" s="121" t="str"/>
      <c r="J22" s="122" t="str"/>
      <c r="K22" s="121" t="str"/>
      <c r="L22" s="121" t="str"/>
      <c r="M22" s="122" t="str"/>
      <c r="N22" s="121" t="str"/>
      <c r="O22" s="123" t="str"/>
      <c r="P22" s="124"/>
      <c r="Q22" s="113"/>
      <c r="R22" s="113"/>
      <c r="S22" s="113"/>
      <c r="T22" s="113"/>
      <c r="U22" s="113"/>
      <c r="V22" s="113"/>
      <c r="W22" s="113"/>
      <c r="X22" s="113"/>
      <c r="Y22" s="113"/>
    </row>
    <row r="23" ht="24" customHeight="1">
      <c r="A23" s="121" t="str">
        <v>Duyệt / Từ chối</v>
      </c>
      <c r="B23" s="121"/>
      <c r="C23" s="121"/>
      <c r="D23" s="121"/>
      <c r="E23" s="121"/>
      <c r="F23" s="121"/>
      <c r="G23" s="122"/>
      <c r="H23" s="121"/>
      <c r="I23" s="121"/>
      <c r="J23" s="122"/>
      <c r="K23" s="121"/>
      <c r="L23" s="121"/>
      <c r="M23" s="122"/>
      <c r="N23" s="121"/>
      <c r="O23" s="123"/>
      <c r="P23" s="124"/>
      <c r="Q23" s="113"/>
      <c r="R23" s="113"/>
      <c r="S23" s="113"/>
      <c r="T23" s="113"/>
      <c r="U23" s="113"/>
      <c r="V23" s="113"/>
      <c r="W23" s="113"/>
      <c r="X23" s="113"/>
      <c r="Y23" s="113"/>
    </row>
    <row r="24" ht="95.0" customHeight="1">
      <c r="A24" s="121" t="str">
        <v>MEET_FT09</v>
      </c>
      <c r="B24" s="121" t="str">
        <v>The approver approves a meeting.</v>
      </c>
      <c r="C24" s="121" t="str">
        <v>1. Sign in as chutoa and open the meeting (from the notification or the list).
2. Click "Duyệt" and confirm "Duyệt cuộc họp".</v>
      </c>
      <c r="D24" s="121" t="str">
        <v>1. The toast "Đã duyệt cuộc họp." appears.
2. The status becomes Đã duyệt and the bar shows "Bạn đã duyệt cuộc họp này".
3. thuky is notified.</v>
      </c>
      <c r="E24" s="121" t="str">
        <v>1. A meeting is Chờ duyệt with chutoa as approver.</v>
      </c>
      <c r="F24" s="121" t="str">
        <v>Pending</v>
      </c>
      <c r="G24" s="122" t="str"/>
      <c r="H24" s="121" t="str"/>
      <c r="I24" s="121" t="str"/>
      <c r="J24" s="122" t="str"/>
      <c r="K24" s="121" t="str"/>
      <c r="L24" s="121" t="str"/>
      <c r="M24" s="122" t="str"/>
      <c r="N24" s="121" t="str"/>
      <c r="O24" s="123" t="str"/>
      <c r="P24" s="124"/>
      <c r="Q24" s="113"/>
      <c r="R24" s="113"/>
      <c r="S24" s="113"/>
      <c r="T24" s="113"/>
      <c r="U24" s="113"/>
      <c r="V24" s="113"/>
      <c r="W24" s="113"/>
      <c r="X24" s="113"/>
      <c r="Y24" s="113"/>
    </row>
    <row r="25" ht="138.5" customHeight="1">
      <c r="A25" s="121" t="str">
        <v>MEET_FT10</v>
      </c>
      <c r="B25" s="121" t="str">
        <v>The approver rejects with a reason; the organizer revises and resubmits.</v>
      </c>
      <c r="C25" s="121" t="str">
        <v>1. As chutoa, click "Từ chối", leave Lý do từ chối empty and confirm.
2. Enter "Cần bổ sung báo cáo tài chính vào nội dung cuộc họp." and click "Từ chối".
3. As thuky, open the meeting, edit it and click "Gửi duyệt lại".</v>
      </c>
      <c r="D25" s="121" t="str">
        <v>1. Empty reason: "Cần nhập lý do từ chối.".
2. After rejecting: "Đã từ chối cuộc họp."; status Bị từ chối; thuky sees "Cuộc họp bị từ chối" with the reason.
3. Resubmission goes back to Chờ duyệt; the history keeps the rejection.</v>
      </c>
      <c r="E25" s="121" t="str">
        <v>1. A meeting is Chờ duyệt with chutoa as approver.</v>
      </c>
      <c r="F25" s="121" t="str">
        <v>Pending</v>
      </c>
      <c r="G25" s="122" t="str"/>
      <c r="H25" s="121" t="str"/>
      <c r="I25" s="121" t="str"/>
      <c r="J25" s="122" t="str"/>
      <c r="K25" s="121" t="str"/>
      <c r="L25" s="121" t="str"/>
      <c r="M25" s="122" t="str"/>
      <c r="N25" s="121" t="str"/>
      <c r="O25" s="123" t="str"/>
      <c r="P25" s="124"/>
      <c r="Q25" s="113"/>
      <c r="R25" s="113"/>
      <c r="S25" s="113"/>
      <c r="T25" s="113"/>
      <c r="U25" s="113"/>
      <c r="V25" s="113"/>
      <c r="W25" s="113"/>
      <c r="X25" s="113"/>
      <c r="Y25" s="113"/>
    </row>
    <row r="26" ht="80.5" customHeight="1">
      <c r="A26" s="121" t="str">
        <v>MEET_FT11</v>
      </c>
      <c r="B26" s="121" t="str">
        <v>The organizer withdraws a waiting meeting to Draft.</v>
      </c>
      <c r="C26" s="121" t="str">
        <v>1. As thuky, open a Chờ duyệt meeting whose approver lost MeetingApprover.
2. Click "Rút về nháp".</v>
      </c>
      <c r="D26" s="121" t="str">
        <v>1. The bar shows "Người duyệt không còn quyền duyệt".
2. After withdrawing, "Đã đưa cuộc họp về bản nháp." and the status is Bản nháp.</v>
      </c>
      <c r="E26" s="121" t="str">
        <v>1. The assigned approver's role lost MeetingApprover.</v>
      </c>
      <c r="F26" s="121" t="str">
        <v>Pending</v>
      </c>
      <c r="G26" s="122" t="str"/>
      <c r="H26" s="121" t="str"/>
      <c r="I26" s="121" t="str"/>
      <c r="J26" s="122" t="str"/>
      <c r="K26" s="121" t="str"/>
      <c r="L26" s="121" t="str"/>
      <c r="M26" s="122" t="str"/>
      <c r="N26" s="121" t="str"/>
      <c r="O26" s="123" t="str"/>
      <c r="P26" s="124"/>
      <c r="Q26" s="113"/>
      <c r="R26" s="113"/>
      <c r="S26" s="113"/>
      <c r="T26" s="113"/>
      <c r="U26" s="113"/>
      <c r="V26" s="113"/>
      <c r="W26" s="113"/>
      <c r="X26" s="113"/>
      <c r="Y26" s="113"/>
    </row>
    <row r="27" ht="24" customHeight="1">
      <c r="A27" s="121" t="str">
        <v>Công bố</v>
      </c>
      <c r="B27" s="121"/>
      <c r="C27" s="121"/>
      <c r="D27" s="121"/>
      <c r="E27" s="121"/>
      <c r="F27" s="121"/>
      <c r="G27" s="122"/>
      <c r="H27" s="121"/>
      <c r="I27" s="121"/>
      <c r="J27" s="122"/>
      <c r="K27" s="121"/>
      <c r="L27" s="121"/>
      <c r="M27" s="122"/>
      <c r="N27" s="121"/>
      <c r="O27" s="123"/>
      <c r="P27" s="124"/>
      <c r="Q27" s="113"/>
      <c r="R27" s="113"/>
      <c r="S27" s="113"/>
      <c r="T27" s="113"/>
      <c r="U27" s="113"/>
      <c r="V27" s="113"/>
      <c r="W27" s="113"/>
      <c r="X27" s="113"/>
      <c r="Y27" s="113"/>
    </row>
    <row r="28" ht="109.5" customHeight="1">
      <c r="A28" s="121" t="str">
        <v>MEET_FT12</v>
      </c>
      <c r="B28" s="121" t="str">
        <v>Publish an approved meeting that has a Chair and a Secretary.</v>
      </c>
      <c r="C28" s="121" t="str">
        <v>1. As thuky, open the Đã duyệt meeting.
2. Click "Công bố" and confirm "Công bố cuộc họp".</v>
      </c>
      <c r="D28" s="121" t="str">
        <v>1. The toast "Đã công bố cuộc họp." appears; the status is Đã công bố.
2. Every invitee gets an in-app notification and an email invitation (with an .ics file) in the SMTP sandbox.
3. The meeting now appears in the invitees' lists and calendars.</v>
      </c>
      <c r="E28" s="121" t="str">
        <v>1. An Đã duyệt meeting with an active Chủ tọa and Thư ký on the roster.
2. SMTP sandbox is running.</v>
      </c>
      <c r="F28" s="121" t="str">
        <v>Pending</v>
      </c>
      <c r="G28" s="122" t="str"/>
      <c r="H28" s="121" t="str"/>
      <c r="I28" s="121" t="str"/>
      <c r="J28" s="122" t="str"/>
      <c r="K28" s="121" t="str"/>
      <c r="L28" s="121" t="str"/>
      <c r="M28" s="122" t="str"/>
      <c r="N28" s="121" t="str"/>
      <c r="O28" s="123" t="str"/>
      <c r="P28" s="124"/>
      <c r="Q28" s="113"/>
      <c r="R28" s="113"/>
      <c r="S28" s="113"/>
      <c r="T28" s="113"/>
      <c r="U28" s="113"/>
      <c r="V28" s="113"/>
      <c r="W28" s="113"/>
      <c r="X28" s="113"/>
      <c r="Y28" s="113"/>
    </row>
    <row r="29" ht="95.0" customHeight="1">
      <c r="A29" s="121" t="str">
        <v>MEET_FT13</v>
      </c>
      <c r="B29" s="121" t="str">
        <v>Publishing is refused without a Chair and a Secretary.</v>
      </c>
      <c r="C29" s="121" t="str">
        <v>1. Remove the Thư ký from an Đã duyệt meeting.
2. Click "Công bố".</v>
      </c>
      <c r="D29" s="121" t="str">
        <v>1. "Cuộc họp cần có đúng một Chủ tọa đang hoạt động và ít nhất một Thư ký đang hoạt động trước khi công bố." is shown.
2. The meeting stays Đã duyệt and no invitation is sent.</v>
      </c>
      <c r="E29" s="121" t="str">
        <v>1. thuky owns an Đã duyệt meeting.</v>
      </c>
      <c r="F29" s="121" t="str">
        <v>Pending</v>
      </c>
      <c r="G29" s="122" t="str"/>
      <c r="H29" s="121" t="str"/>
      <c r="I29" s="121" t="str"/>
      <c r="J29" s="122" t="str"/>
      <c r="K29" s="121" t="str"/>
      <c r="L29" s="121" t="str"/>
      <c r="M29" s="122" t="str"/>
      <c r="N29" s="121" t="str"/>
      <c r="O29" s="123" t="str"/>
      <c r="P29" s="124"/>
      <c r="Q29" s="113"/>
      <c r="R29" s="113"/>
      <c r="S29" s="113"/>
      <c r="T29" s="113"/>
      <c r="U29" s="113"/>
      <c r="V29" s="113"/>
      <c r="W29" s="113"/>
      <c r="X29" s="113"/>
      <c r="Y29" s="113"/>
    </row>
    <row r="30" ht="24" customHeight="1">
      <c r="A30" s="121" t="str">
        <v>Dời lịch</v>
      </c>
      <c r="B30" s="121"/>
      <c r="C30" s="121"/>
      <c r="D30" s="121"/>
      <c r="E30" s="121"/>
      <c r="F30" s="121"/>
      <c r="G30" s="122"/>
      <c r="H30" s="121"/>
      <c r="I30" s="121"/>
      <c r="J30" s="122"/>
      <c r="K30" s="121"/>
      <c r="L30" s="121"/>
      <c r="M30" s="122"/>
      <c r="N30" s="121"/>
      <c r="O30" s="123"/>
      <c r="P30" s="124"/>
      <c r="Q30" s="113"/>
      <c r="R30" s="113"/>
      <c r="S30" s="113"/>
      <c r="T30" s="113"/>
      <c r="U30" s="113"/>
      <c r="V30" s="113"/>
      <c r="W30" s="113"/>
      <c r="X30" s="113"/>
      <c r="Y30" s="113"/>
    </row>
    <row r="31" ht="124.0" customHeight="1">
      <c r="A31" s="121" t="str">
        <v>MEET_FT14</v>
      </c>
      <c r="B31" s="121" t="str">
        <v>Reschedule a published meeting and notify the invitees.</v>
      </c>
      <c r="C31" s="121" t="str">
        <v>1. Open the Đã công bố meeting and click "Dời lịch".
2. Move it one day later, change the location and click "Lưu và thông báo".</v>
      </c>
      <c r="D31" s="121" t="str">
        <v>1. The toast "Đã dời lịch cuộc họp. Người được mời sẽ nhận thông báo." appears.
2. Title and sensitivity are locked ("Đã công bố, không đổi được.").
3. Invitees receive a notification and an update email; Lịch làm việc shows the new time.</v>
      </c>
      <c r="E31" s="121" t="str">
        <v>1. thuky owns a Published meeting with invitees.</v>
      </c>
      <c r="F31" s="121" t="str">
        <v>Pending</v>
      </c>
      <c r="G31" s="122" t="str"/>
      <c r="H31" s="121" t="str"/>
      <c r="I31" s="121" t="str"/>
      <c r="J31" s="122" t="str"/>
      <c r="K31" s="121" t="str"/>
      <c r="L31" s="121" t="str"/>
      <c r="M31" s="122" t="str"/>
      <c r="N31" s="121" t="str"/>
      <c r="O31" s="123" t="str"/>
      <c r="P31" s="124"/>
      <c r="Q31" s="113"/>
      <c r="R31" s="113"/>
      <c r="S31" s="113"/>
      <c r="T31" s="113"/>
      <c r="U31" s="113"/>
      <c r="V31" s="113"/>
      <c r="W31" s="113"/>
      <c r="X31" s="113"/>
      <c r="Y31" s="113"/>
    </row>
    <row r="32" ht="24" customHeight="1">
      <c r="A32" s="121" t="str">
        <v>Huỷ cuộc họp</v>
      </c>
      <c r="B32" s="121"/>
      <c r="C32" s="121"/>
      <c r="D32" s="121"/>
      <c r="E32" s="121"/>
      <c r="F32" s="121"/>
      <c r="G32" s="122"/>
      <c r="H32" s="121"/>
      <c r="I32" s="121"/>
      <c r="J32" s="122"/>
      <c r="K32" s="121"/>
      <c r="L32" s="121"/>
      <c r="M32" s="122"/>
      <c r="N32" s="121"/>
      <c r="O32" s="123"/>
      <c r="P32" s="124"/>
      <c r="Q32" s="113"/>
      <c r="R32" s="113"/>
      <c r="S32" s="113"/>
      <c r="T32" s="113"/>
      <c r="U32" s="113"/>
      <c r="V32" s="113"/>
      <c r="W32" s="113"/>
      <c r="X32" s="113"/>
      <c r="Y32" s="113"/>
    </row>
    <row r="33" ht="138.5" customHeight="1">
      <c r="A33" s="121" t="str">
        <v>MEET_FT15</v>
      </c>
      <c r="B33" s="121" t="str">
        <v>Cancel a meeting with a reason.</v>
      </c>
      <c r="C33" s="121" t="str">
        <v>1. Open a Published meeting and choose "Huỷ cuộc họp".
2. Confirm without a reason.
3. Enter "Lãnh đạo đi công tác, sẽ xếp lịch lại sau." and confirm.</v>
      </c>
      <c r="D33" s="121" t="str">
        <v>1. Without a reason: "Cần nhập lý do huỷ cuộc họp.".
2. The dialog warns "Mọi người được mời sẽ nhận thông báo và email kèm lý do. Không hoàn tác được.".
3. After confirming: "Đã huỷ cuộc họp."; the page shows "Cuộc họp đã huỷ" with the reason; invitees are notified.</v>
      </c>
      <c r="E33" s="121" t="str">
        <v>1. thuky owns a Published meeting.</v>
      </c>
      <c r="F33" s="121" t="str">
        <v>Pending</v>
      </c>
      <c r="G33" s="122" t="str"/>
      <c r="H33" s="121" t="str"/>
      <c r="I33" s="121" t="str"/>
      <c r="J33" s="122" t="str"/>
      <c r="K33" s="121" t="str"/>
      <c r="L33" s="121" t="str"/>
      <c r="M33" s="122" t="str"/>
      <c r="N33" s="121" t="str"/>
      <c r="O33" s="123" t="str"/>
      <c r="P33" s="124"/>
      <c r="Q33" s="113"/>
      <c r="R33" s="113"/>
      <c r="S33" s="113"/>
      <c r="T33" s="113"/>
      <c r="U33" s="113"/>
      <c r="V33" s="113"/>
      <c r="W33" s="113"/>
      <c r="X33" s="113"/>
      <c r="Y33" s="113"/>
    </row>
    <row r="34" ht="24" customHeight="1">
      <c r="A34" s="121" t="str">
        <v>Bắt đầu / Kết thúc</v>
      </c>
      <c r="B34" s="121"/>
      <c r="C34" s="121"/>
      <c r="D34" s="121"/>
      <c r="E34" s="121"/>
      <c r="F34" s="121"/>
      <c r="G34" s="122"/>
      <c r="H34" s="121"/>
      <c r="I34" s="121"/>
      <c r="J34" s="122"/>
      <c r="K34" s="121"/>
      <c r="L34" s="121"/>
      <c r="M34" s="122"/>
      <c r="N34" s="121"/>
      <c r="O34" s="123"/>
      <c r="P34" s="124"/>
      <c r="Q34" s="113"/>
      <c r="R34" s="113"/>
      <c r="S34" s="113"/>
      <c r="T34" s="113"/>
      <c r="U34" s="113"/>
      <c r="V34" s="113"/>
      <c r="W34" s="113"/>
      <c r="X34" s="113"/>
      <c r="Y34" s="113"/>
    </row>
    <row r="35" ht="109.5" customHeight="1">
      <c r="A35" s="121" t="str">
        <v>MEET_FT16</v>
      </c>
      <c r="B35" s="121" t="str">
        <v>The Chair starts and ends the meeting.</v>
      </c>
      <c r="C35" s="121" t="str">
        <v>1. As chutoa (Chair), open a Published meeting and click "Bắt đầu họp" (confirm "Vẫn bắt đầu" if it is early).
2. Later click "Kết thúc họp" and confirm "Kết thúc cuộc họp?".</v>
      </c>
      <c r="D35" s="121" t="str">
        <v>1. The status becomes Đang diễn ra and "Vào phòng họp" appears for invitees.
2. After ending, the status is Đã kết thúc and Thời gian thực tế shows the real start and end.</v>
      </c>
      <c r="E35" s="121" t="str">
        <v>1. A Published meeting with chutoa as Chair and an active Secretary.</v>
      </c>
      <c r="F35" s="121" t="str">
        <v>Pending</v>
      </c>
      <c r="G35" s="122" t="str"/>
      <c r="H35" s="121" t="str"/>
      <c r="I35" s="121" t="str"/>
      <c r="J35" s="122" t="str"/>
      <c r="K35" s="121" t="str"/>
      <c r="L35" s="121" t="str"/>
      <c r="M35" s="122" t="str"/>
      <c r="N35" s="121" t="str"/>
      <c r="O35" s="123" t="str"/>
      <c r="P35" s="124"/>
      <c r="Q35" s="113"/>
      <c r="R35" s="113"/>
      <c r="S35" s="113"/>
      <c r="T35" s="113"/>
      <c r="U35" s="113"/>
      <c r="V35" s="113"/>
      <c r="W35" s="113"/>
      <c r="X35" s="113"/>
      <c r="Y35" s="113"/>
    </row>
    <row r="36" ht="24" customHeight="1">
      <c r="A36" s="121" t="str">
        <v>Chi tiết cuộc họp</v>
      </c>
      <c r="B36" s="121"/>
      <c r="C36" s="121"/>
      <c r="D36" s="121"/>
      <c r="E36" s="121"/>
      <c r="F36" s="121"/>
      <c r="G36" s="122"/>
      <c r="H36" s="121"/>
      <c r="I36" s="121"/>
      <c r="J36" s="122"/>
      <c r="K36" s="121"/>
      <c r="L36" s="121"/>
      <c r="M36" s="122"/>
      <c r="N36" s="121"/>
      <c r="O36" s="123"/>
      <c r="P36" s="124"/>
      <c r="Q36" s="113"/>
      <c r="R36" s="113"/>
      <c r="S36" s="113"/>
      <c r="T36" s="113"/>
      <c r="U36" s="113"/>
      <c r="V36" s="113"/>
      <c r="W36" s="113"/>
      <c r="X36" s="113"/>
      <c r="Y36" s="113"/>
    </row>
    <row r="37" ht="109.5" customHeight="1">
      <c r="A37" s="121" t="str">
        <v>MEET_FT17</v>
      </c>
      <c r="B37" s="121" t="str">
        <v>Meeting detail shows the general information and the history; restricted meetings return 404.</v>
      </c>
      <c r="C37" s="121" t="str">
        <v>1. Open a meeting you take part in; read Thông tin chung and the status history ("Xem thêm").
2. As an outsider, open the URL of that meeting.</v>
      </c>
      <c r="D37" s="121" t="str">
        <v>1. Status, Mức độ, Thời gian, Hình thức, Địa điểm, Chủ tọa, Thư ký and Mô tả are shown.
2. The history lists each status change with who and when.
3. The outsider sees the not-found page.</v>
      </c>
      <c r="E37" s="121" t="str">
        <v>1. A Published meeting and an unrelated outsider account.</v>
      </c>
      <c r="F37" s="121" t="str">
        <v>Pending</v>
      </c>
      <c r="G37" s="122" t="str"/>
      <c r="H37" s="121" t="str"/>
      <c r="I37" s="121" t="str"/>
      <c r="J37" s="122" t="str"/>
      <c r="K37" s="121" t="str"/>
      <c r="L37" s="121" t="str"/>
      <c r="M37" s="122" t="str"/>
      <c r="N37" s="121" t="str"/>
      <c r="O37" s="123" t="str"/>
      <c r="P37" s="124"/>
      <c r="Q37" s="113"/>
      <c r="R37" s="113"/>
      <c r="S37" s="113"/>
      <c r="T37" s="113"/>
      <c r="U37" s="113"/>
      <c r="V37" s="113"/>
      <c r="W37" s="113"/>
      <c r="X37" s="113"/>
      <c r="Y37" s="113"/>
    </row>
    <row r="38" ht="24" customHeight="1">
      <c r="A38" s="121" t="str">
        <v>Tạo cuộc họp</v>
      </c>
      <c r="B38" s="121"/>
      <c r="C38" s="121"/>
      <c r="D38" s="121"/>
      <c r="E38" s="121"/>
      <c r="F38" s="121"/>
      <c r="G38" s="122"/>
      <c r="H38" s="121"/>
      <c r="I38" s="121"/>
      <c r="J38" s="122"/>
      <c r="K38" s="121"/>
      <c r="L38" s="121"/>
      <c r="M38" s="122"/>
      <c r="N38" s="121"/>
      <c r="O38" s="123"/>
      <c r="P38" s="124"/>
      <c r="Q38" s="113"/>
      <c r="R38" s="113"/>
      <c r="S38" s="113"/>
      <c r="T38" s="113"/>
      <c r="U38" s="113"/>
      <c r="V38" s="113"/>
      <c r="W38" s="113"/>
      <c r="X38" s="113"/>
      <c r="Y38" s="113"/>
    </row>
    <row r="39" ht="167.5" customHeight="1">
      <c r="A39" s="121" t="str">
        <v>MEET_FT18</v>
      </c>
      <c r="B39" s="121" t="str">
        <v>Pick the date and times with the date and time fields.</v>
      </c>
      <c r="C39" s="121" t="str">
        <v>1. Open "Tạo cuộc họp".
2. In Ngày họp type 15/11/2026, then use "Chọn ngày trên lịch" to pick another day.
3. In Bắt đầu type 09:00, then open "Chọn giờ" and pick 09:30.
4. Open the list of Kết thúc.
5. Change Hình thức between Trực tiếp, Trực tuyến and Kết hợp.</v>
      </c>
      <c r="D39" s="121" t="str">
        <v>1. Dates read dd/mm/yyyy and times hh:mm on the 24-hour clock, whatever the browser language.
2. The end-time list starts after the start time and shows how long the meeting would last.
3. Under Hình thức the hint says how it is recorded: "Ghi âm: Thư ký ghi cả phòng.", "Ghi âm: mỗi người ghi micro của mình." or "Ghi âm: mic phòng và micro người trực tuyến.".</v>
      </c>
      <c r="E39" s="121" t="str">
        <v>1. Signed in as thuky@trustcabinet.local.</v>
      </c>
      <c r="F39" s="121" t="str">
        <v>Pending</v>
      </c>
      <c r="G39" s="122" t="str"/>
      <c r="H39" s="121" t="str"/>
      <c r="I39" s="121" t="str"/>
      <c r="J39" s="122" t="str"/>
      <c r="K39" s="121" t="str"/>
      <c r="L39" s="121" t="str"/>
      <c r="M39" s="122" t="str"/>
      <c r="N39" s="121" t="str"/>
      <c r="O39" s="123" t="str"/>
      <c r="P39" s="124"/>
      <c r="Q39" s="113"/>
      <c r="R39" s="113"/>
      <c r="S39" s="113"/>
      <c r="T39" s="113"/>
      <c r="U39" s="113"/>
      <c r="V39" s="113"/>
      <c r="W39" s="113"/>
      <c r="X39" s="113"/>
      <c r="Y39" s="113"/>
    </row>
  </sheetData>
  <mergeCells count="14">
    <mergeCell ref="B2:E2"/>
    <mergeCell ref="B3:E3"/>
    <mergeCell ref="B4:E4"/>
    <mergeCell ref="A11:O11"/>
    <mergeCell ref="A14:O14"/>
    <mergeCell ref="A18:O18"/>
    <mergeCell ref="A20:O20"/>
    <mergeCell ref="A23:O23"/>
    <mergeCell ref="A27:O27"/>
    <mergeCell ref="A30:O30"/>
    <mergeCell ref="A32:O32"/>
    <mergeCell ref="A34:O34"/>
    <mergeCell ref="A36:O36"/>
    <mergeCell ref="A38:O38"/>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Notifications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notifications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Thông báo</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NOTI_FT01</v>
      </c>
      <c r="B12" s="121" t="str">
        <v>Receive a notification live and mark it read.</v>
      </c>
      <c r="C12" s="121" t="str">
        <v>1. Sign in as chutoa in browser A.
2. In browser B, as thuky, submit a meeting to chutoa for approval.
3. In browser A, open the bell ("Thông báo") and click the notification.</v>
      </c>
      <c r="D12" s="121" t="str">
        <v>1. The bell's unread count increases without reloading.
2. Clicking opens the meeting and the notification becomes read.</v>
      </c>
      <c r="E12" s="121" t="str">
        <v>1. Two browsers; Redis and the notification hub are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80.5" customHeight="1">
      <c r="A13" s="121" t="str">
        <v>NOTI_FT02</v>
      </c>
      <c r="B13" s="121" t="str">
        <v>Mark all notifications read; an old notification to a meeting no longer visible is handled.</v>
      </c>
      <c r="C13" s="121" t="str">
        <v>1. Click "Đánh dấu tất cả đã đọc" and reload.
2. Click an old notification of a meeting from which the user was removed.</v>
      </c>
      <c r="D13" s="121" t="str">
        <v>1. The unread count is 0 after reload.
2. "Thông báo này không còn khả dụng." is shown and no meeting content is revealed.</v>
      </c>
      <c r="E13" s="121" t="str">
        <v>1. The user has several notifications, one for a meeting they were removed from.</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NOTI_FT03</v>
      </c>
      <c r="B14" s="121" t="str">
        <v>A reminder arrives before a published meeting starts.</v>
      </c>
      <c r="C14" s="121" t="str">
        <v>1. Publish a meeting that starts in about 15 minutes.
2. Wait until 15 minutes before the start as an invitee.</v>
      </c>
      <c r="D14" s="121" t="str">
        <v>1. Each active invitee receives one reminder notification.
2. No duplicate reminder is sent.</v>
      </c>
      <c r="E14" s="121" t="str">
        <v>1. The notification worker is running.</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Participants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participants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7</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COUNTIF(F12:F18,"Passed")</f>
        <v>0</v>
      </c>
      <c r="C6" s="115" t="n">
        <f>COUNTIF(F12:F18,"Failed")</f>
        <v>0</v>
      </c>
      <c r="D6" s="115" t="n">
        <f>B4-B6-C6-E6</f>
        <v>7</v>
      </c>
      <c r="E6" s="115" t="n">
        <f>COUNTIF(F12:F18,"Skipped")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COUNTIF(I12:I18,"Passed")</f>
        <v>0</v>
      </c>
      <c r="C7" s="115" t="n">
        <f>COUNTIF(I12:I18,"Failed")</f>
        <v>0</v>
      </c>
      <c r="D7" s="115" t="n">
        <f>B4-B7-C7-E7</f>
        <v>7</v>
      </c>
      <c r="E7" s="115" t="n">
        <f>COUNTIF(I12:I18,"Skipped")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COUNTIF(L12:L18,"Passed")</f>
        <v>0</v>
      </c>
      <c r="C8" s="115" t="n">
        <f>COUNTIF(L12:L18,"Failed")</f>
        <v>0</v>
      </c>
      <c r="D8" s="115" t="n">
        <f>B4-B8-C8-E8</f>
        <v>7</v>
      </c>
      <c r="E8" s="115" t="n">
        <f>COUNTIF(L12:L18,"Skipped")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Thành phần tham dự</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09.5" customHeight="1">
      <c r="A12" s="121" t="str">
        <v>PART_FT01</v>
      </c>
      <c r="B12" s="121" t="str">
        <v>The Secretary adds internal participants with a role.</v>
      </c>
      <c r="C12" s="121" t="str">
        <v>1. Open the meeting, tab "Thành phần tham dự".
2. Click "Thêm người dự họp", search by name or email, select two people, choose Vai trò Thành viên and click "Thêm".</v>
      </c>
      <c r="D12" s="121" t="str">
        <v>1. The toast "Thêm thành phần tham dự thành công." appears.
2. Both people are listed with role Thành viên.
3. If the meeting is published they receive an invitation.</v>
      </c>
      <c r="E12" s="121" t="str">
        <v>1. A Draft or Published meeting;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95.0" customHeight="1">
      <c r="A13" s="121" t="str">
        <v>PART_FT02</v>
      </c>
      <c r="B13" s="121" t="str">
        <v>Invite a guest outside the system by email.</v>
      </c>
      <c r="C13" s="121" t="str">
        <v>1. Click "Mời khách ngoài hệ thống (qua email)".
2. Click "Mời" with empty fields, then enter Tên khách: Khách, email guest@example.test and click "Mời".</v>
      </c>
      <c r="D13" s="121" t="str">
        <v>1. Empty: "Nhập tên khách." and "Nhập email hợp lệ.".
2. After inviting, the guest is listed with the tag Khách and receives an email invitation.</v>
      </c>
      <c r="E13" s="121" t="str">
        <v>1. Signed in as the meeting Secretary; SMTP sandbox running.</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PART_FT03</v>
      </c>
      <c r="B14" s="121" t="str">
        <v>Change roles and hand over the Chair.</v>
      </c>
      <c r="C14" s="121" t="str">
        <v>1. Open a participant's menu, choose "Đổi vai trò", pick Thư ký and Lưu.
2. As the Chair of a Published meeting, choose "Giao Chủ tọa" for a member and confirm.</v>
      </c>
      <c r="D14" s="121" t="str">
        <v>1. "Cập nhật vai trò cuộc họp thành công." appears and the role changes.
2. "Giao vai trò Chủ tọa thành công." appears; the member is Chủ tọa and the former Chair is Thành viên.</v>
      </c>
      <c r="E14" s="121" t="str">
        <v>1. A meeting with Chair, Secretary and members.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24.0" customHeight="1">
      <c r="A15" s="121" t="str">
        <v>PART_FT04</v>
      </c>
      <c r="B15" s="121" t="str">
        <v>Remove a participant and revoke a guest; the last Secretary is kept.</v>
      </c>
      <c r="C15" s="121" t="str">
        <v>1. Choose "Gỡ khỏi cuộc họp" for a member and confirm.
2. Choose "Thu hồi lời mời" for a guest and confirm.
3. Try to remove the only Thư ký.</v>
      </c>
      <c r="D15" s="121" t="str">
        <v>1. "Gỡ thành phần tham dự thành công." appears; the removed member no longer sees the meeting.
2. The guest invitation is revoked.
3. Removing the last Secretary shows "Cuộc họp phải giữ Chủ tọa và Thư ký theo quy định. Hãy phân công người thay thế.".</v>
      </c>
      <c r="E15" s="121" t="str">
        <v>1. A meeting with one Secretary, a member and a guest.</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09.5" customHeight="1">
      <c r="A16" s="121" t="str">
        <v>PART_FT05</v>
      </c>
      <c r="B16" s="121" t="str">
        <v>An invitee answers the invitation.</v>
      </c>
      <c r="C16" s="121" t="str">
        <v>1. Sign in as thanhvien and open the published meeting.
2. At "Bạn có tham dự cuộc họp này?" click "Tham dự".
3. Change the answer to "Không tham dự".</v>
      </c>
      <c r="D16" s="121" t="str">
        <v>1. "Đã ghi nhận phản hồi lời mời." appears and "Đã xác nhận tham dự" is shown.
2. The Secretary sees the answer on the roster.
3. After declining, the meeting no longer shows in thanhvien's calendar.</v>
      </c>
      <c r="E16" s="121" t="str">
        <v>1. thanhvien is invited to a Published meeting.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PART_FT06</v>
      </c>
      <c r="B17" s="121" t="str">
        <v>Two Secretaries changing the roster at once: the later one is asked to reload.</v>
      </c>
      <c r="C17" s="121" t="str">
        <v>1. Open the roster as the Secretary in two tabs.
2. Add a person in tab 1.
3. Without reloading, add another person in tab 2.</v>
      </c>
      <c r="D17" s="121" t="str">
        <v>1. Tab 2 shows "Danh sách thành phần đã thay đổi. Vui lòng tải lại và thử lại.".
2. After reloading, the add succeeds and both people are listed.</v>
      </c>
      <c r="E17" s="121" t="str">
        <v>1. A draft meeting; signed in as its Secretary.</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66.0" customHeight="1">
      <c r="A18" s="121" t="str">
        <v>PART_FT07</v>
      </c>
      <c r="B18" s="121" t="str">
        <v>A deactivated participant is marked on the roster.</v>
      </c>
      <c r="C18" s="121" t="str">
        <v>1. Deactivate a participant's account on Người dùng &amp; Quyền.
2. Open the roster.</v>
      </c>
      <c r="D18" s="121" t="str">
        <v>1. The person shows the tag "Tài khoản đã khoá".</v>
      </c>
      <c r="E18" s="121" t="str">
        <v>1. A meeting with that participant.</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Recordings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recordings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7</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COUNTIF(F12:F21,"Passed")</f>
        <v>0</v>
      </c>
      <c r="C6" s="115" t="n">
        <f>COUNTIF(F12:F21,"Failed")</f>
        <v>0</v>
      </c>
      <c r="D6" s="115" t="n">
        <f>B4-B6-C6-E6</f>
        <v>7</v>
      </c>
      <c r="E6" s="115" t="n">
        <f>COUNTIF(F12:F21,"Skipped")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COUNTIF(I12:I21,"Passed")</f>
        <v>0</v>
      </c>
      <c r="C7" s="115" t="n">
        <f>COUNTIF(I12:I21,"Failed")</f>
        <v>0</v>
      </c>
      <c r="D7" s="115" t="n">
        <f>B4-B7-C7-E7</f>
        <v>7</v>
      </c>
      <c r="E7" s="115" t="n">
        <f>COUNTIF(I12:I21,"Skipped")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COUNTIF(L12:L21,"Passed")</f>
        <v>0</v>
      </c>
      <c r="C8" s="115" t="n">
        <f>COUNTIF(L12:L21,"Failed")</f>
        <v>0</v>
      </c>
      <c r="D8" s="115" t="n">
        <f>B4-B8-C8-E8</f>
        <v>7</v>
      </c>
      <c r="E8" s="115" t="n">
        <f>COUNTIF(L12:L21,"Skipped")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Bản ghi</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298.0" customHeight="1">
      <c r="A12" s="121" t="str">
        <v>REC_FT01</v>
      </c>
      <c r="B12" s="121" t="str">
        <v>The Secretary records the room with the room mic, or uploads a file, with consent, and gets a transcript.</v>
      </c>
      <c r="C12" s="121" t="str">
        <v>1. Open tab "Bản ghi" of an in-person meeting during the meeting.
2. In the mic card click "Bật mic phòng"; in "Bắt đầu ghi âm" enter Mục đích ghi âm "Lập biên bản cuộc họp", tick the statement that participants were told and click "Bắt đầu ghi".
3. Speak for a while, then click "Tắt mic, lưu lượt ghi".
4. Switch the mic on and off again for a second take.
5. Or click "Tải tệp lên", choose an audio file and confirm "Tải lên" in "Lưu tệp ghi âm".
6. Open "Nghe và xem bản gỡ băng".</v>
      </c>
      <c r="D12" s="121" t="str">
        <v>1. While recording the card shows "Đang ghi cả phòng" and the list shows "Mic phòng đang ghi" to everyone.
2. Switching off shows "Đã lưu lượt ghi."; the recording shows Mic phòng and "Đang chuyển chữ".
3. The second take needs no new consent and is appended to the same recording, which is transcribed again.
4. An uploaded file shows Tải lên.
5. When done it shows "Có bản gỡ băng"; the transcript lists speakers and times.
6. Without ticking consent the mic cannot start; an Online meeting has no room mic.</v>
      </c>
      <c r="E12" s="121" t="str">
        <v>1. An InProgress in-person meeting; signed in as its Secretary; microphone allowed; speech worker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09.5" customHeight="1">
      <c r="A13" s="121" t="str">
        <v>REC_FT02</v>
      </c>
      <c r="B13" s="121" t="str">
        <v>The Secretary corrects the transcript and names speakers; members only listen.</v>
      </c>
      <c r="C13" s="121" t="str">
        <v>1. In the transcript click "Sửa đoạn này", change the text and Lưu.
2. Assign "Người nói 1" to a participant.
3. As thanhvien, open the same transcript.</v>
      </c>
      <c r="D13" s="121" t="str">
        <v>1. "Đã lưu đoạn gỡ băng." and "Đã gán người nói." appear.
2. thanhvien can listen and read but has no edit actions.</v>
      </c>
      <c r="E13" s="121" t="str">
        <v>1. A recording with a completed transcript.</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80.5" customHeight="1">
      <c r="A14" s="121" t="str">
        <v>REC_FT03</v>
      </c>
      <c r="B14" s="121" t="str">
        <v>Delete a recording; the audio and transcript are erased.</v>
      </c>
      <c r="C14" s="121" t="str">
        <v>1. Click "Xoá bản ghi" and confirm.</v>
      </c>
      <c r="D14" s="121" t="str">
        <v>1. "Xoá bản ghi?" is asked first.
2. "Đã xoá bản ghi." appears; the recording leaves the tab and can no longer be played; its audio and transcript are erased.</v>
      </c>
      <c r="E14" s="121" t="str">
        <v>1. A stored recording; signed in as the Secretary.</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Lời nói</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138.5" customHeight="1">
      <c r="A16" s="121" t="str">
        <v>REC_FT04</v>
      </c>
      <c r="B16" s="121" t="str">
        <v>In an online meeting each participant's microphone turns their sentences into text and audio.</v>
      </c>
      <c r="C16" s="121" t="str">
        <v>1. Join the room of an InProgress Online meeting and turn the microphone on.
2. Say a sentence and pause.
3. Open "Ghi âm của tôi" and play the sentence back ("Nghe lại").
4. Click "Xoá câu này" and confirm "Xoá câu".</v>
      </c>
      <c r="D16" s="121" t="str">
        <v>1. The room shows "Cuộc họp được ghi âm để lập biên bản · tự xoá sau 180 ngày" and "Đang ghi lời bạn".
2. Each sentence appears as text under "Micro của &lt;name&gt;" in tab "Bản ghi" and can be heard back.
3. Deleting shows "Đã xoá câu nói." and the sentence and its audio leave the meeting.</v>
      </c>
      <c r="E16" s="121" t="str">
        <v>1. An InProgress Online (or Hybrid) meeting; signed in as a participant; microphone allowed; speech worker running.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24" customHeight="1">
      <c r="A17" s="121" t="str">
        <v>Bản ghi</v>
      </c>
      <c r="B17" s="121"/>
      <c r="C17" s="121"/>
      <c r="D17" s="121"/>
      <c r="E17" s="121"/>
      <c r="F17" s="121"/>
      <c r="G17" s="122"/>
      <c r="H17" s="121"/>
      <c r="I17" s="121"/>
      <c r="J17" s="122"/>
      <c r="K17" s="121"/>
      <c r="L17" s="121"/>
      <c r="M17" s="122"/>
      <c r="N17" s="121"/>
      <c r="O17" s="123"/>
      <c r="P17" s="124"/>
      <c r="Q17" s="113"/>
      <c r="R17" s="113"/>
      <c r="S17" s="113"/>
      <c r="T17" s="113"/>
      <c r="U17" s="113"/>
      <c r="V17" s="113"/>
      <c r="W17" s="113"/>
      <c r="X17" s="113"/>
      <c r="Y17" s="113"/>
    </row>
    <row r="18" ht="138.5" customHeight="1">
      <c r="A18" s="121" t="str">
        <v>REC_FT05</v>
      </c>
      <c r="B18" s="121" t="str">
        <v>The Secretary deletes one take of the room recording.</v>
      </c>
      <c r="C18" s="121" t="str">
        <v>1. Open the transcript of a room recording with several takes.
2. On one take click "Xoá lượt này" and confirm "Xoá lượt".</v>
      </c>
      <c r="D18" s="121" t="str">
        <v>1. The dialog warns the take's sound and words are removed for good.
2. "Đã xoá lượt ghi." appears; the take's lines leave the transcript, later lines move up, corrected text and assigned names stay.
3. With only one take left, deleting it is refused: delete the whole recording instead.</v>
      </c>
      <c r="E18" s="121" t="str">
        <v>1. A room recording with at least two takes and a completed transcript; signed in as its Secretary.</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row r="19" ht="138.5" customHeight="1">
      <c r="A19" s="121" t="str">
        <v>REC_FT06</v>
      </c>
      <c r="B19" s="121" t="str">
        <v>The Chair or Secretary saves the recording and the transcript to the computer.</v>
      </c>
      <c r="C19" s="121" t="str">
        <v>1. On a recording click "Tải tệp ghi âm".
2. In the transcript click "Tải bản gỡ băng (.txt)".
3. For an Online meeting click "Tải lời thoại (.txt)".
4. Sign in as thanhvien and open the same meeting.</v>
      </c>
      <c r="D19" s="121" t="str">
        <v>1. The original audio file and a text transcript with names and times are downloaded.
2. The per-microphone text leaves out sentences taken out of the record.
3. thanhvien sees no download buttons.
4. For a Mật meeting nobody can download.</v>
      </c>
      <c r="E19" s="121" t="str">
        <v>1. An Internal meeting with a transcribed recording; signed in as chutoa or thuky.</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row r="20" ht="24" customHeight="1">
      <c r="A20" s="121" t="str">
        <v>Lời nói</v>
      </c>
      <c r="B20" s="121"/>
      <c r="C20" s="121"/>
      <c r="D20" s="121"/>
      <c r="E20" s="121"/>
      <c r="F20" s="121"/>
      <c r="G20" s="122"/>
      <c r="H20" s="121"/>
      <c r="I20" s="121"/>
      <c r="J20" s="122"/>
      <c r="K20" s="121"/>
      <c r="L20" s="121"/>
      <c r="M20" s="122"/>
      <c r="N20" s="121"/>
      <c r="O20" s="123"/>
      <c r="P20" s="124"/>
      <c r="Q20" s="113"/>
      <c r="R20" s="113"/>
      <c r="S20" s="113"/>
      <c r="T20" s="113"/>
      <c r="U20" s="113"/>
      <c r="V20" s="113"/>
      <c r="W20" s="113"/>
      <c r="X20" s="113"/>
      <c r="Y20" s="113"/>
    </row>
    <row r="21" ht="167.5" customHeight="1">
      <c r="A21" s="121" t="str">
        <v>REC_FT07</v>
      </c>
      <c r="B21" s="121" t="str">
        <v>The Chair or Secretary takes a sentence out of the record and puts it back.</v>
      </c>
      <c r="C21" s="121" t="str">
        <v>1. In tab "Bản ghi" of an Online meeting, on a sentence click "Bỏ khỏi biên bản".
2. Sign in as thanhvien and look at the same sentence.
3. As the Chair click "Khôi phục".</v>
      </c>
      <c r="D21" s="121" t="str">
        <v>1. "Đã loại câu khỏi bản ghi." appears; the Chair still sees the words marked as left out.
2. thanhvien sees "Câu đã được bỏ khỏi biên bản." without the words or audio.
3. Restoring shows "Đã đưa câu trở lại bản ghi.".
4. A quieter copy of another person's sentence is highlighted as possibly theirs.</v>
      </c>
      <c r="E21" s="121" t="str">
        <v>1. An Online meeting with stored sentences; signed in as chutoa.</v>
      </c>
      <c r="F21" s="121" t="str">
        <v>Pending</v>
      </c>
      <c r="G21" s="122" t="str"/>
      <c r="H21" s="121" t="str"/>
      <c r="I21" s="121" t="str"/>
      <c r="J21" s="122" t="str"/>
      <c r="K21" s="121" t="str"/>
      <c r="L21" s="121" t="str"/>
      <c r="M21" s="122" t="str"/>
      <c r="N21" s="121" t="str"/>
      <c r="O21" s="123" t="str"/>
      <c r="P21" s="124"/>
      <c r="Q21" s="113"/>
      <c r="R21" s="113"/>
      <c r="S21" s="113"/>
      <c r="T21" s="113"/>
      <c r="U21" s="113"/>
      <c r="V21" s="113"/>
      <c r="W21" s="113"/>
      <c r="X21" s="113"/>
      <c r="Y21" s="113"/>
    </row>
  </sheetData>
  <mergeCells count="7">
    <mergeCell ref="B2:E2"/>
    <mergeCell ref="B3:E3"/>
    <mergeCell ref="B4:E4"/>
    <mergeCell ref="A11:O11"/>
    <mergeCell ref="A15:O15"/>
    <mergeCell ref="A17:O17"/>
    <mergeCell ref="A20:O20"/>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Roles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roles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5</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COUNTIF(F12:F17,"Passed")</f>
        <v>0</v>
      </c>
      <c r="C6" s="115" t="n">
        <f>COUNTIF(F12:F17,"Failed")</f>
        <v>0</v>
      </c>
      <c r="D6" s="115" t="n">
        <f>B4-B6-C6-E6</f>
        <v>5</v>
      </c>
      <c r="E6" s="115" t="n">
        <f>COUNTIF(F12:F17,"Skipped")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COUNTIF(I12:I17,"Passed")</f>
        <v>0</v>
      </c>
      <c r="C7" s="115" t="n">
        <f>COUNTIF(I12:I17,"Failed")</f>
        <v>0</v>
      </c>
      <c r="D7" s="115" t="n">
        <f>B4-B7-C7-E7</f>
        <v>5</v>
      </c>
      <c r="E7" s="115" t="n">
        <f>COUNTIF(I12:I17,"Skipped")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COUNTIF(L12:L17,"Passed")</f>
        <v>0</v>
      </c>
      <c r="C8" s="115" t="n">
        <f>COUNTIF(L12:L17,"Failed")</f>
        <v>0</v>
      </c>
      <c r="D8" s="115" t="n">
        <f>B4-B8-C8-E8</f>
        <v>5</v>
      </c>
      <c r="E8" s="115" t="n">
        <f>COUNTIF(L12:L17,"Skipped")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Vai trò</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82.0" customHeight="1">
      <c r="A12" s="121" t="str">
        <v>ROLE_FT01</v>
      </c>
      <c r="B12" s="121" t="str">
        <v>Create, rename and delete a custom role.</v>
      </c>
      <c r="C12" s="121" t="str">
        <v>1. Open Vai trò and click "Tạo vai trò".
2. Enter Tên vai trò: Thư ký phó, Mô tả: Hỗ trợ thư ký soạn biên bản., tick MinutesEditor under "Quyền ban đầu (tuỳ chọn)" and save.
3. Open the role, rename it to Phó thư ký and click "Lưu thay đổi".
4. Click "Xoá vai trò" and confirm.</v>
      </c>
      <c r="D12" s="121" t="str">
        <v>1. Toasts "Tạo vai trò thành công.", "Cập nhật vai trò thành công." and "Xoá vai trò thành công." appear in turn.
2. The role appears, is renamed and then disappears from the list.</v>
      </c>
      <c r="E12" s="121" t="str">
        <v>1. Signed in as quantri@trustcabinet.local.</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ROLE_FT02</v>
      </c>
      <c r="B13" s="121" t="str">
        <v>A role name is required, unique and limited in length; built-in roles cannot be renamed or deleted.</v>
      </c>
      <c r="C13" s="121" t="str">
        <v>1. Create a role with an empty name.
2. Create a role named "THƯ KÝ".
3. Try to rename or delete Quản trị viên (marked Mặc định).</v>
      </c>
      <c r="D13" s="121" t="str">
        <v>1. "Tên vai trò không được để trống." is shown.
2. "Đã có vai trò dùng tên này. Hãy đặt một tên khác." is shown.
3. For a built-in role: "Đây là vai trò mặc định của hệ thống, không đổi tên hoặc xoá được. Bạn vẫn sửa được quyền của nó.".</v>
      </c>
      <c r="E13" s="121" t="str">
        <v>1. Signed in as quantri@trustcabinet.local.</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ROLE_FT03</v>
      </c>
      <c r="B14" s="121" t="str">
        <v>A role still held by accounts cannot be deleted.</v>
      </c>
      <c r="C14" s="121" t="str">
        <v>1. Give the custom role Thư ký phó to two accounts.
2. Click "Xoá vai trò" on it.</v>
      </c>
      <c r="D14" s="121" t="str">
        <v>1. "Vai trò này vẫn còn 2 tài khoản mang. Hãy chuyển họ sang vai trò khác trước khi xoá." is shown.
2. The role stays.</v>
      </c>
      <c r="E14" s="121" t="str">
        <v>1. Signed in as quantri@trustcabinet.local.</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Ma trận phân quyền</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95.0" customHeight="1">
      <c r="A16" s="121" t="str">
        <v>ROLE_FT04</v>
      </c>
      <c r="B16" s="121" t="str">
        <v>Change a role's capabilities in the matrix; the change applies at once.</v>
      </c>
      <c r="C16" s="121" t="str">
        <v>1. On Vai trò, in the matrix tick MeetingCreator for Thành viên and click Lưu.
2. In another browser signed in as thanhvien, reload Cuộc họp.</v>
      </c>
      <c r="D16" s="121" t="str">
        <v>1. The toast "Cập nhật phân quyền thành công." appears.
2. thanhvien now sees "Tạo cuộc họp" without signing in again.</v>
      </c>
      <c r="E16" s="121" t="str">
        <v>1. Signed in as quantri@trustcabinet.local; thanhvien is signed in elsewhere.</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60" customHeight="1">
      <c r="A17" s="121" t="str">
        <v>ROLE_FT05</v>
      </c>
      <c r="B17" s="121" t="str">
        <v>The matrix refuses to remove the last AdminUsers grant.</v>
      </c>
      <c r="C17" s="121" t="str">
        <v>1. Untick AdminUsers for Quản trị viên and click Lưu.</v>
      </c>
      <c r="D17" s="121" t="str">
        <v>1. "Cấu hình phân quyền không hợp lệ." is shown and the tick comes back.
2. The administrator keeps access.</v>
      </c>
      <c r="E17" s="121" t="str">
        <v>1. Quản trị viên is the only role with AdminUsers.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sheetData>
  <mergeCells count="5">
    <mergeCell ref="B2:E2"/>
    <mergeCell ref="B3:E3"/>
    <mergeCell ref="B4:E4"/>
    <mergeCell ref="A11:O11"/>
    <mergeCell ref="A15:O1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Users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users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8</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COUNTIF(F12:F19,"Passed")</f>
        <v>0</v>
      </c>
      <c r="C6" s="115" t="n">
        <f>COUNTIF(F12:F19,"Failed")</f>
        <v>0</v>
      </c>
      <c r="D6" s="115" t="n">
        <f>B4-B6-C6-E6</f>
        <v>8</v>
      </c>
      <c r="E6" s="115" t="n">
        <f>COUNTIF(F12:F19,"Skipped")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COUNTIF(I12:I19,"Passed")</f>
        <v>0</v>
      </c>
      <c r="C7" s="115" t="n">
        <f>COUNTIF(I12:I19,"Failed")</f>
        <v>0</v>
      </c>
      <c r="D7" s="115" t="n">
        <f>B4-B7-C7-E7</f>
        <v>8</v>
      </c>
      <c r="E7" s="115" t="n">
        <f>COUNTIF(I12:I19,"Skipped")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COUNTIF(L12:L19,"Passed")</f>
        <v>0</v>
      </c>
      <c r="C8" s="115" t="n">
        <f>COUNTIF(L12:L19,"Failed")</f>
        <v>0</v>
      </c>
      <c r="D8" s="115" t="n">
        <f>B4-B8-C8-E8</f>
        <v>8</v>
      </c>
      <c r="E8" s="115" t="n">
        <f>COUNTIF(L12:L19,"Skipped")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Người dùng &amp; Quyền</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USER_FT01</v>
      </c>
      <c r="B12" s="121" t="str">
        <v>The administrator sees, searches and filters every account.</v>
      </c>
      <c r="C12" s="121" t="str">
        <v>1. Sign in as quantri@trustcabinet.local and open Người dùng &amp; Quyền.
2. Type "thu" in "Tìm theo tên hoặc email…".
3. Choose a role in "Lọc theo vai trò" and "Đã vô hiệu hoá" in "Lọc theo trạng thái".
4. Click to clear the filters.</v>
      </c>
      <c r="D12" s="121" t="str">
        <v>1. The table lists accounts with name, email, role, Trạng thái and Ngày tạo; the administrator's row is marked "Bạn".
2. The search narrows the list to matching names or emails.
3. With no match "Không có tài khoản nào khớp bộ lọc." is shown.</v>
      </c>
      <c r="E12" s="121" t="str">
        <v>1. Seeded accounts exist.
2. quantri@trustcabinet.local has AdminUsers.</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USER_FT02</v>
      </c>
      <c r="B13" s="121" t="str">
        <v>Create a new account with a role.</v>
      </c>
      <c r="C13" s="121" t="str">
        <v>1. Click "Tạo tài khoản".
2. Enter Họ tên: Trần Chủ Toạ, Email: chutoa2@trustcabinet.local, a password (or use the generated one and "Sao chép mật khẩu"), choose role Chủ toạ.
3. Click Lưu.</v>
      </c>
      <c r="D13" s="121" t="str">
        <v>1. The toast "Tạo tài khoản thành công." appears.
2. The new account is in the list as Đang hoạt động with role Chủ toạ.
3. The new account can sign in with the password.</v>
      </c>
      <c r="E13" s="121" t="str">
        <v>1. Signed in as quantri@trustcabinet.local.
2. No account uses chutoa2@trustcabinet.local.</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138.5" customHeight="1">
      <c r="A14" s="121" t="str">
        <v>USER_FT03</v>
      </c>
      <c r="B14" s="121" t="str">
        <v>The account form refuses an empty name, an invalid or duplicate email and a missing role, keeping what was typed.</v>
      </c>
      <c r="C14" s="121" t="str">
        <v>1. Click "Tạo tài khoản" and click Lưu with empty fields.
2. Enter email "khong-phai-email".
3. Enter email thanhvien@trustcabinet.local with a name and role and save.
4. Correct the email to a new one and save.</v>
      </c>
      <c r="D14" s="121" t="str">
        <v>1. Errors "Họ tên không được để trống.", "Email không hợp lệ." and "Vui lòng chọn vai trò." appear under the fields.
2. The duplicate shows "Email đã được sử dụng." and the form keeps the typed values.
3. After the correction exactly one new account is created.</v>
      </c>
      <c r="E14" s="121" t="str">
        <v>1. Signed in as quantri@trustcabinet.local.</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09.5" customHeight="1">
      <c r="A15" s="121" t="str">
        <v>USER_FT04</v>
      </c>
      <c r="B15" s="121" t="str">
        <v>Edit an account's name, email and role.</v>
      </c>
      <c r="C15" s="121" t="str">
        <v>1. Open the row menu of an account and choose "Sửa hồ sơ".
2. Change the name and the role to Thư ký and save.</v>
      </c>
      <c r="D15" s="121" t="str">
        <v>1. The toast "Cập nhật tài khoản thành công." appears.
2. The row shows the new name and role.
3. If the email changes, the form warns "Đổi email sẽ đăng xuất người này khỏi mọi thiết bị.".</v>
      </c>
      <c r="E15" s="121" t="str">
        <v>1. Signed in as quantri@trustcabinet.local.</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24.0" customHeight="1">
      <c r="A16" s="121" t="str">
        <v>USER_FT05</v>
      </c>
      <c r="B16" s="121" t="str">
        <v>Deactivate and reactivate an account.</v>
      </c>
      <c r="C16" s="121" t="str">
        <v>1. Open the row menu of thanhvien and choose "Vô hiệu hoá", then confirm "Vô hiệu hoá tài khoản".
2. Try to sign in as thanhvien in another browser.
3. Choose "Kích hoạt lại", then "Kích hoạt lại tài khoản".</v>
      </c>
      <c r="D16" s="121" t="str">
        <v>1. The toast "Đổi trạng thái tài khoản thành công." appears and the row shows Đã vô hiệu hoá.
2. thanhvien cannot sign in while deactivated.
3. After reactivation the row shows Đang hoạt động and sign-in works again.</v>
      </c>
      <c r="E16" s="121" t="str">
        <v>1. Signed in as quantri@trustcabinet.local.</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109.5" customHeight="1">
      <c r="A17" s="121" t="str">
        <v>USER_FT06</v>
      </c>
      <c r="B17" s="121" t="str">
        <v>The last active administrator is protected.</v>
      </c>
      <c r="C17" s="121" t="str">
        <v>1. Open your own row (quantri).
2. Try to deactivate yourself.
3. Try to change your own role away from Quản trị viên.</v>
      </c>
      <c r="D17" s="121" t="str">
        <v>1. Deactivating yourself is not offered: "Không thể tự đổi trạng thái tài khoản của mình".
2. Changing the role shows "Không thể đổi vai trò: sau thao tác này sẽ không còn tài khoản quản trị nào đang hoạt động.".</v>
      </c>
      <c r="E17" s="121" t="str">
        <v>1. quantri@trustcabinet.local is the only active account with AdminUsers.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95.0" customHeight="1">
      <c r="A18" s="121" t="str">
        <v>USER_FT07</v>
      </c>
      <c r="B18" s="121" t="str">
        <v>A reset link cannot be sent to a deactivated or Google-only account.</v>
      </c>
      <c r="C18" s="121" t="str">
        <v>1. Open the row menu of a deactivated account.
2. Open the row menu of an account that signs in only with Google.</v>
      </c>
      <c r="D18" s="121" t="str">
        <v>1. The reset action is disabled with "Tài khoản đã bị vô hiệu hoá — kích hoạt lại trước khi đặt lại mật khẩu".
2. For the Google-only account: "Tài khoản chỉ đăng nhập bằng Google — không có mật khẩu để đặt lại".</v>
      </c>
      <c r="E18" s="121" t="str">
        <v>1. Signed in as quantri@trustcabinet.local; such accounts exist.</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row r="19" ht="80.5" customHeight="1">
      <c r="A19" s="121" t="str">
        <v>USER_FT08</v>
      </c>
      <c r="B19" s="121" t="str">
        <v>Restricted administration screens are hidden from other users.</v>
      </c>
      <c r="C19" s="121" t="str">
        <v>1. Sign in as thuky@trustcabinet.local.
2. Look at the sidebar.
3. Open http://localhost:5173/mgmt/admin/users directly.</v>
      </c>
      <c r="D19" s="121" t="str">
        <v>1. Người dùng &amp; Quyền and Vai trò are not in the sidebar.
2. The address shows the not-found page, the same as an unknown URL.</v>
      </c>
      <c r="E19" s="121" t="str">
        <v>1. thuky@trustcabinet.local has no AdminUsers.</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Voice ID</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voice id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COUNTIF(F12:F15,"Passed")</f>
        <v>0</v>
      </c>
      <c r="C6" s="115" t="n">
        <f>COUNTIF(F12:F15,"Failed")</f>
        <v>0</v>
      </c>
      <c r="D6" s="115" t="n">
        <f>B4-B6-C6-E6</f>
        <v>4</v>
      </c>
      <c r="E6" s="115" t="n">
        <f>COUNTIF(F12:F15,"Skipped")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COUNTIF(I12:I15,"Passed")</f>
        <v>0</v>
      </c>
      <c r="C7" s="115" t="n">
        <f>COUNTIF(I12:I15,"Failed")</f>
        <v>0</v>
      </c>
      <c r="D7" s="115" t="n">
        <f>B4-B7-C7-E7</f>
        <v>4</v>
      </c>
      <c r="E7" s="115" t="n">
        <f>COUNTIF(I12:I15,"Skipped")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COUNTIF(L12:L15,"Passed")</f>
        <v>0</v>
      </c>
      <c r="C8" s="115" t="n">
        <f>COUNTIF(L12:L15,"Failed")</f>
        <v>0</v>
      </c>
      <c r="D8" s="115" t="n">
        <f>B4-B8-C8-E8</f>
        <v>4</v>
      </c>
      <c r="E8" s="115" t="n">
        <f>COUNTIF(L12:L15,"Skipped")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Giọng nói của tôi</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VOICE_FT01</v>
      </c>
      <c r="B12" s="121" t="str">
        <v>Turn on Voice ID with consent and record voice samples.</v>
      </c>
      <c r="C12" s="121" t="str">
        <v>1. Open Giọng nói của tôi and read the notice (Mục đích, Lưu gì, Dùng ở đâu, Quyền của bạn, Bên kiểm soát dữ liệu).
2. Tick the consent statement and click "Đồng ý và bật".
3. Click "Ghi giọng mẫu", read the text, click "Dừng và lưu"; record a second sample.</v>
      </c>
      <c r="D12" s="121" t="str">
        <v>1. Without ticking, Voice ID cannot be turned on.
2. After consent the status is "Đang bật".
3. Each good sample is listed; a bad one (noise, two voices) is refused with the reason.
4. Each new sample can be played back ("Nghe lại"); only its owner hears it.</v>
      </c>
      <c r="E12" s="121" t="str">
        <v>1. Microphone allowed; speech worker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09.5" customHeight="1">
      <c r="A13" s="121" t="str">
        <v>VOICE_FT02</v>
      </c>
      <c r="B13" s="121" t="str">
        <v>Turn Voice ID off and erase the samples.</v>
      </c>
      <c r="C13" s="121" t="str">
        <v>1. Click to turn off Voice ID and confirm "Tắt và xoá".</v>
      </c>
      <c r="D13" s="121" t="str">
        <v>1. "Tắt nhận diện giọng nói?" is asked first.
2. The samples are erased; automatic speaker suggestions for this user stop.
3. Names the Secretary already assigned in transcripts stay.</v>
      </c>
      <c r="E13" s="121" t="str">
        <v>1. Voice ID is on with samples.</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VOICE_FT03</v>
      </c>
      <c r="B14" s="121" t="str">
        <v>Delete one voice sample.</v>
      </c>
      <c r="C14" s="121" t="str">
        <v>1. Click "Xoá giọng mẫu" on one sample and confirm.</v>
      </c>
      <c r="D14" s="121" t="str">
        <v>1. "Đã xoá giọng mẫu." appears and the sample leaves the list.
2. With fewer than 2 samples the page asks to record more.</v>
      </c>
      <c r="E14" s="121" t="str">
        <v>1. Voice ID is on with two samples.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24.0" customHeight="1">
      <c r="A15" s="121" t="str">
        <v>VOICE_FT04</v>
      </c>
      <c r="B15" s="121" t="str">
        <v>Someone who agreed to the earlier notice renews to keep new sample recordings.</v>
      </c>
      <c r="C15" s="121" t="str">
        <v>1. Open Giọng nói của tôi.
2. Read the notice about the new terms and click "Đồng ý điều khoản mới".
3. Record a new sample and play it back.</v>
      </c>
      <c r="D15" s="121" t="str">
        <v>1. The page explains that from now on the sample recording is kept, encrypted, for the owner to hear; old samples stay but cannot be played.
2. After renewing, "Đã bật nhận diện giọng nói cho tài khoản của bạn." appears and the existing samples stay.
3. The new sample has "Nghe lại".</v>
      </c>
      <c r="E15" s="121" t="str">
        <v>1. A user who turned Voice ID on under the earlier notice and has samples.</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TrustCabinet SEP490-G116</dc:creator>
</cp:coreProperties>
</file>